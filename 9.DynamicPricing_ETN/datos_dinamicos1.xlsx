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Jesus Coss\Documents\repositorios\Tarifa_Dinamica\9.DynamicPricing_ETN\"/>
    </mc:Choice>
  </mc:AlternateContent>
  <bookViews>
    <workbookView xWindow="0" yWindow="0" windowWidth="20633" windowHeight="9070" activeTab="1"/>
  </bookViews>
  <sheets>
    <sheet name="datos_dinamicos" sheetId="1" r:id="rId1"/>
    <sheet name="TD" sheetId="3" r:id="rId2"/>
  </sheets>
  <definedNames>
    <definedName name="_xlnm._FilterDatabase" localSheetId="0" hidden="1">datos_dinamicos!$A$1:$R$1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I4" i="3" l="1"/>
  <c r="H4" i="3"/>
  <c r="O5" i="3" l="1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4" i="3"/>
  <c r="K23" i="3" l="1"/>
  <c r="J23" i="3"/>
  <c r="J5" i="3"/>
  <c r="K5" i="3"/>
  <c r="J6" i="3"/>
  <c r="K6" i="3"/>
  <c r="J7" i="3"/>
  <c r="K7" i="3"/>
  <c r="J8" i="3"/>
  <c r="K8" i="3"/>
  <c r="J9" i="3"/>
  <c r="K9" i="3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H20" i="3"/>
  <c r="I20" i="3" s="1"/>
  <c r="G5" i="3"/>
  <c r="H5" i="3" s="1"/>
  <c r="I5" i="3" s="1"/>
  <c r="G6" i="3"/>
  <c r="H6" i="3" s="1"/>
  <c r="I6" i="3" s="1"/>
  <c r="G7" i="3"/>
  <c r="H7" i="3" s="1"/>
  <c r="I7" i="3" s="1"/>
  <c r="L7" i="3" s="1"/>
  <c r="G8" i="3"/>
  <c r="H8" i="3" s="1"/>
  <c r="I8" i="3" s="1"/>
  <c r="G9" i="3"/>
  <c r="H9" i="3" s="1"/>
  <c r="I9" i="3" s="1"/>
  <c r="G10" i="3"/>
  <c r="H10" i="3" s="1"/>
  <c r="I10" i="3" s="1"/>
  <c r="G11" i="3"/>
  <c r="H11" i="3" s="1"/>
  <c r="I11" i="3" s="1"/>
  <c r="G12" i="3"/>
  <c r="H12" i="3" s="1"/>
  <c r="I12" i="3" s="1"/>
  <c r="G13" i="3"/>
  <c r="H13" i="3" s="1"/>
  <c r="I13" i="3" s="1"/>
  <c r="G14" i="3"/>
  <c r="H14" i="3" s="1"/>
  <c r="I14" i="3" s="1"/>
  <c r="G15" i="3"/>
  <c r="H15" i="3" s="1"/>
  <c r="I15" i="3" s="1"/>
  <c r="G16" i="3"/>
  <c r="H16" i="3" s="1"/>
  <c r="I16" i="3" s="1"/>
  <c r="G17" i="3"/>
  <c r="H17" i="3" s="1"/>
  <c r="I17" i="3" s="1"/>
  <c r="G18" i="3"/>
  <c r="H18" i="3" s="1"/>
  <c r="I18" i="3" s="1"/>
  <c r="G19" i="3"/>
  <c r="H19" i="3" s="1"/>
  <c r="I19" i="3" s="1"/>
  <c r="G20" i="3"/>
  <c r="G21" i="3"/>
  <c r="H21" i="3" s="1"/>
  <c r="I21" i="3" s="1"/>
  <c r="G22" i="3"/>
  <c r="H22" i="3" s="1"/>
  <c r="I22" i="3" s="1"/>
  <c r="G23" i="3"/>
  <c r="H23" i="3" s="1"/>
  <c r="I23" i="3" s="1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4" i="3"/>
  <c r="K4" i="3"/>
  <c r="J4" i="3"/>
  <c r="L15" i="3" l="1"/>
  <c r="L5" i="3"/>
  <c r="M5" i="3" s="1"/>
  <c r="L17" i="3"/>
  <c r="M17" i="3" s="1"/>
  <c r="L16" i="3"/>
  <c r="L14" i="3"/>
  <c r="N14" i="3" s="1"/>
  <c r="L22" i="3"/>
  <c r="N22" i="3" s="1"/>
  <c r="L21" i="3"/>
  <c r="N21" i="3" s="1"/>
  <c r="L13" i="3"/>
  <c r="M13" i="3" s="1"/>
  <c r="L8" i="3"/>
  <c r="N8" i="3" s="1"/>
  <c r="L12" i="3"/>
  <c r="M12" i="3" s="1"/>
  <c r="L11" i="3"/>
  <c r="M11" i="3" s="1"/>
  <c r="L10" i="3"/>
  <c r="M10" i="3" s="1"/>
  <c r="L9" i="3"/>
  <c r="M9" i="3" s="1"/>
  <c r="M16" i="3"/>
  <c r="N16" i="3"/>
  <c r="N12" i="3"/>
  <c r="L23" i="3"/>
  <c r="L20" i="3"/>
  <c r="N20" i="3" s="1"/>
  <c r="L19" i="3"/>
  <c r="M19" i="3" s="1"/>
  <c r="L4" i="3"/>
  <c r="N4" i="3" s="1"/>
  <c r="N23" i="3"/>
  <c r="M23" i="3"/>
  <c r="M15" i="3"/>
  <c r="N15" i="3"/>
  <c r="N7" i="3"/>
  <c r="M7" i="3"/>
  <c r="L18" i="3"/>
  <c r="M18" i="3" s="1"/>
  <c r="L6" i="3"/>
  <c r="M6" i="3"/>
  <c r="N6" i="3"/>
  <c r="N9" i="3" l="1"/>
  <c r="N10" i="3"/>
  <c r="N13" i="3"/>
  <c r="M21" i="3"/>
  <c r="N11" i="3"/>
  <c r="M8" i="3"/>
  <c r="M14" i="3"/>
  <c r="N5" i="3"/>
  <c r="N17" i="3"/>
  <c r="M22" i="3"/>
  <c r="M20" i="3"/>
  <c r="M4" i="3"/>
  <c r="N19" i="3"/>
  <c r="N18" i="3"/>
</calcChain>
</file>

<file path=xl/sharedStrings.xml><?xml version="1.0" encoding="utf-8"?>
<sst xmlns="http://schemas.openxmlformats.org/spreadsheetml/2006/main" count="6969" uniqueCount="3374">
  <si>
    <t>FECHA_OPERACION</t>
  </si>
  <si>
    <t>NOMBRE_PASAJERO</t>
  </si>
  <si>
    <t>NUM_ASIENTO</t>
  </si>
  <si>
    <t>CAPACIDAD_ASIENTOS_TRAMO</t>
  </si>
  <si>
    <t>HORA_SALIDA_CORRIDA</t>
  </si>
  <si>
    <t>EMAIL</t>
  </si>
  <si>
    <t>Cluster</t>
  </si>
  <si>
    <t>TARIFA DINAMICA</t>
  </si>
  <si>
    <t>%_Tarifa Personalizada</t>
  </si>
  <si>
    <t>TARIFA_BASE_TRAMO</t>
  </si>
  <si>
    <t>Delta_Q</t>
  </si>
  <si>
    <t>VENTA_TOTAL</t>
  </si>
  <si>
    <t>TIPO_PASAJERO</t>
  </si>
  <si>
    <t>BOLETOS_VEND</t>
  </si>
  <si>
    <t>Precio final con IVA</t>
  </si>
  <si>
    <t>Precio final sin IVA</t>
  </si>
  <si>
    <t>Descuento</t>
  </si>
  <si>
    <t>Precio a consumidor</t>
  </si>
  <si>
    <t>PEDRO CHAVEZ SANDOVAL</t>
  </si>
  <si>
    <t>LIZMIR8@OUTLOOK.COM</t>
  </si>
  <si>
    <t>NI</t>
  </si>
  <si>
    <t>ALICIA ROLDAN GARCIA</t>
  </si>
  <si>
    <t>alicia.roldan.garcia@ejemplo.com</t>
  </si>
  <si>
    <t>GLORIA MIRANDA DURAN</t>
  </si>
  <si>
    <t>gloria.miranda.duran@ejemplo.com</t>
  </si>
  <si>
    <t>MARCELO MIRANDA</t>
  </si>
  <si>
    <t>marcelo.miranda@ejemplo.com</t>
  </si>
  <si>
    <t>AD</t>
  </si>
  <si>
    <t>IGNACIO MIRANDA</t>
  </si>
  <si>
    <t>ignacio.miranda@ejemplo.com</t>
  </si>
  <si>
    <t>ALEXIS MARCELO</t>
  </si>
  <si>
    <t>alexis.marcelo@ejemplo.com</t>
  </si>
  <si>
    <t>MARIA BARBARA MIRANDA</t>
  </si>
  <si>
    <t>maria.barbara.miranda@ejemplo.com</t>
  </si>
  <si>
    <t>RAFAEL MARCELO</t>
  </si>
  <si>
    <t>rafael.marcelo@ejemplo.com</t>
  </si>
  <si>
    <t>DIANA MARCELO</t>
  </si>
  <si>
    <t>diana.marcelo@ejemplo.com</t>
  </si>
  <si>
    <t>XIMENA MARCELO</t>
  </si>
  <si>
    <t>ximena.marcelo@ejemplo.com</t>
  </si>
  <si>
    <t>LUIS COTTO</t>
  </si>
  <si>
    <t>luis.cotto@ejemplo.com</t>
  </si>
  <si>
    <t>EMMANUEL  MONROY FONSECA</t>
  </si>
  <si>
    <t>emmanuel..monroy.fonseca@ejemplo.com</t>
  </si>
  <si>
    <t>PE</t>
  </si>
  <si>
    <t>VICTOR MANUEL MONROY NORIEGA</t>
  </si>
  <si>
    <t>victor.manuel.monroy.noriega@ejemplo.com</t>
  </si>
  <si>
    <t>AHTZIRI LOPEZ RODRIGUEZ</t>
  </si>
  <si>
    <t>ahtziri.lopez.rodriguez@ejemplo.com</t>
  </si>
  <si>
    <t>EDUARDO GARCIA GARCIA</t>
  </si>
  <si>
    <t>eduardo.garcia.garcia@ejemplo.com</t>
  </si>
  <si>
    <t>JUAN CARLOS DE SANTIAGO SANCHEZ</t>
  </si>
  <si>
    <t>juan.carlos.de.santiago.sanchez@ejemplo.com</t>
  </si>
  <si>
    <t>JOSE JUAN ZEFERINO DIAZ</t>
  </si>
  <si>
    <t>jose.juan.zeferino.diaz@ejemplo.com</t>
  </si>
  <si>
    <t>ARIADNE DUARTE</t>
  </si>
  <si>
    <t>MIRANDAGDL@OUTLOOK.COM</t>
  </si>
  <si>
    <t>SALVADOR ISAAC ISLAS</t>
  </si>
  <si>
    <t>MARTHA LETICIA PRADES ALCALA</t>
  </si>
  <si>
    <t>martha.leticia.prades.alcala@ejemplo.com</t>
  </si>
  <si>
    <t>IN</t>
  </si>
  <si>
    <t>JUAN MATA OTERO</t>
  </si>
  <si>
    <t>juan.mata.otero@ejemplo.com</t>
  </si>
  <si>
    <t>URIEL GONZALEZ REYES</t>
  </si>
  <si>
    <t>uriel.gonzalez.reyes@ejemplo.com</t>
  </si>
  <si>
    <t>RUTH  FLORES</t>
  </si>
  <si>
    <t>ruth..flores@ejemplo.com</t>
  </si>
  <si>
    <t>MITSHUE ROBLES</t>
  </si>
  <si>
    <t>mitshue.robles@ejemplo.com</t>
  </si>
  <si>
    <t>SONIIAESCOBAR</t>
  </si>
  <si>
    <t>soniiaescobar@ejemplo.com</t>
  </si>
  <si>
    <t>LETICIARAMIREZ ESCOBAR</t>
  </si>
  <si>
    <t>leticiaramirez.escobar@ejemplo.com</t>
  </si>
  <si>
    <t>DULCE MARIA CORTEZ AVILA</t>
  </si>
  <si>
    <t>dulce.maria.cortez.avila@ejemplo.com</t>
  </si>
  <si>
    <t>MANUEL LUNA RODRÃGUEZ</t>
  </si>
  <si>
    <t>LUNAROD9292@GMAIL.COM</t>
  </si>
  <si>
    <t>OD</t>
  </si>
  <si>
    <t>JUAN  DAVID  FUENTES  MONSALVE</t>
  </si>
  <si>
    <t>juan..david..fuentes..monsalve@ejemplo.com</t>
  </si>
  <si>
    <t>JESSICA FIEGUEROA</t>
  </si>
  <si>
    <t>jessica.fiegueroa@ejemplo.com</t>
  </si>
  <si>
    <t>MAURICIO BARBOSA PÃ‰REZ</t>
  </si>
  <si>
    <t>VICTORIA@FPT.COM.MX</t>
  </si>
  <si>
    <t>GUSTAVO LOZANO</t>
  </si>
  <si>
    <t>gustavo.lozano@ejemplo.com</t>
  </si>
  <si>
    <t>JUAN RICARDO MEDINA</t>
  </si>
  <si>
    <t>juan.ricardo.medina@ejemplo.com</t>
  </si>
  <si>
    <t>CYNTHIA PADILLA</t>
  </si>
  <si>
    <t>cynthia.padilla@ejemplo.com</t>
  </si>
  <si>
    <t>JUAN ANTONIO LOZANO</t>
  </si>
  <si>
    <t>juan.antonio.lozano@ejemplo.com</t>
  </si>
  <si>
    <t>VÃCTOR HUGO HERRERA CASTILLO</t>
  </si>
  <si>
    <t>LUIS.CASTILLO117MX@GMAIL.COM</t>
  </si>
  <si>
    <t>CESAR EDUARDO MORENO RODRIGUEZ</t>
  </si>
  <si>
    <t>HIERVAMALA18@GMAIL.COM</t>
  </si>
  <si>
    <t>YOULIANG WUU WU</t>
  </si>
  <si>
    <t>ETNPASES@GMAIL.COM</t>
  </si>
  <si>
    <t>NATHALIE CRISTINA CASTILLO GARCÃA</t>
  </si>
  <si>
    <t>TALISSAILORMOON125@GMAIL.COM</t>
  </si>
  <si>
    <t>ALICIA  RAMIREZ RAMIREZ</t>
  </si>
  <si>
    <t>alicia..ramirez.ramirez@ejemplo.com</t>
  </si>
  <si>
    <t>JESUS ALFREDO HERRERO ORTEGA</t>
  </si>
  <si>
    <t>jesus.alfredo.herrero.ortega@ejemplo.com</t>
  </si>
  <si>
    <t>FERNANDA VAZQUEZ MARQUEZ</t>
  </si>
  <si>
    <t>NICOLASVDBA@GMAIL.COM</t>
  </si>
  <si>
    <t>NICOLAS.VD.BRINK@GMAIL.COM</t>
  </si>
  <si>
    <t>NICOLAS VAN DEN BRINK ARTEAGA</t>
  </si>
  <si>
    <t>MARTHA SILVIA MARTINEZ LEDEZMA</t>
  </si>
  <si>
    <t>LUISRESERVARTEMX@GMAIL.COM</t>
  </si>
  <si>
    <t>LILIAN IÃ‘IGUEZ</t>
  </si>
  <si>
    <t>LILIANISALAZAR97@GMAIL.COM</t>
  </si>
  <si>
    <t>ARTURO GUTIERREZ BENITEZ</t>
  </si>
  <si>
    <t>IICEGAPZ@GMAIL.COM</t>
  </si>
  <si>
    <t>JESUS MONDRAGON IBARRA</t>
  </si>
  <si>
    <t>jesus.mondragon.ibarra@ejemplo.com</t>
  </si>
  <si>
    <t>BRIAN ANTONIO CRUZ RODRIGUEZ</t>
  </si>
  <si>
    <t>RODRIGORODRIGUEZ21694@GMAIL.COM</t>
  </si>
  <si>
    <t>ALEJANDRO SARDANETA RENDON</t>
  </si>
  <si>
    <t>CHARLYGOOD_19@HOTMAIL.COM</t>
  </si>
  <si>
    <t>ELVIRA DELGADILLO GARCIA</t>
  </si>
  <si>
    <t>OLICARRILLOD@GMAIL.COM</t>
  </si>
  <si>
    <t>MARCELA SUATES TORALES</t>
  </si>
  <si>
    <t>marcela.suates.torales@ejemplo.com</t>
  </si>
  <si>
    <t>MARGARITO TELLEZ CRUZ</t>
  </si>
  <si>
    <t>margarito.tellez.cruz@ejemplo.com</t>
  </si>
  <si>
    <t>LUIS DAVID VÃZQUEZ GONZÃLEZ</t>
  </si>
  <si>
    <t>LUISDAVID1971@HOTMAIL.COM</t>
  </si>
  <si>
    <t>DAVID ROSAS RANGEL</t>
  </si>
  <si>
    <t>DANIMORALES89@ME.COM</t>
  </si>
  <si>
    <t>JORGE ARTURO VÃZQUEZ ORTEGA</t>
  </si>
  <si>
    <t>ADMINISTRACION@CADEE.COM.MX</t>
  </si>
  <si>
    <t>ERIK EDUARDO VILLAGRANA CERVANTES</t>
  </si>
  <si>
    <t>ERIKVILLAGRANACERVANTES@GMAIL.COM</t>
  </si>
  <si>
    <t>RAFAEL BLAS CHORA</t>
  </si>
  <si>
    <t>rafael.blas.chora@ejemplo.com</t>
  </si>
  <si>
    <t>AMADO GONZALEZ URIBE</t>
  </si>
  <si>
    <t>AGONZALEZ@SUPPLIESINC.NET</t>
  </si>
  <si>
    <t>RAUL PEREZ RAMIREZ</t>
  </si>
  <si>
    <t>CARLOS IVAN BARRAGAN JUAREZ</t>
  </si>
  <si>
    <t>JORGE.BARRAGANG170193@GMAIL.COM</t>
  </si>
  <si>
    <t>JORGE BARRAGAN GONZALEZ</t>
  </si>
  <si>
    <t>JULIO CESAR DUARTE ALCANTARA</t>
  </si>
  <si>
    <t>JOSE MANUEL LOPEZ OREA</t>
  </si>
  <si>
    <t>jose.manuel.lopez.orea@ejemplo.com</t>
  </si>
  <si>
    <t>JAVIER CASTRO SANCHEZ</t>
  </si>
  <si>
    <t>javier.castro.sanchez@ejemplo.com</t>
  </si>
  <si>
    <t>HORACIO MONZALVO RODRIGUEZ</t>
  </si>
  <si>
    <t>HORACIO.MONZALBO.RODRIGUEZ@C-CAF.COM</t>
  </si>
  <si>
    <t>ANGEL MARTIN MARTINEZ GARCIA</t>
  </si>
  <si>
    <t>ALEHTRANSPORTES@HOTMAIL.COM</t>
  </si>
  <si>
    <t>HECTOR SANTACRUZ</t>
  </si>
  <si>
    <t>hector.santacruz@ejemplo.com</t>
  </si>
  <si>
    <t>EDGAR VALDIVIA</t>
  </si>
  <si>
    <t>EDGAR.VALDIVIA62@GMAIL.COM</t>
  </si>
  <si>
    <t>VERÃ“NICA JUÃREZ</t>
  </si>
  <si>
    <t>JOSE CHI</t>
  </si>
  <si>
    <t>JCHIPRU26@GMAIL.COM</t>
  </si>
  <si>
    <t>HÃ‰CTOR AQUILES CRUZ PONCE DE LEON</t>
  </si>
  <si>
    <t>HECTORAQUILES288@GMAIL.COM</t>
  </si>
  <si>
    <t>EDUARDO ROSAS LOPEZ</t>
  </si>
  <si>
    <t>eduardo.rosas.lopez@ejemplo.com</t>
  </si>
  <si>
    <t>MARIA GUADALUPE DEL TORO GONZALEZ</t>
  </si>
  <si>
    <t>maria.guadalupe.del.toro.gonzalez@ejemplo.com</t>
  </si>
  <si>
    <t>MARIA GUADALUPE ROSAS DEL TORO</t>
  </si>
  <si>
    <t>maria.guadalupe.rosas.del.toro@ejemplo.com</t>
  </si>
  <si>
    <t>ASTRID ROSAS DEL TORO</t>
  </si>
  <si>
    <t>astrid.rosas.del.toro@ejemplo.com</t>
  </si>
  <si>
    <t>JOSE ALFREDO MORENO GONZALEZ</t>
  </si>
  <si>
    <t>jose.alfredo.moreno.gonzalez@ejemplo.com</t>
  </si>
  <si>
    <t>YOLANDA LOPEZ OJEDA</t>
  </si>
  <si>
    <t>yolanda.lopez.ojeda@ejemplo.com</t>
  </si>
  <si>
    <t>MIRIAM LIZBETH DELA HOYA MORENO</t>
  </si>
  <si>
    <t>miriam.lizbeth.dela.hoya.moreno@ejemplo.com</t>
  </si>
  <si>
    <t>MIA GUADALUPE ALONSO TORRES</t>
  </si>
  <si>
    <t>mia.guadalupe.alonso.torres@ejemplo.com</t>
  </si>
  <si>
    <t>NILO BARRADAS</t>
  </si>
  <si>
    <t>NILOBARRADAS@GMAIL.COM</t>
  </si>
  <si>
    <t>JOSE FEDERICO BASULTO QUEZADA</t>
  </si>
  <si>
    <t>DIRECCION@BPQ.MX</t>
  </si>
  <si>
    <t>EDGAR CHAPARRO</t>
  </si>
  <si>
    <t>EDGAR@PRIMARIO.MX</t>
  </si>
  <si>
    <t>ANGEL ULISSES GONZÃLEZ HERNÃNDEZ</t>
  </si>
  <si>
    <t>LAURAATANACIO754@GMAIL.COM</t>
  </si>
  <si>
    <t>LAURAATANACIO754@GANIL.COM</t>
  </si>
  <si>
    <t>BRANDON MAURICIO GARCÃA OLIVA</t>
  </si>
  <si>
    <t>MARIO YOSMAR MEJÃA VELÃZQUEZ</t>
  </si>
  <si>
    <t>SERGIO SOLANO GALLARDO</t>
  </si>
  <si>
    <t>JAIME RUILOBA</t>
  </si>
  <si>
    <t>RUILOBAJAI@YAHOO.COM.MX</t>
  </si>
  <si>
    <t>ANGEL ALEJANDRO MARTINEZ PEREZ</t>
  </si>
  <si>
    <t>ANGEL.MARTINEZ06@GMAIL.COM</t>
  </si>
  <si>
    <t>JOSE MANUEL BENITEZ PEREZ</t>
  </si>
  <si>
    <t>MANUBENITEZP@GMAIL.COM</t>
  </si>
  <si>
    <t>ESTEBAN MORENO GONZALEZ</t>
  </si>
  <si>
    <t>ESTEMORENO.19@HOTMAIL.COM</t>
  </si>
  <si>
    <t>JAIR DE JESUS FERREIRA CARDENAS</t>
  </si>
  <si>
    <t>OALCARAZ@NEKTAR.COM.MX</t>
  </si>
  <si>
    <t>VICENTE TELLEZ MORALES</t>
  </si>
  <si>
    <t>07JARED99@GMAIL.COM</t>
  </si>
  <si>
    <t>GUILLERMO GONZÃLEZ MEDELLÃN</t>
  </si>
  <si>
    <t>GUILLERMOGONZALEZ638@GMAIL.COM</t>
  </si>
  <si>
    <t>JORGE RUIZ LOPEZ</t>
  </si>
  <si>
    <t>JRLHISTORIA@HOTMAIL.COM</t>
  </si>
  <si>
    <t>LUIS BRISEÃ‘O</t>
  </si>
  <si>
    <t>TOSCAIN82@GMAIL.COM</t>
  </si>
  <si>
    <t>ALMA MARTINEZ</t>
  </si>
  <si>
    <t>alma.martinez@ejemplo.com</t>
  </si>
  <si>
    <t>EDWARD JAVIER REYES ZAPATA</t>
  </si>
  <si>
    <t>MARISO.GALLARDO@LOESTRA.COM</t>
  </si>
  <si>
    <t>EMILIO RAMIRO PORRAS VELASCO</t>
  </si>
  <si>
    <t>GDLHMRE@GMAIL.COM</t>
  </si>
  <si>
    <t>ADRIAN RODRIGO ROJAS DELGADILLO</t>
  </si>
  <si>
    <t>ADRIANR.ROJAS@HOTMAIL.COM</t>
  </si>
  <si>
    <t>ALELI.ROJAS@HOTMAIL.COM</t>
  </si>
  <si>
    <t>ANDREA ALELI ROJAS GUALAJARA</t>
  </si>
  <si>
    <t>ANA JOSELYN JUAREZ CHAVEZ</t>
  </si>
  <si>
    <t>ALANRUIZ574@GMAIL.COM</t>
  </si>
  <si>
    <t>EDGAR RUIZ RUIZ</t>
  </si>
  <si>
    <t>IMELDACARRERA@CENTRODETECNOLOGIAS.MX</t>
  </si>
  <si>
    <t>FRANCISCO DE JESUS JIMAREZ ZAPATA</t>
  </si>
  <si>
    <t>HUGO RAFAEL CONTRERAS MARTINEZ</t>
  </si>
  <si>
    <t>JUAN MANUEL VELAZCO TENORIO</t>
  </si>
  <si>
    <t>MARA DEL CARMEN LOPEZ PEREZ</t>
  </si>
  <si>
    <t>MARIA EUGENIA DIMAS MIRANDA</t>
  </si>
  <si>
    <t>RICARDO RIVAS ROQUE</t>
  </si>
  <si>
    <t>EDGAR FELIX LANDIN MORALES</t>
  </si>
  <si>
    <t>DESPINO@ARA.COM.MX</t>
  </si>
  <si>
    <t>AIDA RODRÃGUEZ KURI</t>
  </si>
  <si>
    <t>AIDARK2011@GMAIL.COM</t>
  </si>
  <si>
    <t>BRENTY FORTUNA</t>
  </si>
  <si>
    <t>brenty.fortuna@ejemplo.com</t>
  </si>
  <si>
    <t>GERARDO GONZALEZ</t>
  </si>
  <si>
    <t>gerardo.gonzalez@ejemplo.com</t>
  </si>
  <si>
    <t>KEVIN OSVALDO MALDONADO GONZALEZ</t>
  </si>
  <si>
    <t>kevin.osvaldo.maldonado.gonzalez@ejemplo.com</t>
  </si>
  <si>
    <t>DIANA PATRICIA OLGUIN HERNANDEZ</t>
  </si>
  <si>
    <t>diana.patricia.olguin.hernandez@ejemplo.com</t>
  </si>
  <si>
    <t>MARIA GUADALUPE HERNANDEZ MONROY</t>
  </si>
  <si>
    <t>maria.guadalupe.hernandez.monroy@ejemplo.com</t>
  </si>
  <si>
    <t>SILVERIO VELZQUEZ</t>
  </si>
  <si>
    <t>silverio.velzquez@ejemplo.com</t>
  </si>
  <si>
    <t>MARIA DEL CARMEN JIMENEZ NUÃ‘O</t>
  </si>
  <si>
    <t>MOYAHUIN73@GMAIL.COM</t>
  </si>
  <si>
    <t>FAUSTO EMMANUEL ARELLANO JIMÃ‰NEZ</t>
  </si>
  <si>
    <t>FAUSTOE.ARELLANO@HOTMAIL.COM</t>
  </si>
  <si>
    <t>GABRIELA UGALDE</t>
  </si>
  <si>
    <t>gabriela.ugalde@ejemplo.com</t>
  </si>
  <si>
    <t>JESUS ORTIZ</t>
  </si>
  <si>
    <t>ONEPLUS9PRO1420@GMAIL.COM</t>
  </si>
  <si>
    <t>ANA KAREN OLIVARES DÃVILA</t>
  </si>
  <si>
    <t>ana.karen.olivares.dÃ¡vila@ejemplo.com</t>
  </si>
  <si>
    <t>JONATHAN VARELA ERIVES</t>
  </si>
  <si>
    <t>jonathan.varela.erives@ejemplo.com</t>
  </si>
  <si>
    <t>ISRAEL CRUZ</t>
  </si>
  <si>
    <t>israel.cruz@ejemplo.com</t>
  </si>
  <si>
    <t>ALEJANDRO EFRAIN JIMENEZ ZAMORA</t>
  </si>
  <si>
    <t>EMILIO.SAINZ.2010@GMAIL.COM</t>
  </si>
  <si>
    <t>EMILIO SAINZ CURIEL</t>
  </si>
  <si>
    <t>ANTONIO ALVAREZ</t>
  </si>
  <si>
    <t>antonio.alvarez@ejemplo.com</t>
  </si>
  <si>
    <t>JOSE ANTONIO OCEGUERA</t>
  </si>
  <si>
    <t>jose.antonio.oceguera@ejemplo.com</t>
  </si>
  <si>
    <t>ISAAC OMAR RODRIGUEZ</t>
  </si>
  <si>
    <t>isaac.omar.rodriguez@ejemplo.com</t>
  </si>
  <si>
    <t>DANIEL GUTIERREZ</t>
  </si>
  <si>
    <t>daniel.gutierrez@ejemplo.com</t>
  </si>
  <si>
    <t>CE4SASR OMAR EUFRACIO MORALES</t>
  </si>
  <si>
    <t>ce4sasr.omar.eufracio.morales@ejemplo.com</t>
  </si>
  <si>
    <t>ARTURO CHAVARRIA</t>
  </si>
  <si>
    <t>arturo.chavarria@ejemplo.com</t>
  </si>
  <si>
    <t>FELIX LOPEZ GOMEZ</t>
  </si>
  <si>
    <t>felix.lopez.gomez@ejemplo.com</t>
  </si>
  <si>
    <t>BRAYAN ALCARA</t>
  </si>
  <si>
    <t>brayan.alcara@ejemplo.com</t>
  </si>
  <si>
    <t>JUAN MARTINEZ</t>
  </si>
  <si>
    <t>juan.martinez@ejemplo.com</t>
  </si>
  <si>
    <t>CRISTIAN ULISES CALLEJA PEREZ</t>
  </si>
  <si>
    <t>cristian.ulises.calleja.perez@ejemplo.com</t>
  </si>
  <si>
    <t>ISIS RIZO HUERTA</t>
  </si>
  <si>
    <t>isis.rizo.huerta@ejemplo.com</t>
  </si>
  <si>
    <t>ARNULFO JUAREZ DAUTO</t>
  </si>
  <si>
    <t>arnulfo.juarez.dauto@ejemplo.com</t>
  </si>
  <si>
    <t>GLORIA GARCIA QORTEGA</t>
  </si>
  <si>
    <t>gloria.garcia.qortega@ejemplo.com</t>
  </si>
  <si>
    <t>JOSÃ‰ CRUZ AVILAN MURILLO</t>
  </si>
  <si>
    <t>CRUZAVILAN@HOTMAIL.COM</t>
  </si>
  <si>
    <t>MIGUEL ÃNGEL MENDOZA MARTÃNEZ</t>
  </si>
  <si>
    <t>MMIGUEL.MENDOZAM@GMAIL.COM</t>
  </si>
  <si>
    <t>JUAN BAEZ</t>
  </si>
  <si>
    <t>DRJUANBAEZ100@GMAIL.COM</t>
  </si>
  <si>
    <t>MARIO CERVANTES</t>
  </si>
  <si>
    <t>MARIOCERVANTES007@HOTMAIL.COM</t>
  </si>
  <si>
    <t>ANA KAREN MONSERRAT HERNÃNDEZ ZUÃ‘IGA</t>
  </si>
  <si>
    <t>MONSEE.AH@GMAIL.COM</t>
  </si>
  <si>
    <t>PATRICIA LOPEZ</t>
  </si>
  <si>
    <t>PATYTUXLOP@HOTMAIL.COM</t>
  </si>
  <si>
    <t>MARIA ELENA MARTINEZ PAZ</t>
  </si>
  <si>
    <t>MARIAELENAMARTINEZPAZ28@GMAIL.COM</t>
  </si>
  <si>
    <t>PERLA PEREZ CLAVEL</t>
  </si>
  <si>
    <t>perla.perez.clavel@ejemplo.com</t>
  </si>
  <si>
    <t>ALAN JOSUE TORRES PEREZ</t>
  </si>
  <si>
    <t>alan.josue.torres.perez@ejemplo.com</t>
  </si>
  <si>
    <t>FERNANDO PACHECO</t>
  </si>
  <si>
    <t>fernando.pacheco@ejemplo.com</t>
  </si>
  <si>
    <t>HÃ‰CTOR EDUARDO ZAMUDIO HERNÃNDEZ</t>
  </si>
  <si>
    <t>ELGUKI@GMAIL.COM</t>
  </si>
  <si>
    <t>FABIOLA RODRIGUEZ</t>
  </si>
  <si>
    <t>fabiola.rodriguez@ejemplo.com</t>
  </si>
  <si>
    <t>OLIVIA RODRIGUEZ</t>
  </si>
  <si>
    <t>olivia.rodriguez@ejemplo.com</t>
  </si>
  <si>
    <t>JOVITA ADELA GALVAN BARRAGAN</t>
  </si>
  <si>
    <t>ANDREA_GUIZAR_31@HOTMAIL.COM</t>
  </si>
  <si>
    <t>MANUEL COCA</t>
  </si>
  <si>
    <t>MCOCA1981@GMAIL.COM</t>
  </si>
  <si>
    <t>XIOMARA IZAGUIRRE FIGUEREDO</t>
  </si>
  <si>
    <t>ROSENDO RICARDO RAMIREZ MORENO</t>
  </si>
  <si>
    <t>RICARDO_RAMIREZ1978@HOTMAIL.COM</t>
  </si>
  <si>
    <t>CLAUDIA MARIA AGUILAR BADILLO</t>
  </si>
  <si>
    <t>claudia.maria.aguilar.badillo@ejemplo.com</t>
  </si>
  <si>
    <t>MARLEN LUCERO MARTINES VELASCO</t>
  </si>
  <si>
    <t>MVELASCO.MTS@GMAIL.COM</t>
  </si>
  <si>
    <t>MARGARITA RAMIREZ</t>
  </si>
  <si>
    <t>margarita.ramirez@ejemplo.com</t>
  </si>
  <si>
    <t>LUIS SOSA PALACIOS</t>
  </si>
  <si>
    <t>luis.sosa.palacios@ejemplo.com</t>
  </si>
  <si>
    <t>JOSÃ‰ CARLOS GARCÃA</t>
  </si>
  <si>
    <t>josÃ©.carlos.garcÃ­a@ejemplo.com</t>
  </si>
  <si>
    <t>AMANDA LOPEZ</t>
  </si>
  <si>
    <t>AMYCLPZ0418@GMAIL.COM</t>
  </si>
  <si>
    <t>GUSTAVO LOPEZ</t>
  </si>
  <si>
    <t>RODOLFO JIMENEZ</t>
  </si>
  <si>
    <t>RODJM16@GMAIL.COM</t>
  </si>
  <si>
    <t>MARÃA XIMENA ANZOLA SUÃREZ</t>
  </si>
  <si>
    <t>MAURO.ANZOLA@GMAIL.COM</t>
  </si>
  <si>
    <t>MILENASUAREZB@GMAIL.COM</t>
  </si>
  <si>
    <t>MAURO GERMAN ANZOLA SARMIENTO</t>
  </si>
  <si>
    <t>YENNY MILENA SUÃREZ BUSTOS</t>
  </si>
  <si>
    <t>DARIO ULISES PEÃ‘A CASTRO</t>
  </si>
  <si>
    <t>GABO_FERRER@HOTMAIL.COM</t>
  </si>
  <si>
    <t>ABRAHAM MARQUEZ GARCIA</t>
  </si>
  <si>
    <t>AUXILIAR@TECNOVAPOR.COM.MX</t>
  </si>
  <si>
    <t>SERGIO DIEGO MARQUEZ MUÃ‘OZ</t>
  </si>
  <si>
    <t>MARCO ANTONIO MAYORGA AGUIRRE</t>
  </si>
  <si>
    <t>MAYORGAJACOBO06@GMAIL.COM</t>
  </si>
  <si>
    <t>GABRIELA PEREZ GOMEZ</t>
  </si>
  <si>
    <t>gabriela.perez.gomez@ejemplo.com</t>
  </si>
  <si>
    <t>BRISEIDA JUÃREZ JUÃREZ</t>
  </si>
  <si>
    <t>BRISHINEE@GMAIL.COM</t>
  </si>
  <si>
    <t>ISRAEL RUIZ LOPEZ</t>
  </si>
  <si>
    <t>MARIAQUINTERO117HLNLZ@GMAIL.COM</t>
  </si>
  <si>
    <t>J MARTIN LIÃ‘AN RAMOS</t>
  </si>
  <si>
    <t>ISRRAEL CALTENCO</t>
  </si>
  <si>
    <t>CALTENCO_89@HOTMAIL.COM</t>
  </si>
  <si>
    <t>GUILLERMO OLVERA MARTINEZ</t>
  </si>
  <si>
    <t>ISAURA.OLCO@GMAIL.COM</t>
  </si>
  <si>
    <t>ALFREDO JAVIER SALAZAR ZAZUETA</t>
  </si>
  <si>
    <t>JZAZUET@GMAIL.COM</t>
  </si>
  <si>
    <t>ANA LILIA HERNÃNDEZ JIMÃ‰NEZ</t>
  </si>
  <si>
    <t>LI_LI_HJ@HOTMAIL.COM</t>
  </si>
  <si>
    <t>CARLOS TOVILLA LALO</t>
  </si>
  <si>
    <t>CARTOVILLA01@GMAIL.COM</t>
  </si>
  <si>
    <t>LUCIA DOMINGUEZ</t>
  </si>
  <si>
    <t>LUCYD1370@GMAIL.COM</t>
  </si>
  <si>
    <t>CONCEPCIÃ“N BARAJAS MONTIEL</t>
  </si>
  <si>
    <t>ZELD315@HOTMAIL.COM</t>
  </si>
  <si>
    <t>IRMA YOLANDA CORREA GONZALEZ</t>
  </si>
  <si>
    <t>ERNESTO JESUS HERNANDEZ MURILLO</t>
  </si>
  <si>
    <t>ernesto.jesus.hernandez.murillo@ejemplo.com</t>
  </si>
  <si>
    <t>ARTURO JOEL ANGELES GARCIA</t>
  </si>
  <si>
    <t>FERNANDO DANIEL BERNAL AGUILERA</t>
  </si>
  <si>
    <t>FD.BERNALK@GMAIL.COM</t>
  </si>
  <si>
    <t>OSCAR SOLIS RODRÃGUEZ</t>
  </si>
  <si>
    <t>oscar.solis.rodrÃ­guez@ejemplo.com</t>
  </si>
  <si>
    <t>RODRIGO HERNANDEZ MONROY</t>
  </si>
  <si>
    <t>MCRODRIGOMONROY@GMAIL.COM</t>
  </si>
  <si>
    <t>ENEIDA SALGADO JIMENEZ</t>
  </si>
  <si>
    <t>eneida.salgado.jimenez@ejemplo.com</t>
  </si>
  <si>
    <t>VICENTE SANTILLAN SUAREZ</t>
  </si>
  <si>
    <t>vicente.santillan.suarez@ejemplo.com</t>
  </si>
  <si>
    <t>MANUEL ALEJANDRO PÃ‰REZ LUGO</t>
  </si>
  <si>
    <t>PAVELUCHESTRELLA@GMAIL.COM</t>
  </si>
  <si>
    <t>SALVADOR JUÃREZ</t>
  </si>
  <si>
    <t>SALVADOR.JUAREZ.S@ME.COM</t>
  </si>
  <si>
    <t>IRENE BENITEZ JIMENEZ</t>
  </si>
  <si>
    <t>ERIKABARAJASGDL@GMAIL.COM</t>
  </si>
  <si>
    <t>VICTOR EMILIO ORTEGA AGUILAR</t>
  </si>
  <si>
    <t>victor.emilio.ortega.aguilar@ejemplo.com</t>
  </si>
  <si>
    <t>KATYA SANCHEZ GARCIA</t>
  </si>
  <si>
    <t>katya.sanchez.garcia@ejemplo.com</t>
  </si>
  <si>
    <t>RAINER RIESS</t>
  </si>
  <si>
    <t>MAIL@BARBOSA-RIESS.COM</t>
  </si>
  <si>
    <t>ROBERTO BARBOSA ROJAS</t>
  </si>
  <si>
    <t>NEFTALI MEJIA LEGASPI</t>
  </si>
  <si>
    <t>NEFTY_ML@HOTMAIL.COM</t>
  </si>
  <si>
    <t>CONSUELO LOPEZ AGUILERA</t>
  </si>
  <si>
    <t>consuelo.lopez.aguilera@ejemplo.com</t>
  </si>
  <si>
    <t>DANIEL CONTRERAS AVILA</t>
  </si>
  <si>
    <t>daniel.contreras.avila@ejemplo.com</t>
  </si>
  <si>
    <t>BERTHA ALICIA CONTRERAS AVILA</t>
  </si>
  <si>
    <t>bertha.alicia.contreras.avila@ejemplo.com</t>
  </si>
  <si>
    <t>MAGALY PADRON HERNANDEZ</t>
  </si>
  <si>
    <t>SUPERVISIONGG40@HOTMAIL.COM</t>
  </si>
  <si>
    <t>GUSTAVO NIEVES SOTO</t>
  </si>
  <si>
    <t>gustavo.nieves.soto@ejemplo.com</t>
  </si>
  <si>
    <t>RODOLFO BARRERA RIVERO</t>
  </si>
  <si>
    <t>rodolfo.barrera.rivero@ejemplo.com</t>
  </si>
  <si>
    <t>JORGE GUZMAN</t>
  </si>
  <si>
    <t>jorge.guzman@ejemplo.com</t>
  </si>
  <si>
    <t>IRENEO VELAZQUEZ VILLALOBOS</t>
  </si>
  <si>
    <t>ireneo.velazquez.villalobos@ejemplo.com</t>
  </si>
  <si>
    <t>DIANA PAULINA OLGUIN HERNANDEZ</t>
  </si>
  <si>
    <t>diana.paulina.olguin.hernandez@ejemplo.com</t>
  </si>
  <si>
    <t>DAVID MARTINEZ HERNANDEZ</t>
  </si>
  <si>
    <t>david.martinez.hernandez@ejemplo.com</t>
  </si>
  <si>
    <t>OSCAR JUAREZ BARRIOS</t>
  </si>
  <si>
    <t>LS_INSTALACIONES@OUTLOOK.COM</t>
  </si>
  <si>
    <t>EDUARDO SOTELO</t>
  </si>
  <si>
    <t>eduardo.sotelo@ejemplo.com</t>
  </si>
  <si>
    <t>RICARDO RANGEL QUINTANA</t>
  </si>
  <si>
    <t>ricardo.rangel.quintana@ejemplo.com</t>
  </si>
  <si>
    <t>ANDRES SERMEÃ‘O CANO</t>
  </si>
  <si>
    <t>andres.sermeÃ±o.cano@ejemplo.com</t>
  </si>
  <si>
    <t>GERONIMO CASTAÃ‘EDA ESCALONA</t>
  </si>
  <si>
    <t>geronimo.castaÃ±eda.escalona@ejemplo.com</t>
  </si>
  <si>
    <t>MARIO CASTAÃ‘EDA MARTINEZ</t>
  </si>
  <si>
    <t>mario.castaÃ±eda.martinez@ejemplo.com</t>
  </si>
  <si>
    <t>FERMIN BARBOSA</t>
  </si>
  <si>
    <t>fermin.barbosa@ejemplo.com</t>
  </si>
  <si>
    <t>SELENE NAVARRO</t>
  </si>
  <si>
    <t>selene.navarro@ejemplo.com</t>
  </si>
  <si>
    <t>ALDO SALVADOR MARTINEZ VENEGAS</t>
  </si>
  <si>
    <t>aldo.salvador.martinez.venegas@ejemplo.com</t>
  </si>
  <si>
    <t>CATALINA MAYA ROMERO</t>
  </si>
  <si>
    <t>catalina.maya.romero@ejemplo.com</t>
  </si>
  <si>
    <t>CUAUHTEMOC CISNEROS MADRID</t>
  </si>
  <si>
    <t>cuauhtemoc.cisneros.madrid@ejemplo.com</t>
  </si>
  <si>
    <t>AZUL SAMARA VELEZ GONZALEZ</t>
  </si>
  <si>
    <t>AZUL.VELEZ2132@ALUMNOS.UDG.MX</t>
  </si>
  <si>
    <t>RAÃšL CASTILLO</t>
  </si>
  <si>
    <t>RCM.MAC@HOTMAIL.COM</t>
  </si>
  <si>
    <t>WALTER JAIME CASTAÃ‘EDA</t>
  </si>
  <si>
    <t>MIGUEL DIEGO GOMEZ</t>
  </si>
  <si>
    <t>miguel.diego.gomez@ejemplo.com</t>
  </si>
  <si>
    <t>ESTELA RAMIREZ RODRIGUEZ</t>
  </si>
  <si>
    <t>estela.ramirez.rodriguez@ejemplo.com</t>
  </si>
  <si>
    <t>FIDEL RODRIGUEZ GARCIA</t>
  </si>
  <si>
    <t>fidel.rodriguez.garcia@ejemplo.com</t>
  </si>
  <si>
    <t>ISARAEL PEÃ‘A NICOLAS</t>
  </si>
  <si>
    <t>isarael.peÃ±a.nicolas@ejemplo.com</t>
  </si>
  <si>
    <t>LIBRADO VAZQUEZ MARTINEZ</t>
  </si>
  <si>
    <t>librado.vazquez.martinez@ejemplo.com</t>
  </si>
  <si>
    <t>JUAN PABLO PEREZ SOLORZANO</t>
  </si>
  <si>
    <t>JPX11799@GMAIL.COM</t>
  </si>
  <si>
    <t>ALEXEI LEMUS HERRERA</t>
  </si>
  <si>
    <t>alexei.lemus.herrera@ejemplo.com</t>
  </si>
  <si>
    <t>ROMAIN EMMANUEL GERMAIN BEROUL</t>
  </si>
  <si>
    <t>ROMAIN.SULTEN@OUTLOOK.FR</t>
  </si>
  <si>
    <t>LENNON RODRIGUES DE OLIVEIRA REGINALDO RODRIG</t>
  </si>
  <si>
    <t>LENNONRODRIGUES-RN@HOTMAIL.COM</t>
  </si>
  <si>
    <t>ARMADOR ARTURO CANSECO MARTÃNEZ</t>
  </si>
  <si>
    <t>OSCAR.GDL90HDZ@GMAIL.COM</t>
  </si>
  <si>
    <t>OSCAR CANSECO HERNANDEZ</t>
  </si>
  <si>
    <t>MARIA LADONADO CARBAJAL</t>
  </si>
  <si>
    <t>maria.ladonado.carbajal@ejemplo.com</t>
  </si>
  <si>
    <t>RODOLFO GARCÃA LOPEZ</t>
  </si>
  <si>
    <t>MARYTZA.C31@GMAIL.COM</t>
  </si>
  <si>
    <t>MARIO CAMPISTRANO MEJIA</t>
  </si>
  <si>
    <t>MIRIAMCAMPIS81@GMAIL.COM</t>
  </si>
  <si>
    <t>LIZETH JUÃREZ DIAZ</t>
  </si>
  <si>
    <t>LIZI_JUAREZ@HOTMAIL.COM</t>
  </si>
  <si>
    <t>VALERIA QUIROZ</t>
  </si>
  <si>
    <t>valeria.quiroz@ejemplo.com</t>
  </si>
  <si>
    <t>AARON TERAN ALVAREZ</t>
  </si>
  <si>
    <t>ZULEMAVELASCOMARTINEZ@GMAIL.COM</t>
  </si>
  <si>
    <t>ARMANDO DE LA CRUZ</t>
  </si>
  <si>
    <t>armando.de.la.cruz@ejemplo.com</t>
  </si>
  <si>
    <t>AMANDA CAMARENA SOLORZANO</t>
  </si>
  <si>
    <t>AMAERALD.25@GMAIL.COM</t>
  </si>
  <si>
    <t>OLIVER ULISES DE LA TORRE</t>
  </si>
  <si>
    <t>ALTAGRACIA ROCIO GARCIA ROJAS</t>
  </si>
  <si>
    <t>GEORORTIZ21@GMAIL.COM</t>
  </si>
  <si>
    <t>MANUEL ESPINOSA</t>
  </si>
  <si>
    <t>ESPINOSA.CHAVEZ.MANUEL@GMAIL.COM</t>
  </si>
  <si>
    <t>SERGIO JESUS SORIA SANCHEZ</t>
  </si>
  <si>
    <t>CUENTAS.ESPECIALES@MTMCORPORATION.MX</t>
  </si>
  <si>
    <t>EDUARDO JUAREZ DOMINGUEZ</t>
  </si>
  <si>
    <t>eduardo.juarez.dominguez@ejemplo.com</t>
  </si>
  <si>
    <t>ULISES CHAVEZ SANDOVAL</t>
  </si>
  <si>
    <t>BRYAN LEON</t>
  </si>
  <si>
    <t>DANIELAAA19.DA@GMAIL.COM</t>
  </si>
  <si>
    <t>ANDREW WITCHIE</t>
  </si>
  <si>
    <t>ANDREWWITCHIE@GMAIL.COM</t>
  </si>
  <si>
    <t>KASSANDRA GARCIA</t>
  </si>
  <si>
    <t>ANA KAREN SANCHEZ GARCIA</t>
  </si>
  <si>
    <t>AKSGTAT99@GMAIL.COM</t>
  </si>
  <si>
    <t>AILYN GARCIA SANTOS</t>
  </si>
  <si>
    <t>AILYNGARCIA2015@GMAIL.COM</t>
  </si>
  <si>
    <t>CHRISTIAN FRANCISCO AGUILAR CALZADA</t>
  </si>
  <si>
    <t>SALVADOR REYES QUINTANA</t>
  </si>
  <si>
    <t>PRINSMA.SRQ36@GMAIL.COM</t>
  </si>
  <si>
    <t>JOEL AKÃ‰ DE LA LUZ</t>
  </si>
  <si>
    <t>JAKE@MORTONSUBASTAS.COM</t>
  </si>
  <si>
    <t>JESÃšS DAMIAN RIVERA FONSECA</t>
  </si>
  <si>
    <t>ANAKAREN.G@PYCCE.COM.MX</t>
  </si>
  <si>
    <t>BRENDA ACO ENRIQUEZ</t>
  </si>
  <si>
    <t>ACOENRIQUEZBRENDA@GMAIL.COM</t>
  </si>
  <si>
    <t>MANUEL BASULTO RODRIGUEZ</t>
  </si>
  <si>
    <t>MANBR96@GMAIL.COM</t>
  </si>
  <si>
    <t>ALFREDO GÃ“MEZ ESPEJEL</t>
  </si>
  <si>
    <t>ALGO_02@HOTMAIL.COM</t>
  </si>
  <si>
    <t>EDWIN JONATHAN FRIAS ROLDÃN</t>
  </si>
  <si>
    <t>EDWINJFR@GMAIL.COM</t>
  </si>
  <si>
    <t>ILIANAHK10@GMAIL.COM</t>
  </si>
  <si>
    <t>ILIANA LORENA FLORES LUNA</t>
  </si>
  <si>
    <t>EDUARDO CAZARES DORANTES</t>
  </si>
  <si>
    <t>eduardo.cazares.dorantes@ejemplo.com</t>
  </si>
  <si>
    <t>JOSÃ‰ LUIS LOPEZ PALESTINA</t>
  </si>
  <si>
    <t>josÃ©.luis.lopez.palestina@ejemplo.com</t>
  </si>
  <si>
    <t>RAMON DUARTE GARCÃA</t>
  </si>
  <si>
    <t>ramon.duarte.garcÃ­a@ejemplo.com</t>
  </si>
  <si>
    <t>ÃLVARO BETANCOURT OCHOA</t>
  </si>
  <si>
    <t>BETANCOOKS@GMAIL.COM</t>
  </si>
  <si>
    <t>GABRIELA GUTIÃ‰RREZ GÃ“MEZ</t>
  </si>
  <si>
    <t>AXEL.SALAZAR15@GMAIL.COM</t>
  </si>
  <si>
    <t>MARIO  IVAN GUTIERREZ</t>
  </si>
  <si>
    <t>mario..ivan.gutierrez@ejemplo.com</t>
  </si>
  <si>
    <t>NOE RAMIREZ</t>
  </si>
  <si>
    <t>noe.ramirez@ejemplo.com</t>
  </si>
  <si>
    <t>OSCAR ABEL CARDENAS</t>
  </si>
  <si>
    <t>oscar.abel.cardenas@ejemplo.com</t>
  </si>
  <si>
    <t>WENDY VERA</t>
  </si>
  <si>
    <t>JULYJAZZP@GMAIL.COM</t>
  </si>
  <si>
    <t>SAUL NIZ BALVANEDA</t>
  </si>
  <si>
    <t>saul.niz.balvaneda@ejemplo.com</t>
  </si>
  <si>
    <t>SALVADOR CHAVEZ VARGAS</t>
  </si>
  <si>
    <t>salvador.chavez.vargas@ejemplo.com</t>
  </si>
  <si>
    <t>ALEJANDRO MATA MORALES</t>
  </si>
  <si>
    <t>alejandro.mata.morales@ejemplo.com</t>
  </si>
  <si>
    <t>RICARDO GARAY ESCOBEDO</t>
  </si>
  <si>
    <t>ricardo.garay.escobedo@ejemplo.com</t>
  </si>
  <si>
    <t>COMPLENTO ULISES CHAVEZ</t>
  </si>
  <si>
    <t>complento.ulises.chavez@ejemplo.com</t>
  </si>
  <si>
    <t>ADRIANA IVETH VÃZQUEZ ESTRADA</t>
  </si>
  <si>
    <t>ADRIANA.VAZQUEZ@GIA.MX</t>
  </si>
  <si>
    <t>FERNANDO ALONSO BETANCOURT PÃ‰REZ</t>
  </si>
  <si>
    <t>FERCHOABP@OUTLOOK.COM</t>
  </si>
  <si>
    <t>MARIA DEL ROCIO BARBA ESPINOZA</t>
  </si>
  <si>
    <t>maria.del.rocio.barba.espinoza@ejemplo.com</t>
  </si>
  <si>
    <t>JOSÃ‰ RAÃšL NAVARRO CAREAGA</t>
  </si>
  <si>
    <t>JOSENAVARROC@OUTLOOK.COM</t>
  </si>
  <si>
    <t>DANIELA MIRANDA</t>
  </si>
  <si>
    <t>daniela.miranda@ejemplo.com</t>
  </si>
  <si>
    <t>ALFONSO RAMIREZ MUÃ‘OZ</t>
  </si>
  <si>
    <t>alfonso.ramirez.muÃ±oz@ejemplo.com</t>
  </si>
  <si>
    <t>ELISA MEZA TORRES</t>
  </si>
  <si>
    <t>elisa.meza.torres@ejemplo.com</t>
  </si>
  <si>
    <t>EFRAI SALADO MARQEZ</t>
  </si>
  <si>
    <t>efrai.salado.marqez@ejemplo.com</t>
  </si>
  <si>
    <t>ARTURO VILLALOBOS GUERRERO</t>
  </si>
  <si>
    <t>arturo.villalobos.guerrero@ejemplo.com</t>
  </si>
  <si>
    <t>MARTIN BERNARDINO LOPEZ</t>
  </si>
  <si>
    <t>martin.bernardino.lopez@ejemplo.com</t>
  </si>
  <si>
    <t>ARTURO VILLEGAS MACIAS</t>
  </si>
  <si>
    <t>ARTUROGZVILLEGAS@GMAIL.COM</t>
  </si>
  <si>
    <t>DULCE ESTHER MARTINEZ VARGAS</t>
  </si>
  <si>
    <t>dulce.esther.martinez.vargas@ejemplo.com</t>
  </si>
  <si>
    <t>ARELI JEZABEL ALVARADO GARCIA</t>
  </si>
  <si>
    <t>ARELI.ALVARADOG@OUTLOOK.ES</t>
  </si>
  <si>
    <t>VANESSA CARDENAS ALVARADO</t>
  </si>
  <si>
    <t>VICTOR MONROY OMAÃ‘A</t>
  </si>
  <si>
    <t>victor.monroy.omaÃ±a@ejemplo.com</t>
  </si>
  <si>
    <t>ADRIANA CHAVARRIA GARCIA</t>
  </si>
  <si>
    <t>PRIDE0011@GMAIL.COM</t>
  </si>
  <si>
    <t>PEDRO ALONSO RUVALCABA GONZALEZ</t>
  </si>
  <si>
    <t>pedro.alonso.ruvalcaba.gonzalez@ejemplo.com</t>
  </si>
  <si>
    <t>PEDRO ALONSO RUVALCABA RIVERA</t>
  </si>
  <si>
    <t>pedro.alonso.ruvalcaba.rivera@ejemplo.com</t>
  </si>
  <si>
    <t>JOSE GUADALUPE HERNANDEZ BECERRIL</t>
  </si>
  <si>
    <t>PEPEHDZB@GMAIL.COM</t>
  </si>
  <si>
    <t>SANTIAGO MAISTERRA BRU</t>
  </si>
  <si>
    <t>santiago.maisterra.bru@ejemplo.com</t>
  </si>
  <si>
    <t>MARIA SEVERA ARVIZU ARVIZU</t>
  </si>
  <si>
    <t>ROXANAJOSEFINAVALDESMARTINEZ@GMAIL.COM</t>
  </si>
  <si>
    <t>OBED ALEXIS HERNANDEZ QUINTERO</t>
  </si>
  <si>
    <t>URIELQV_@HOTMAIL.COM</t>
  </si>
  <si>
    <t>ENRIQUE ESTRADA ROMERO</t>
  </si>
  <si>
    <t>enrique.estrada.romero@ejemplo.com</t>
  </si>
  <si>
    <t>ENRIQUE ESTRADA MUÃ‘OZ</t>
  </si>
  <si>
    <t>enrique.estrada.muÃ±oz@ejemplo.com</t>
  </si>
  <si>
    <t>ANDREA ESTRADA CONTRERAS</t>
  </si>
  <si>
    <t>andrea.estrada.contreras@ejemplo.com</t>
  </si>
  <si>
    <t>MARTA EUGENIA LOVERA LOPEZ</t>
  </si>
  <si>
    <t>marta.eugenia.lovera.lopez@ejemplo.com</t>
  </si>
  <si>
    <t>MIREYA A LOPEZ RODRIGUEZ</t>
  </si>
  <si>
    <t>mireya.a.lopez.rodriguez@ejemplo.com</t>
  </si>
  <si>
    <t>MARIA ARCELIA CALLEJA</t>
  </si>
  <si>
    <t>maria.arcelia.calleja@ejemplo.com</t>
  </si>
  <si>
    <t>CLAUDIA CLEMENTINA MONDRAGON CALLEJ</t>
  </si>
  <si>
    <t>claudia.clementina.mondragon.callej@ejemplo.com</t>
  </si>
  <si>
    <t>ANICETA HERNANDEZ HERNANDEZ</t>
  </si>
  <si>
    <t>aniceta.hernandez.hernandez@ejemplo.com</t>
  </si>
  <si>
    <t>JUAN PABLO ARAIZA JIMENEZ</t>
  </si>
  <si>
    <t>TOMMYMXS@GMAIL.COM</t>
  </si>
  <si>
    <t>JOSE ANTONIO MIRANDA GALVAN</t>
  </si>
  <si>
    <t>ASISTENTE@GRUPOSIM.COM.MX</t>
  </si>
  <si>
    <t>KEVIN SALVADOR VELASCO ORTIZ</t>
  </si>
  <si>
    <t>PROYECTOS@SHAS.COM.MX</t>
  </si>
  <si>
    <t>MARIA DEL    CARMEN  MEJIA  PADILLA</t>
  </si>
  <si>
    <t>maria.del....carmen..mejia..padilla@ejemplo.com</t>
  </si>
  <si>
    <t>CARLOS EMILIANO JIMENEZ MARTINEZ</t>
  </si>
  <si>
    <t>FACTURAS@AUTOPRESTA.MX</t>
  </si>
  <si>
    <t>EDGAR ALEJANDRO JIMENEZ MAYA</t>
  </si>
  <si>
    <t>LAISHA ALANÃS JIMÃ‰NEZ MARTINEZ</t>
  </si>
  <si>
    <t>ARIES EDUARDO GUADARRAMA ZENTENO</t>
  </si>
  <si>
    <t>ARIES.G.ZENTENO@GMAIL.COM</t>
  </si>
  <si>
    <t>ALAN DE JESUS MONROY</t>
  </si>
  <si>
    <t>ACM-INS-ELEC@HOTMAIL.COM</t>
  </si>
  <si>
    <t>ARTURO FERRER</t>
  </si>
  <si>
    <t>DIEGO ALCARAZAR TREVIÃ‘O</t>
  </si>
  <si>
    <t>DENDERUIZ@GMAIL.COM</t>
  </si>
  <si>
    <t>DIUNIS VALDEZ OFARRIL</t>
  </si>
  <si>
    <t>FABIÃN DÃAZ HERNÃNDEZ</t>
  </si>
  <si>
    <t>JOSÃ‰ RAYMUNDO MEJÃA LÃ“PEZ</t>
  </si>
  <si>
    <t>LUIS EDUARDO DÃAZ HERNÃNDEZ</t>
  </si>
  <si>
    <t>EDGAR ROBERTO AGUILAR</t>
  </si>
  <si>
    <t>ENRIQUE.CRUZAVEIRO@GMAIL.COM</t>
  </si>
  <si>
    <t>ARMIDA CRUZ</t>
  </si>
  <si>
    <t>MARIA ANTONIA PEÃ‘A NUÃ‘EZ</t>
  </si>
  <si>
    <t>I_FON58@HOTMAIL.COM</t>
  </si>
  <si>
    <t>SELENE DEL CARMEN RODRIGUEZ MILLAN</t>
  </si>
  <si>
    <t>selene.del.carmen.rodriguez.millan@ejemplo.com</t>
  </si>
  <si>
    <t>GUILLERMO MINAKATA CARDENAS</t>
  </si>
  <si>
    <t>guillermo.minakata.cardenas@ejemplo.com</t>
  </si>
  <si>
    <t>MIGUEL ANGEL MEJIA AREVALO</t>
  </si>
  <si>
    <t>SERGIO_ARCEO@HOTMAIL.COM</t>
  </si>
  <si>
    <t>JUAN JESUS QUIROZ</t>
  </si>
  <si>
    <t>JHONATANSORIANO@GMAIL.COM</t>
  </si>
  <si>
    <t>MANUEL PERALTA AGUILAR</t>
  </si>
  <si>
    <t>MANUELPA220999@GMAIL.COM</t>
  </si>
  <si>
    <t>JOSE ANTONIO PEREZ LOPEZ</t>
  </si>
  <si>
    <t>CORONELJOSE9012@GMAIL.COM</t>
  </si>
  <si>
    <t>MARGARITO MARIO HERNÃNDEZ</t>
  </si>
  <si>
    <t>CACTUSMARIO@HOTMAIL.COM</t>
  </si>
  <si>
    <t>LAYLA WEISENBERGER MC EVILLY</t>
  </si>
  <si>
    <t>LJWSNBRGR@GMAIL.COM</t>
  </si>
  <si>
    <t>ANTONIO ESPINOSA VÃZQUEZ</t>
  </si>
  <si>
    <t>ANTONIOESPINOSA@ESBRACO.COM.MX</t>
  </si>
  <si>
    <t>ROBERTO REINEL RAMIREZ HERNÃNDEZ</t>
  </si>
  <si>
    <t>ROBY570606@GMAIL.COM</t>
  </si>
  <si>
    <t>JOSÃ‰ CASTRO VILLANUEVA</t>
  </si>
  <si>
    <t>JCFILOSO1998@GMAIL.COM</t>
  </si>
  <si>
    <t>GIANCARLO VERA</t>
  </si>
  <si>
    <t>GIANCARLO291210@GMAIL.COM</t>
  </si>
  <si>
    <t>ALEJANDRA GAMBOA ORDUÃ‘O</t>
  </si>
  <si>
    <t>JANAYR26.AG@GMAIL.COM</t>
  </si>
  <si>
    <t>ESPERANZA ELIZABETH GAMBOA ORDUÃ‘O</t>
  </si>
  <si>
    <t>JOSÃ‰ BACILIO RODRIGUEZ PADILLA</t>
  </si>
  <si>
    <t>LESLIE ESTEFANIA GAMBOA BARON</t>
  </si>
  <si>
    <t>PATRICIA GAMBOA ORDUÃ‘O</t>
  </si>
  <si>
    <t>IVANNA PATRICIA RODRIGUEZ GAMBOA</t>
  </si>
  <si>
    <t>SEBASTIAN PONCE GAMBOA</t>
  </si>
  <si>
    <t>ALEJANDRO GABRIEL CARRERA CORREA</t>
  </si>
  <si>
    <t>LATOCARRERA@GMAIL.COM</t>
  </si>
  <si>
    <t>KRISTEL ANELLIE AGUILERA GOMEZ AGUILERA GOMEZ</t>
  </si>
  <si>
    <t>SG0693174@GMAIL.COM</t>
  </si>
  <si>
    <t>CESAR CRUZ CORDERO LOEZ</t>
  </si>
  <si>
    <t>cesar.cruz.cordero.loez@ejemplo.com</t>
  </si>
  <si>
    <t>MARÃA EDITH RIVERA PÃ‰REZ</t>
  </si>
  <si>
    <t>JULIA.LIL.RIV@GMAIL.COM</t>
  </si>
  <si>
    <t>CIRO LICONA</t>
  </si>
  <si>
    <t>CIROLICONA158@GMAIL.COM</t>
  </si>
  <si>
    <t>JOAQUIN LICONA</t>
  </si>
  <si>
    <t>RAQUEL LICONA</t>
  </si>
  <si>
    <t>raquel.licona@ejemplo.com</t>
  </si>
  <si>
    <t>MA DEL REFUGIO LICONA</t>
  </si>
  <si>
    <t>ma.del.refugio.licona@ejemplo.com</t>
  </si>
  <si>
    <t>PEDRO TADEO LUNA</t>
  </si>
  <si>
    <t>PEDRO.TADEO@GMAIL.COM</t>
  </si>
  <si>
    <t>ALAN MAXIMILIANO RIOS DIAZ</t>
  </si>
  <si>
    <t>ERICKAPIRY@GMAIL.COM</t>
  </si>
  <si>
    <t>ALFREDO GOMEZ RIZO</t>
  </si>
  <si>
    <t>MAURICIO.COLIN.MARTINEZ90@GMAIL.COM</t>
  </si>
  <si>
    <t>CONSUELO VANESSA CASTILLO MÃ‰NDEZ MÃ‰NDEZ</t>
  </si>
  <si>
    <t>VANECASTILLOMENDEZ@GMAIL.COM</t>
  </si>
  <si>
    <t>CARLOS DANIEL GOMEZ CARRILLO</t>
  </si>
  <si>
    <t>JOSLUIS_GOCAB@HOTMAIL.COM</t>
  </si>
  <si>
    <t>JESÃšS EDUARDO GOMEZ CARRILLO</t>
  </si>
  <si>
    <t>JOSE LUIS GOMEZ CABRERA</t>
  </si>
  <si>
    <t>JULIO CESAR CARRENO VERGARA</t>
  </si>
  <si>
    <t>julio.cesar.carreno.vergara@ejemplo.com</t>
  </si>
  <si>
    <t>JORGE LUIS GARCÃA CANO</t>
  </si>
  <si>
    <t>JOR.GARCIACANO@GMAIL.COM</t>
  </si>
  <si>
    <t>VICTOR HUGO HERNANDEZ</t>
  </si>
  <si>
    <t>victor.hugo.hernandez@ejemplo.com</t>
  </si>
  <si>
    <t>GUILLERMO ORELLANA URIBE</t>
  </si>
  <si>
    <t>WILLYORELL@YAHOO.COM</t>
  </si>
  <si>
    <t>JOSE ANTONIO CRUZ BENITEZ</t>
  </si>
  <si>
    <t>jose.antonio.cruz.benitez@ejemplo.com</t>
  </si>
  <si>
    <t>JOSE LUIS JIMENEZ</t>
  </si>
  <si>
    <t>jose.luis.jimenez@ejemplo.com</t>
  </si>
  <si>
    <t>CESAR CRUZ</t>
  </si>
  <si>
    <t>ECRUZG2006@ALUMNO.IPM.MX</t>
  </si>
  <si>
    <t>CLAUDIA GOMEZ</t>
  </si>
  <si>
    <t>ESTEPHANNY CRUZ GOMEZ</t>
  </si>
  <si>
    <t>LUIS GUILLERMO DEL VALLE DE LA VEGA</t>
  </si>
  <si>
    <t>GDELVALLE.LDV@GMAIL.COM</t>
  </si>
  <si>
    <t>MAURICIO MENDEZ MINUTTI</t>
  </si>
  <si>
    <t>MMINUTTIP@GMAIL.COM</t>
  </si>
  <si>
    <t>JOSE JUAN ZAMUDIO</t>
  </si>
  <si>
    <t>jose.juan.zamudio@ejemplo.com</t>
  </si>
  <si>
    <t>MARIA DEL ROCIO AGUILAR ROMERO</t>
  </si>
  <si>
    <t>maria.del.rocio.aguilar.romero@ejemplo.com</t>
  </si>
  <si>
    <t>ENRIQUE VALDEZ GUTIERREZ</t>
  </si>
  <si>
    <t>enrique.valdez.gutierrez@ejemplo.com</t>
  </si>
  <si>
    <t>ZAIDA ROMERO</t>
  </si>
  <si>
    <t>zaida.romero@ejemplo.com</t>
  </si>
  <si>
    <t>BRAYAN MARTINEZ GUTIERREZ</t>
  </si>
  <si>
    <t>brayan.martinez.gutierrez@ejemplo.com</t>
  </si>
  <si>
    <t>ELIZABETH MONTES MACHUCA</t>
  </si>
  <si>
    <t>JEDMEH@GMAIL.COM</t>
  </si>
  <si>
    <t>JUAN EDUARDO MEJÃA HERNÃNDEZ</t>
  </si>
  <si>
    <t>CLAUDIO HERNÃNDEZ CORNEJO</t>
  </si>
  <si>
    <t>VERONICAARELLANO254@GMAIL.COM</t>
  </si>
  <si>
    <t>LUZ ARELI SANDOVAL AGUIRRE</t>
  </si>
  <si>
    <t>LUZ_ARELI@OUTLOOK.COM</t>
  </si>
  <si>
    <t>MARLON GUSTAVO BUSTOS ZUÃ‘IGA</t>
  </si>
  <si>
    <t>ELIAS VALENCIA</t>
  </si>
  <si>
    <t>elias.valencia@ejemplo.com</t>
  </si>
  <si>
    <t>NORMA ALICIA MARTÃNEZ ZUÃ‘IGA</t>
  </si>
  <si>
    <t>ELIAS@CDMIGRANTE.ORG</t>
  </si>
  <si>
    <t>PLABLO GARCIA</t>
  </si>
  <si>
    <t>LEO@LEOCOMERCIAL.COM</t>
  </si>
  <si>
    <t>ONICE ORTIGOZA RODRIGUEZ</t>
  </si>
  <si>
    <t>ORTIGOZAONICE555@HOTMAIL.COM</t>
  </si>
  <si>
    <t>ONICE DEL CARMEN RODRIGUEZ DE LA TORRE</t>
  </si>
  <si>
    <t>KAREN GARCIA ORDAZ</t>
  </si>
  <si>
    <t>ORDAZKAR13@GMAIL.COM</t>
  </si>
  <si>
    <t>ANA TERESA MORENO MARTINEZ</t>
  </si>
  <si>
    <t>ANAMORENO.MTZ@HOTMAIL.COM</t>
  </si>
  <si>
    <t>OSCAR LUIS AMIREZ RICO</t>
  </si>
  <si>
    <t>oscar.luis.amirez.rico@ejemplo.com</t>
  </si>
  <si>
    <t>SUSANA RAMIREZ RICO</t>
  </si>
  <si>
    <t>susana.ramirez.rico@ejemplo.com</t>
  </si>
  <si>
    <t>MARIA CECILIA RAMIREZ RICO</t>
  </si>
  <si>
    <t>maria.cecilia.ramirez.rico@ejemplo.com</t>
  </si>
  <si>
    <t>MARICARMEN ROBLEDO BARCENAS</t>
  </si>
  <si>
    <t>maricarmen.robledo.barcenas@ejemplo.com</t>
  </si>
  <si>
    <t>URIEL ROA ESTRADA</t>
  </si>
  <si>
    <t>CHUBBY2011@LIVE.COM.MX</t>
  </si>
  <si>
    <t>DIANA TAPIA MARTÃNEZ</t>
  </si>
  <si>
    <t>D.CITLALLI@HOTMAIL.COM</t>
  </si>
  <si>
    <t>GONZALO ALFREDO RUIZ CHAVEZ</t>
  </si>
  <si>
    <t>GONZALORUIZ.EF@GMAIL.COM</t>
  </si>
  <si>
    <t>LUZ MARIA VILLA GARCIA</t>
  </si>
  <si>
    <t>LINDA.VELAZQUEZ@GCC.MX</t>
  </si>
  <si>
    <t>MARIO MARTINEZ AVILES</t>
  </si>
  <si>
    <t>KATIA YAMILA TAVERA RUBIO</t>
  </si>
  <si>
    <t>CEMPASAJE@GMAIL.COM</t>
  </si>
  <si>
    <t>MARTHA LAURA ESPINOZA CEJA</t>
  </si>
  <si>
    <t>NICOLE NAYDELIN DE LA VEGA BOJORGES</t>
  </si>
  <si>
    <t>ALEJANDRA GARCIA ARGUELLES</t>
  </si>
  <si>
    <t>EMILY MARIBEL RAMOS RAMOS</t>
  </si>
  <si>
    <t>AMAYRANI JATZZIRI FERNANDO MARCELO</t>
  </si>
  <si>
    <t>ELEAZAR ESQUIVEL PEDRAZA</t>
  </si>
  <si>
    <t>L.E.S.E@OUTLOOK.COM</t>
  </si>
  <si>
    <t>TERESA DE LOURDES DIAZ JIMENEZ</t>
  </si>
  <si>
    <t>MC_GONZALEZG@HOTMAIL.COM</t>
  </si>
  <si>
    <t>ADELA TAPIA RAÃREZ</t>
  </si>
  <si>
    <t>TEREDELOURDESSJS@GMAIL.COM</t>
  </si>
  <si>
    <t>DANIEL HUMBERTO LÃ“PEZ SALAZAR</t>
  </si>
  <si>
    <t>CMEJIAJYT@GMAIL.COM</t>
  </si>
  <si>
    <t>MARÃA DEL CARMEN MEJIA MÃRQUEZ</t>
  </si>
  <si>
    <t>FELIPE ZAPOTECAS GUERRA</t>
  </si>
  <si>
    <t>NORMAPALACIOS907@GMAIL.COM</t>
  </si>
  <si>
    <t>NORMA PALACIOS HERNANDEZ</t>
  </si>
  <si>
    <t>JOAQUÃN VICTORINO QUIROZ MAULEON</t>
  </si>
  <si>
    <t>ALEXFUSSIONE@GMAIL.COM</t>
  </si>
  <si>
    <t>PEDRO QUIROZ MAULION</t>
  </si>
  <si>
    <t>FELIPE DE JESÃšS CASTAÃ‘EDA IBARRA</t>
  </si>
  <si>
    <t>GDL.GACM@GMAIL.COM</t>
  </si>
  <si>
    <t>RAFAEL GUTIÃ‰RREZ MORALES</t>
  </si>
  <si>
    <t>R_GUTIERREZ_69@YAHOO.COM.MX</t>
  </si>
  <si>
    <t>GUILLERMO IGNACIO CAÃ‘EDO VELAZQUEZ</t>
  </si>
  <si>
    <t>GUILLERMOCANEDO@YAHOO.COM</t>
  </si>
  <si>
    <t>CESAR OCTAVIO LUQUIN RINCÃ“N</t>
  </si>
  <si>
    <t>CESAR.LUQUIN@ECOCHILLERS.COM</t>
  </si>
  <si>
    <t>LIZBETH.VILLALVAZO@ECOCHILLERS.COM</t>
  </si>
  <si>
    <t>CRISTINA LIZBETH VILLALVAZO MUÃ‘OZ</t>
  </si>
  <si>
    <t>ANTONIO ISMAEL GONZALEZ APARICIO</t>
  </si>
  <si>
    <t>SOPORTE@ACASOFT.COM.MX</t>
  </si>
  <si>
    <t>ANAYANSI ORGAZ MALDONADO</t>
  </si>
  <si>
    <t>HECTORRGZGOMEZ@GMAIL.COM</t>
  </si>
  <si>
    <t>MARIA ANTONIETA PAZ PADILLA</t>
  </si>
  <si>
    <t>maria.antonieta.paz.padilla@ejemplo.com</t>
  </si>
  <si>
    <t>EDUARDO ALFREDO TORRECILLAS GARCIA</t>
  </si>
  <si>
    <t>eduardo.alfredo.torrecillas.garcia@ejemplo.com</t>
  </si>
  <si>
    <t>CELIA LOPEZ</t>
  </si>
  <si>
    <t>INV_SERVINT20@OUTLOOK.COM</t>
  </si>
  <si>
    <t>RODRIGO GONZALEZ LOPEZ</t>
  </si>
  <si>
    <t>JAIME   ALBARRAN</t>
  </si>
  <si>
    <t>jaime...albarran@ejemplo.com</t>
  </si>
  <si>
    <t>JAIME   ELIAS  ALBARRAN</t>
  </si>
  <si>
    <t>jaime...elias..albarran@ejemplo.com</t>
  </si>
  <si>
    <t>ESTEFANÃA OLVERA</t>
  </si>
  <si>
    <t>estefanÃ­a.olvera@ejemplo.com</t>
  </si>
  <si>
    <t>JORGE ARTURO CAMACHO AMDAM</t>
  </si>
  <si>
    <t>jorge.arturo.camacho.amdam@ejemplo.com</t>
  </si>
  <si>
    <t>BEATRIZ ELENA RAMOS COVARRUBIAS</t>
  </si>
  <si>
    <t>beatriz.elena.ramos.covarrubias@ejemplo.com</t>
  </si>
  <si>
    <t>DIEGO OMAR GARCIA RONQUILLO</t>
  </si>
  <si>
    <t>GOMARIN94@GMAIL.COM</t>
  </si>
  <si>
    <t>LOURDES YESENIA VIDAL</t>
  </si>
  <si>
    <t>LULUSITA_PKM@HOTMAIL.COM</t>
  </si>
  <si>
    <t>JOSÃ‰ BENJAMÃN GONZÃLEZ MAURICIO</t>
  </si>
  <si>
    <t>LIC.BENJAMIN.GM@GMAIL.COM</t>
  </si>
  <si>
    <t>MONICA MANZO CHAVEZ</t>
  </si>
  <si>
    <t>MONICMANZO@GMAIL.COM</t>
  </si>
  <si>
    <t>MARIANA MORA MANZO</t>
  </si>
  <si>
    <t>SOFIA MORA MANZO</t>
  </si>
  <si>
    <t>LORENA JAZMIN LOPEZ LOZADA</t>
  </si>
  <si>
    <t>TICOHP@YAHOO.COM</t>
  </si>
  <si>
    <t>VANESSA HERNÃNDEZ LÃ“PEZ</t>
  </si>
  <si>
    <t>VALERIA HERNÃNDEZ LÃ“PEZ</t>
  </si>
  <si>
    <t>MARIA CONCEPCIÃ“N RIVERA LUGO</t>
  </si>
  <si>
    <t>BJCAMACHO90@GMAIL.COM</t>
  </si>
  <si>
    <t>ADALBERTO GUTIERREZ</t>
  </si>
  <si>
    <t>GUSA07131982@GMAIL.COM</t>
  </si>
  <si>
    <t>VICTOR MANUEL FLORES TRUEBA</t>
  </si>
  <si>
    <t>victor.manuel.flores.trueba@ejemplo.com</t>
  </si>
  <si>
    <t>SOCORRO VARGAS</t>
  </si>
  <si>
    <t>socorro.vargas@ejemplo.com</t>
  </si>
  <si>
    <t>JUAN ERNESTO TELLEZ</t>
  </si>
  <si>
    <t>juan.ernesto.tellez@ejemplo.com</t>
  </si>
  <si>
    <t>ALEJANDRO URBIANA ROJAS</t>
  </si>
  <si>
    <t>MJIMENEZ@MOSUAV.COM.MX</t>
  </si>
  <si>
    <t>JOSE FERNANDO MARTINEZ CABRERA</t>
  </si>
  <si>
    <t>HIPOLITO PORRAS</t>
  </si>
  <si>
    <t>hipolito.porras@ejemplo.com</t>
  </si>
  <si>
    <t>MARIA AURORA ESPINO PEREZ</t>
  </si>
  <si>
    <t>VALE.LK@HOTMAIL.COM</t>
  </si>
  <si>
    <t>ARTURO ÃLVAREZ</t>
  </si>
  <si>
    <t>JULIOCH190806@GMAIL.COM</t>
  </si>
  <si>
    <t>GERARDO ÃLVAREZ</t>
  </si>
  <si>
    <t>HUGO GONZALEZ</t>
  </si>
  <si>
    <t>WENDY MARTINEZ ZARATE</t>
  </si>
  <si>
    <t>RALCALA@ELEGANTCATERING.COM.MX</t>
  </si>
  <si>
    <t>ALEJANDRO BUENDIA LUNA</t>
  </si>
  <si>
    <t>LUCIABOROBIA@GMAIL.COM</t>
  </si>
  <si>
    <t>MIGUEL ANGEL MELCHOR RAFAEL</t>
  </si>
  <si>
    <t>EDWIN RODRIGUEZ JURADO</t>
  </si>
  <si>
    <t>YAMILETHJURADO93@GMAIL.COM</t>
  </si>
  <si>
    <t>ANAYELI RODRIGUEZ JURADO</t>
  </si>
  <si>
    <t>GIOVANI RODRIGUEZ JURADO</t>
  </si>
  <si>
    <t>EVERARDO  D JULIAN NUÃ‘EZ</t>
  </si>
  <si>
    <t>everardo..d.julian.nuÃ±ez@ejemplo.com</t>
  </si>
  <si>
    <t>IGNACIO MESINA ESTARRON</t>
  </si>
  <si>
    <t>INMESINA30@GMAIL.COM</t>
  </si>
  <si>
    <t>LUIS ENRIQUE SANCHEZ ESTARRON</t>
  </si>
  <si>
    <t>FRANCISCO PERALTA</t>
  </si>
  <si>
    <t>francisco.peralta@ejemplo.com</t>
  </si>
  <si>
    <t>GERARDO PORTILLO</t>
  </si>
  <si>
    <t>gerardo.portillo@ejemplo.com</t>
  </si>
  <si>
    <t>ALONSO GOMEZ SOTO</t>
  </si>
  <si>
    <t>ALONZOMX82@GMAIL.COM</t>
  </si>
  <si>
    <t>IRVIN ENRIQUE MARTINEZ RIVERA</t>
  </si>
  <si>
    <t>ENRIQUEMTZRV@GMAIL.COM</t>
  </si>
  <si>
    <t>RAUL VILLAGRAN</t>
  </si>
  <si>
    <t>RAULVILLAGRAN@OUTLOOK.COM</t>
  </si>
  <si>
    <t>HECTOR PADILLA</t>
  </si>
  <si>
    <t>ELMAILDEPADA@GMAIL.COM</t>
  </si>
  <si>
    <t>CHRISTIAN PEREZ</t>
  </si>
  <si>
    <t>christian.perez@ejemplo.com</t>
  </si>
  <si>
    <t>SAUL LOPEZ BUCIO</t>
  </si>
  <si>
    <t>BLANCA.TAPIA@KAVATEL.COM.MX</t>
  </si>
  <si>
    <t>JAIME GOMEZ CABRERA</t>
  </si>
  <si>
    <t>LUISANTONIORAYAG@GMAIL.COM</t>
  </si>
  <si>
    <t>CLAUDIO LOPEZ</t>
  </si>
  <si>
    <t>claudio.lopez@ejemplo.com</t>
  </si>
  <si>
    <t>MARCELA MALDONADO</t>
  </si>
  <si>
    <t>marcela.maldonado@ejemplo.com</t>
  </si>
  <si>
    <t>CARMEN JIMÃ‰NEZ DIMAS</t>
  </si>
  <si>
    <t>JIDICA.1965@GMAIL.COM</t>
  </si>
  <si>
    <t>ALVH.64@GMAIL.COM</t>
  </si>
  <si>
    <t>MARTÃN ALBERTO VALENCIA HERNÃNDEZ</t>
  </si>
  <si>
    <t>INGRID ANYED CASTRO CISNEROS</t>
  </si>
  <si>
    <t>ANYED@ME.COM</t>
  </si>
  <si>
    <t>SANDRA RÃOS GARCÃA</t>
  </si>
  <si>
    <t>CAGP-010704@HOTMAIL.COM</t>
  </si>
  <si>
    <t>JOSE ANTONIO ELIGIO GARDUÃ‘O</t>
  </si>
  <si>
    <t>DISAILES0307@HOTMAIL.COM</t>
  </si>
  <si>
    <t>BRIAN ALAN SERRAT ROMERO</t>
  </si>
  <si>
    <t>ALEXROMERO3312@GMAIL.COM</t>
  </si>
  <si>
    <t>NORMA TERESA MERCADO GARCÃA</t>
  </si>
  <si>
    <t>OSCARMERCADO60@YAHOO.COM</t>
  </si>
  <si>
    <t>TERESA GARCÃA MOYA</t>
  </si>
  <si>
    <t>DULCE VALERIA GARCIA MARTINEZ</t>
  </si>
  <si>
    <t>DULCEIDA2005@GMAIL.COM</t>
  </si>
  <si>
    <t>ABIMAEL HERNÃNDEZ SIMÃ“N</t>
  </si>
  <si>
    <t>HABIMAELS@HOTMAIL.COM</t>
  </si>
  <si>
    <t>EDGAR HERNÃNDEZ SIMÃ“N</t>
  </si>
  <si>
    <t>ARMANDO VIVANCO</t>
  </si>
  <si>
    <t>ARMANDOVIVANCOGONZALEZ@GMAIL.COM</t>
  </si>
  <si>
    <t>MARLON ALFONSO CUEVAS OLVERA</t>
  </si>
  <si>
    <t>MARLONCO42@GMAIL.COM</t>
  </si>
  <si>
    <t>RUTH MÃ“NICA MARTÃNEZ VERA</t>
  </si>
  <si>
    <t>MONNDRATTOO@GMAIL.COM</t>
  </si>
  <si>
    <t>ADRIANA GUZMAN AGUILAR</t>
  </si>
  <si>
    <t>BEATRIZ.AGA19@GMAIL.COM</t>
  </si>
  <si>
    <t>DIANAKGT@HOTMAIL.COM</t>
  </si>
  <si>
    <t>DIANA GUZMAN TORRES</t>
  </si>
  <si>
    <t>MARIA BERENICE LOYO HELO</t>
  </si>
  <si>
    <t>LOYO.HB@GMAIL.COM</t>
  </si>
  <si>
    <t>JOSE CARLOS ALCANTARA MARTINEZ</t>
  </si>
  <si>
    <t>jose.carlos.alcantara.martinez@ejemplo.com</t>
  </si>
  <si>
    <t>JAIME BRAVO</t>
  </si>
  <si>
    <t>JBRAVO@MARKETINGMUNDIAL.COM</t>
  </si>
  <si>
    <t>SANTINO SCHATZLE</t>
  </si>
  <si>
    <t>santino.schatzle@ejemplo.com</t>
  </si>
  <si>
    <t>VICTOR GUDALUPE CRUZ</t>
  </si>
  <si>
    <t>victor.gudalupe.cruz@ejemplo.com</t>
  </si>
  <si>
    <t>ADAN TERAN</t>
  </si>
  <si>
    <t>adan.teran@ejemplo.com</t>
  </si>
  <si>
    <t>KEILA BETANZOS</t>
  </si>
  <si>
    <t>keila.betanzos@ejemplo.com</t>
  </si>
  <si>
    <t>LUCAS TERAN</t>
  </si>
  <si>
    <t>lucas.teran@ejemplo.com</t>
  </si>
  <si>
    <t>LEAH TERAN</t>
  </si>
  <si>
    <t>leah.teran@ejemplo.com</t>
  </si>
  <si>
    <t>CESAR ROBERTO GARCIA SALINAS</t>
  </si>
  <si>
    <t>cesar.roberto.garcia.salinas@ejemplo.com</t>
  </si>
  <si>
    <t>FABIAN SALINAS MEDINA</t>
  </si>
  <si>
    <t>fabian.salinas.medina@ejemplo.com</t>
  </si>
  <si>
    <t>YOLANDA MEDINA GALVAN</t>
  </si>
  <si>
    <t>yolanda.medina.galvan@ejemplo.com</t>
  </si>
  <si>
    <t>SEBASTIAN LOPEZ ORTEGA</t>
  </si>
  <si>
    <t>sebastian.lopez.ortega@ejemplo.com</t>
  </si>
  <si>
    <t>MARIA DE JESUS LOPEZ TORRES</t>
  </si>
  <si>
    <t>maria.de.jesus.lopez.torres@ejemplo.com</t>
  </si>
  <si>
    <t>VICTOR ENRIQUE PARTIDA RICARDO</t>
  </si>
  <si>
    <t>RICARDOPARTIDA083@GMAIL.COM</t>
  </si>
  <si>
    <t>DANIEL LOPEZ ANDRADE</t>
  </si>
  <si>
    <t>daniel.lopez.andrade@ejemplo.com</t>
  </si>
  <si>
    <t>ARMANDO SANCHEZ NAVA</t>
  </si>
  <si>
    <t>ALANVIVAS@GMAIL.COM</t>
  </si>
  <si>
    <t>CARLOS SANCHEZ NAVA</t>
  </si>
  <si>
    <t>DIANA NATALIA HERRERA GÃ“MEZ</t>
  </si>
  <si>
    <t>DIANAHERRERA@CONSORCIO100.COM</t>
  </si>
  <si>
    <t>HUGO RODRÃGUEZ</t>
  </si>
  <si>
    <t>SAILERW9@HOTMAIL.COM</t>
  </si>
  <si>
    <t>ANDRES RUELAS</t>
  </si>
  <si>
    <t>andres.ruelas@ejemplo.com</t>
  </si>
  <si>
    <t>MILDA ALVARES</t>
  </si>
  <si>
    <t>milda.alvares@ejemplo.com</t>
  </si>
  <si>
    <t>AMMISADDAY ROMERO</t>
  </si>
  <si>
    <t>ammisadday.romero@ejemplo.com</t>
  </si>
  <si>
    <t>HUMBERTO HERNÃNDEZ</t>
  </si>
  <si>
    <t>humberto.hernÃ¡ndez@ejemplo.com</t>
  </si>
  <si>
    <t>ESTHER ESTRADA SEVERIANO</t>
  </si>
  <si>
    <t>esther.estrada.severiano@ejemplo.com</t>
  </si>
  <si>
    <t>JESUS GALANEA</t>
  </si>
  <si>
    <t>jesus.galanea@ejemplo.com</t>
  </si>
  <si>
    <t>ELIZABETH MARGARITA VELAZCO BARAJAS</t>
  </si>
  <si>
    <t>ROGELIO.ACQUATIX@GMAIL.COM</t>
  </si>
  <si>
    <t>MARIA JOSE LOPEZ ULLOA</t>
  </si>
  <si>
    <t>ROGELIO MORALES DORANTES</t>
  </si>
  <si>
    <t>ROGELIO MORALES VELASCO</t>
  </si>
  <si>
    <t>KARINA SÃNCHEZ TREJO</t>
  </si>
  <si>
    <t>STREJOKARINA69@GMAIL.COM</t>
  </si>
  <si>
    <t>RUBEN ROMO</t>
  </si>
  <si>
    <t>ruben.romo@ejemplo.com</t>
  </si>
  <si>
    <t>ALFREDO OLIVARES</t>
  </si>
  <si>
    <t>KARENLENACANCINO@GMAIL.COM</t>
  </si>
  <si>
    <t>MARISOL PASALAGUA PALACIOS</t>
  </si>
  <si>
    <t>INFO@CAAMSE.COM.MX</t>
  </si>
  <si>
    <t>IRVING PAUL ROMERO</t>
  </si>
  <si>
    <t>ALEJANDRO JIMENEZ</t>
  </si>
  <si>
    <t>alejandro.jimenez@ejemplo.com</t>
  </si>
  <si>
    <t>MARTHA ELENA GÃ“MEZ REYNOSO</t>
  </si>
  <si>
    <t>GOREYMAREL@YAHOO.COM.MX</t>
  </si>
  <si>
    <t>OLIVIA GÃ“MEZ REYNOSO</t>
  </si>
  <si>
    <t>MARIA GUADALUPE LOIZAGA CORCUERA</t>
  </si>
  <si>
    <t>maria.guadalupe.loizaga.corcuera@ejemplo.com</t>
  </si>
  <si>
    <t>JUAN CARLOS PEREZ</t>
  </si>
  <si>
    <t>juan.carlos.perez@ejemplo.com</t>
  </si>
  <si>
    <t>JOSE EDUARDO RIVERA BELECHE</t>
  </si>
  <si>
    <t>jose.eduardo.rivera.beleche@ejemplo.com</t>
  </si>
  <si>
    <t>JORGE ALAIN SÃNCHEZ SANDOVAL</t>
  </si>
  <si>
    <t>JORGE.SANCHEZ@PELICULASUTILES.COM</t>
  </si>
  <si>
    <t>ALEJANDRO ALAVEZ</t>
  </si>
  <si>
    <t>AALAVEZ25@GMAIL.COM</t>
  </si>
  <si>
    <t>JORGE QUEZADA</t>
  </si>
  <si>
    <t>jorge.quezada@ejemplo.com</t>
  </si>
  <si>
    <t>DULCE MARIA ITZEB CHACON FREGOSO</t>
  </si>
  <si>
    <t>DULCINEA.CHACON@GMAIL.COM</t>
  </si>
  <si>
    <t>ARMANDO CARMONA GONZÃLEZ</t>
  </si>
  <si>
    <t>ARMANDOMPNL@GMAIL.COM</t>
  </si>
  <si>
    <t>JAIME MEZA</t>
  </si>
  <si>
    <t>jaime.meza@ejemplo.com</t>
  </si>
  <si>
    <t>ALBERTO MARTINEZ CORTES</t>
  </si>
  <si>
    <t>SFLORES.SC@GMAIL.COM</t>
  </si>
  <si>
    <t>MOISES CASTILLO APARICIO</t>
  </si>
  <si>
    <t>moises.castillo.aparicio@ejemplo.com</t>
  </si>
  <si>
    <t>BERNARDO PEREZ</t>
  </si>
  <si>
    <t>BERNARDOMIGUEL360@GMAIL.COM</t>
  </si>
  <si>
    <t>ISSAC ISRAEL ARMENDÃRIZ</t>
  </si>
  <si>
    <t>issac.israel.armendÃ¡riz@ejemplo.com</t>
  </si>
  <si>
    <t>JOSE LUIS BRACAMONTES</t>
  </si>
  <si>
    <t>jose.luis.bracamontes@ejemplo.com</t>
  </si>
  <si>
    <t>ELVIRA GUTIÃ‰RREZ BUSTAMANTE</t>
  </si>
  <si>
    <t>COPETOTE04@HOTMAIL.COM</t>
  </si>
  <si>
    <t>JOSÃ‰ DOMINGO HERNÃNDEZ ACOSTA</t>
  </si>
  <si>
    <t>JSHERNANDEZ991@GMAIL.COM</t>
  </si>
  <si>
    <t>JOSÃ‰ ANTONIO RULFO ZARAGOZA</t>
  </si>
  <si>
    <t>JOSE.RULFO@BROXEL.COM</t>
  </si>
  <si>
    <t>JORGE NORBERTO HERRERA</t>
  </si>
  <si>
    <t>jorge.norberto.herrera@ejemplo.com</t>
  </si>
  <si>
    <t>HANAEL AGUILAR</t>
  </si>
  <si>
    <t>OJDCRZ_22@HOTMAIL.COM</t>
  </si>
  <si>
    <t>RAYMUNDO GONZÃLEZ LÃ“PEZ</t>
  </si>
  <si>
    <t>CREDITOYCOBRANZA@GRUPOEDM.COM.MX</t>
  </si>
  <si>
    <t>ERIC JIRAM GABRIEL CRESPO</t>
  </si>
  <si>
    <t>ERICJIRAM@GMAIL.COM</t>
  </si>
  <si>
    <t>SADOT LARA GONZALEZ</t>
  </si>
  <si>
    <t>SADOTLARA@GMAIL.COM</t>
  </si>
  <si>
    <t>NICOLAS VARGAS VERGARA</t>
  </si>
  <si>
    <t>NICOLASVARGASVERGARA@GMAIL.COM</t>
  </si>
  <si>
    <t>PALOMAFAC8@GMAIL.COM</t>
  </si>
  <si>
    <t>PALOMA AYALA CALDERÃ“N</t>
  </si>
  <si>
    <t>SAMARA LUJAN CHOY</t>
  </si>
  <si>
    <t>CHOY_THRU@HOTMAIL.COM</t>
  </si>
  <si>
    <t>HELIODORO MAGAÃ‘A ALVAREZ</t>
  </si>
  <si>
    <t>heliodoro.magaÃ±a.alvarez@ejemplo.com</t>
  </si>
  <si>
    <t>ARMANDO TLACAELEL LÃ“PEZ CHÃVEZ</t>
  </si>
  <si>
    <t>MA09GAMBORINO@GMAIL.COM</t>
  </si>
  <si>
    <t>MIGUEL ANGEL GAMBORINO RAMIREZ</t>
  </si>
  <si>
    <t>ESTHER FLORES LOPEZ</t>
  </si>
  <si>
    <t>esther.flores.lopez@ejemplo.com</t>
  </si>
  <si>
    <t>JESÃšS ADRIÃN MORENO PALACIOS</t>
  </si>
  <si>
    <t>ADRIAN.MORENO6@OUTLOOK.COM</t>
  </si>
  <si>
    <t>GABRIEL OLGUIN</t>
  </si>
  <si>
    <t>gabriel.olguin@ejemplo.com</t>
  </si>
  <si>
    <t>MARÃA DE JESÃšS PATRICIA ALCARAZ PEREZ</t>
  </si>
  <si>
    <t>CASTILLOALCARAZ@YAHOO.COM.MX</t>
  </si>
  <si>
    <t>ISMAEL RUBIANO CASTILLO</t>
  </si>
  <si>
    <t>MAYORUBIANO@GMAIL.COM</t>
  </si>
  <si>
    <t>MIYU UCHIDA</t>
  </si>
  <si>
    <t>IAMUNODU@GMAIL.COM</t>
  </si>
  <si>
    <t>YU UCHIDA</t>
  </si>
  <si>
    <t>YUUCHI1994@GMAIL.COM</t>
  </si>
  <si>
    <t>MIGUEL ANGEL MACEDO GRANADOS</t>
  </si>
  <si>
    <t>M.MACEDOGRA@GMAIL.COM</t>
  </si>
  <si>
    <t>DAMIAN MARTÃNEZ LIZAMA</t>
  </si>
  <si>
    <t>DMLIZAMA@OUTLOOK.COM</t>
  </si>
  <si>
    <t>ELIZABETH FLORES GALVÃN</t>
  </si>
  <si>
    <t>LIZ_FLORES95@HOTMAIL.COM</t>
  </si>
  <si>
    <t>VICTOR FERNÃNDEZ MONDRAGÃ“N</t>
  </si>
  <si>
    <t>MARIA DEMETRIA VELAZQUEZ MARTINEZ</t>
  </si>
  <si>
    <t>maria.demetria.velazquez.martinez@ejemplo.com</t>
  </si>
  <si>
    <t>JOSE LUIS GOMEZ MEZA</t>
  </si>
  <si>
    <t>jose.luis.gomez.meza@ejemplo.com</t>
  </si>
  <si>
    <t>MIGUE EDUARDO GOMEZ</t>
  </si>
  <si>
    <t>migue.eduardo.gomez@ejemplo.com</t>
  </si>
  <si>
    <t>ALFREDO SANCHEZ</t>
  </si>
  <si>
    <t>alfredo.sanchez@ejemplo.com</t>
  </si>
  <si>
    <t>LUIS MANUEL ORTIZ</t>
  </si>
  <si>
    <t>luis.manuel.ortiz@ejemplo.com</t>
  </si>
  <si>
    <t>SABAS CARRASCO</t>
  </si>
  <si>
    <t>sabas.carrasco@ejemplo.com</t>
  </si>
  <si>
    <t>SANDRA MARTINEZ CORONADO</t>
  </si>
  <si>
    <t>sandra.martinez.coronado@ejemplo.com</t>
  </si>
  <si>
    <t>BRANDON ESCALANTE</t>
  </si>
  <si>
    <t>brandon.escalante@ejemplo.com</t>
  </si>
  <si>
    <t>LUIS RODRIGUEZ</t>
  </si>
  <si>
    <t>luis.rodriguez@ejemplo.com</t>
  </si>
  <si>
    <t>JESUS DAVID CORDOBA</t>
  </si>
  <si>
    <t>jesus.david.cordoba@ejemplo.com</t>
  </si>
  <si>
    <t>CALOS PRESIADO</t>
  </si>
  <si>
    <t>calos.presiado@ejemplo.com</t>
  </si>
  <si>
    <t>LI DENGTIN</t>
  </si>
  <si>
    <t>li.dengtin@ejemplo.com</t>
  </si>
  <si>
    <t>BRIAN FERNANDO AGUIRRE</t>
  </si>
  <si>
    <t>FERNANDOAGUIRREFOTO@GMAIL.COM</t>
  </si>
  <si>
    <t>FRIDA GARDUÃ‘O RUIZ</t>
  </si>
  <si>
    <t>PINEDA.EMILIO69@GMAIL.COM</t>
  </si>
  <si>
    <t>MAURICIO PLASCENCIA PALIZADA</t>
  </si>
  <si>
    <t>ANTONIO MONTES</t>
  </si>
  <si>
    <t>antonio.montes@ejemplo.com</t>
  </si>
  <si>
    <t>DAVID GARCIA</t>
  </si>
  <si>
    <t>david.garcia@ejemplo.com</t>
  </si>
  <si>
    <t>OSCAR PEREZ BONILLA</t>
  </si>
  <si>
    <t>oscar.perez.bonilla@ejemplo.com</t>
  </si>
  <si>
    <t>MICHEL LIRA</t>
  </si>
  <si>
    <t>michel.lira@ejemplo.com</t>
  </si>
  <si>
    <t>MANUEL GONZALEZ</t>
  </si>
  <si>
    <t>manuel.gonzalez@ejemplo.com</t>
  </si>
  <si>
    <t>DAVID GONZALEZ</t>
  </si>
  <si>
    <t>david.gonzalez@ejemplo.com</t>
  </si>
  <si>
    <t>JOSE LUIS GONZALEZ</t>
  </si>
  <si>
    <t>jose.luis.gonzalez@ejemplo.com</t>
  </si>
  <si>
    <t>KRIZIA VALDIVIA MONTES DE OCA</t>
  </si>
  <si>
    <t>KRIZIAVALDIVIA56@GMAIL.COM</t>
  </si>
  <si>
    <t>RAQUEL DIAZ</t>
  </si>
  <si>
    <t>raquel.diaz@ejemplo.com</t>
  </si>
  <si>
    <t>JOSEFINO LOPEZ</t>
  </si>
  <si>
    <t>josefino.lopez@ejemplo.com</t>
  </si>
  <si>
    <t>LORENA RODRIGUEZ RIVAS</t>
  </si>
  <si>
    <t>LORENARR22@HOTMAIL.COM</t>
  </si>
  <si>
    <t>KIM JINHO</t>
  </si>
  <si>
    <t>NICE_YOUNG-9JMURX1Y@M.PFORWARD.NET</t>
  </si>
  <si>
    <t>KIM CHAIM</t>
  </si>
  <si>
    <t>VÃCTOR HUGO ESPINOSA</t>
  </si>
  <si>
    <t>HUGO-1995@LIVE.COM.MX</t>
  </si>
  <si>
    <t>ROCIO SILVA</t>
  </si>
  <si>
    <t>rocio.silva@ejemplo.com</t>
  </si>
  <si>
    <t>MAYRA VALERIA SILVA</t>
  </si>
  <si>
    <t>mayra.valeria.silva@ejemplo.com</t>
  </si>
  <si>
    <t>SERGIO HERIBERTO OSORNO GONZALEZ</t>
  </si>
  <si>
    <t>sergio.heriberto.osorno.gonzalez@ejemplo.com</t>
  </si>
  <si>
    <t>JOSE RODRIGUEZ CHAVOYA</t>
  </si>
  <si>
    <t>jose.rodriguez.chavoya@ejemplo.com</t>
  </si>
  <si>
    <t>RAUL HERNANDEZ</t>
  </si>
  <si>
    <t>raul.hernandez@ejemplo.com</t>
  </si>
  <si>
    <t>LUIS JAVIER GARCIA FLORES</t>
  </si>
  <si>
    <t>JAVIERFLORES9@HOTMAIL.COM</t>
  </si>
  <si>
    <t>CAROLINA MARTINEZ ISLAS</t>
  </si>
  <si>
    <t>CAROMISLAS@HOTMAIL.COM</t>
  </si>
  <si>
    <t>CARLOS MAURICIO CRUZ</t>
  </si>
  <si>
    <t>C_MAURICIOCRUZ_M@HOTMAIL.COM</t>
  </si>
  <si>
    <t>PERLA CRUZ BAEZ</t>
  </si>
  <si>
    <t>perla.cruz.baez@ejemplo.com</t>
  </si>
  <si>
    <t>SERGIO MALDONADO LOPEZ</t>
  </si>
  <si>
    <t>EMIBUS13@GMAIL.COM</t>
  </si>
  <si>
    <t>VICTOR MONROY RAMIREZ</t>
  </si>
  <si>
    <t>victor.monroy.ramirez@ejemplo.com</t>
  </si>
  <si>
    <t>GERARDO SÃNCHEZ BAUTISTA</t>
  </si>
  <si>
    <t>GERARDO.SANCHEZ@PELICULASUTILES.COM</t>
  </si>
  <si>
    <t>LIZETTE EUGENIA FUENTES CUEVAS</t>
  </si>
  <si>
    <t>VINICIO.PASROD@GMAIL.COM</t>
  </si>
  <si>
    <t>MARCOS VINICIO PASTRAN RODRIGUEZ</t>
  </si>
  <si>
    <t>SERGIO ROGELIO MARTINEZ CUEVAS</t>
  </si>
  <si>
    <t>OHERSUA.MARVI@GMAIL.COM</t>
  </si>
  <si>
    <t>MARIA ELENA ALMANZA ORTIZ</t>
  </si>
  <si>
    <t>ASTRIDALMANZA93@GMAIL.COM</t>
  </si>
  <si>
    <t>MANUEL BALDERAS ESPINOZA</t>
  </si>
  <si>
    <t>manuel.balderas.espinoza@ejemplo.com</t>
  </si>
  <si>
    <t>IVAN JAVIER GARCIA GARCIA</t>
  </si>
  <si>
    <t>POTENTUR@GMAIL.COM</t>
  </si>
  <si>
    <t>MARIA DEL CARMEN   CERVANTES   AHUM</t>
  </si>
  <si>
    <t>maria.del.carmen...cervantes...ahum@ejemplo.com</t>
  </si>
  <si>
    <t>JOSE ERNESTO VELAZQUEZ CERVANTES</t>
  </si>
  <si>
    <t>jose.ernesto.velazquez.cervantes@ejemplo.com</t>
  </si>
  <si>
    <t>HECTOR GONZALEZ CHAVEZ</t>
  </si>
  <si>
    <t>HGCH473@OUTLOOK.COM</t>
  </si>
  <si>
    <t>ELIZABETH MIRANDA</t>
  </si>
  <si>
    <t>ELIZABETH.MIRANDA@CYMARKETING.COM.MX</t>
  </si>
  <si>
    <t>AGUSTIN CAYETANO BARRAGAN</t>
  </si>
  <si>
    <t>PAULINA.ARI.M08@GMAIL.COM</t>
  </si>
  <si>
    <t>AURELIO CABRERA ZAMORA</t>
  </si>
  <si>
    <t>JOEL JIMENEZ LINCE</t>
  </si>
  <si>
    <t>LEONARDO JIMENEZ LOERA</t>
  </si>
  <si>
    <t>MARIA DEL CARMEN YEPEZ OROZCO</t>
  </si>
  <si>
    <t>maria.del.carmen.yepez.orozco@ejemplo.com</t>
  </si>
  <si>
    <t>LUIS EDUARDO CHÃVEZ ZÃšÃ‘IGA</t>
  </si>
  <si>
    <t>LUISCHAVEZZ@ME.COM</t>
  </si>
  <si>
    <t>MARÃA FERNANDA ALVO DIAZ</t>
  </si>
  <si>
    <t>MARIA DE FÃTIMA OCHOA LUNA</t>
  </si>
  <si>
    <t>ESTELACASTROOC@GMAIL.COM</t>
  </si>
  <si>
    <t>LUZ ARELLANO</t>
  </si>
  <si>
    <t>LUZ@STANDBYME.COM.MX</t>
  </si>
  <si>
    <t>ANA LIA OREGON MENDEZ</t>
  </si>
  <si>
    <t>JOHNOREGON@LIVE.COM</t>
  </si>
  <si>
    <t>LILIANA MARTINEZ DIAZ</t>
  </si>
  <si>
    <t>LILIZ.DIAZ98@GMAIL.COM</t>
  </si>
  <si>
    <t>ELISA GUTIERREZ MARTINEZ</t>
  </si>
  <si>
    <t>RUBEN IVÃN MORALES GOMEZ</t>
  </si>
  <si>
    <t>RUBENMORALESGOMEZ@GMAIL.COM</t>
  </si>
  <si>
    <t>ROBERTO VALDEZ PULIDO</t>
  </si>
  <si>
    <t>RVALDPUL@GMAIL.COM</t>
  </si>
  <si>
    <t>ERICK MARTIN VALDIVIA LAZARO</t>
  </si>
  <si>
    <t>CORP@BSHOPTRAVEL.COM</t>
  </si>
  <si>
    <t>ALFREDO GONZALEZ CORIA</t>
  </si>
  <si>
    <t>ISAAC NOE SANCHES LÃ“PEZ</t>
  </si>
  <si>
    <t>HERMELINDA HERNANDEZ RUELAS</t>
  </si>
  <si>
    <t>hermelinda.hernandez.ruelas@ejemplo.com</t>
  </si>
  <si>
    <t>MARIA MAGDALENA HERNANDEZ RUELAS</t>
  </si>
  <si>
    <t>maria.magdalena.hernandez.ruelas@ejemplo.com</t>
  </si>
  <si>
    <t>ARTURO RAMOS PEREZ</t>
  </si>
  <si>
    <t>ING.CGO@GMAIL.COM</t>
  </si>
  <si>
    <t>CARLOS GONZÃLEZ OLIVARES</t>
  </si>
  <si>
    <t>MA DEL CARMEN TORRES GUTIÃ‰RREZ</t>
  </si>
  <si>
    <t>VMARTOR611@GMAIL.COM</t>
  </si>
  <si>
    <t>MARIA MAGDALENA LOPEZ NAVARRO</t>
  </si>
  <si>
    <t>ARGELIAROJASLOPEZ25@GMAIL.COM</t>
  </si>
  <si>
    <t>MA DE JESUS AVILA</t>
  </si>
  <si>
    <t>ma.de.jesus.avila@ejemplo.com</t>
  </si>
  <si>
    <t>RAFAEL ZAMUDIO JIMENEZ</t>
  </si>
  <si>
    <t>RAFAZAJ@YAHOO.COM.MX</t>
  </si>
  <si>
    <t>INSEN CLEOTILDE FLORES RUBIO</t>
  </si>
  <si>
    <t>insen.cleotilde.flores.rubio@ejemplo.com</t>
  </si>
  <si>
    <t>JUAN VASQUEZ QUIJAS</t>
  </si>
  <si>
    <t>juan.vasquez.quijas@ejemplo.com</t>
  </si>
  <si>
    <t>RAUL FIGUEROA LEMUS</t>
  </si>
  <si>
    <t>RAUL.FIGUEROA@CARBON-CARBON.COM.MX</t>
  </si>
  <si>
    <t>RODOLFO ONTIVEROS GOMEZ</t>
  </si>
  <si>
    <t>rodolfo.ontiveros.gomez@ejemplo.com</t>
  </si>
  <si>
    <t>JOSE MANUEL LOPEZ NAVARRETE</t>
  </si>
  <si>
    <t>PEPE@LOGHANPARTNERS.COM</t>
  </si>
  <si>
    <t>EDWIN EMMANUEL AGUILERA</t>
  </si>
  <si>
    <t>GARCHAJP@GMAIL.COM</t>
  </si>
  <si>
    <t>JUAN PABLO GARCÃA</t>
  </si>
  <si>
    <t>ANA KMARIA GARCIA PINETE</t>
  </si>
  <si>
    <t>ana.kmaria.garcia.pinete@ejemplo.com</t>
  </si>
  <si>
    <t>JUAN MARTINEZ DIAZ</t>
  </si>
  <si>
    <t>juan.martinez.diaz@ejemplo.com</t>
  </si>
  <si>
    <t>VICTOR MANUEL TREJO DEL ANGEL</t>
  </si>
  <si>
    <t>victor.manuel.trejo.del.angel@ejemplo.com</t>
  </si>
  <si>
    <t>DIEGO ARMANDO MAESTRO OCEGUERA</t>
  </si>
  <si>
    <t>LICDIEGOMAESTRO@GMAIL.COM</t>
  </si>
  <si>
    <t>ADRIANA VELAZQUEZ DE LA CRUZ</t>
  </si>
  <si>
    <t>ADRIANA845333@HOTMAIL.COM</t>
  </si>
  <si>
    <t>JOHAN TRISTÃN</t>
  </si>
  <si>
    <t>johan.tristÃ¡n@ejemplo.com</t>
  </si>
  <si>
    <t>ISAAC SÃNCHEZ GONZÃLEZ</t>
  </si>
  <si>
    <t>ISAACSNZGLZ@GMAIL.COM</t>
  </si>
  <si>
    <t>DAVID TOVAR ESCOBAR</t>
  </si>
  <si>
    <t>DVDTXO@GMAIL.COM</t>
  </si>
  <si>
    <t>ADOLFO ROMERO</t>
  </si>
  <si>
    <t>adolfo.romero@ejemplo.com</t>
  </si>
  <si>
    <t>JHON IRVIN HERNANDEZ LIRA</t>
  </si>
  <si>
    <t>jhon.irvin.hernandez.lira@ejemplo.com</t>
  </si>
  <si>
    <t>DINORA MARISCAL</t>
  </si>
  <si>
    <t>dinora.mariscal@ejemplo.com</t>
  </si>
  <si>
    <t>SAUL ORTEGA</t>
  </si>
  <si>
    <t>saul.ortega@ejemplo.com</t>
  </si>
  <si>
    <t>VICTOR MANUEL CORTES</t>
  </si>
  <si>
    <t>victor.manuel.cortes@ejemplo.com</t>
  </si>
  <si>
    <t>HECTOR GAMALLIEL</t>
  </si>
  <si>
    <t>hector.gamalliel@ejemplo.com</t>
  </si>
  <si>
    <t>ANTONIO AVILES MORALES</t>
  </si>
  <si>
    <t>antonio.aviles.morales@ejemplo.com</t>
  </si>
  <si>
    <t>ANGEL ESQUIVEL</t>
  </si>
  <si>
    <t>angel.esquivel@ejemplo.com</t>
  </si>
  <si>
    <t>MARIA ALICIA HERNANDEZ VAZQUEZ</t>
  </si>
  <si>
    <t>maria.alicia.hernandez.vazquez@ejemplo.com</t>
  </si>
  <si>
    <t>CRISTIAN SANTOS</t>
  </si>
  <si>
    <t>cristian.santos@ejemplo.com</t>
  </si>
  <si>
    <t>M DOLORES ROCHA</t>
  </si>
  <si>
    <t>m.dolores.rocha@ejemplo.com</t>
  </si>
  <si>
    <t>EDWIN BLADIMIR BONILLA ASCENCIO</t>
  </si>
  <si>
    <t>EDWINASCENCIO223@GMAIL.COM</t>
  </si>
  <si>
    <t>SERGIO MERCADO</t>
  </si>
  <si>
    <t>sergio.mercado@ejemplo.com</t>
  </si>
  <si>
    <t>ELISA VILLALVA MEZA</t>
  </si>
  <si>
    <t>HEIS_ZASA@HOTMAIL.COM</t>
  </si>
  <si>
    <t>JUAN DAZA HERRERA</t>
  </si>
  <si>
    <t>ADRIEL AGUILAR</t>
  </si>
  <si>
    <t>adriel.aguilar@ejemplo.com</t>
  </si>
  <si>
    <t>CARLOS RAMIRO QUINTERO MONTAÃ‘O</t>
  </si>
  <si>
    <t>CYQG1204@GMAIL.COM</t>
  </si>
  <si>
    <t>MARIO HERNANDEZ</t>
  </si>
  <si>
    <t>mario.hernandez@ejemplo.com</t>
  </si>
  <si>
    <t>HUGO ERNESTO HERNANDEZ HERNANDEZ</t>
  </si>
  <si>
    <t>TERESITA.STLS@GMAIL.COM</t>
  </si>
  <si>
    <t>JAZMIN CONCHAS</t>
  </si>
  <si>
    <t>jazmin.conchas@ejemplo.com</t>
  </si>
  <si>
    <t>ROBERTO RUIZ</t>
  </si>
  <si>
    <t>roberto.ruiz@ejemplo.com</t>
  </si>
  <si>
    <t>LIZBETH RUIZ</t>
  </si>
  <si>
    <t>lizbeth.ruiz@ejemplo.com</t>
  </si>
  <si>
    <t>JUANA ELSA MALPICA SANCHEZ</t>
  </si>
  <si>
    <t>juana.elsa.malpica.sanchez@ejemplo.com</t>
  </si>
  <si>
    <t>ERIC CRUZ LUNA</t>
  </si>
  <si>
    <t>J.SYMA.TSE@GMAIL.COM</t>
  </si>
  <si>
    <t>FELIPE TOMAS AMADOR</t>
  </si>
  <si>
    <t>RODRIGO FERNÃNDEZ ANGUIANO</t>
  </si>
  <si>
    <t>GLEAL@GLIMAQUINARIA.MX</t>
  </si>
  <si>
    <t>FRANCISCO JOSE RESENDIZ</t>
  </si>
  <si>
    <t>francisco.jose.resendiz@ejemplo.com</t>
  </si>
  <si>
    <t>MOISES AGUILAR</t>
  </si>
  <si>
    <t>KUMAV10@GMAIL.COM</t>
  </si>
  <si>
    <t>JORGE CABRERA</t>
  </si>
  <si>
    <t>ALE@PROMOSHOWGROUP.COM</t>
  </si>
  <si>
    <t>ADRIAN MORA</t>
  </si>
  <si>
    <t>ADRIAN.MORA@INDUSTRIALSETER.COM.MX</t>
  </si>
  <si>
    <t>GRANT LEVY</t>
  </si>
  <si>
    <t>GRANTLEVY07@YAHOO.COM</t>
  </si>
  <si>
    <t>MATHIAS TORRES</t>
  </si>
  <si>
    <t>NOLAN MISKELL</t>
  </si>
  <si>
    <t>JOSÃ‰ LUIS BALBUENA AMARO</t>
  </si>
  <si>
    <t>BALBUENAJOSELUIS085@GMAIL.COM</t>
  </si>
  <si>
    <t>BRENDA ALEJANDRA ROSADO GONZALEZ</t>
  </si>
  <si>
    <t>ALEX331366@HOTMAIL.COM</t>
  </si>
  <si>
    <t>LUIS ROBERTO YAÃ‘EZ ROCHIN</t>
  </si>
  <si>
    <t>LUISRYANEZR@HOTMAIL.COM</t>
  </si>
  <si>
    <t>GINO   LECA DIAZ</t>
  </si>
  <si>
    <t>gino...leca.diaz@ejemplo.com</t>
  </si>
  <si>
    <t>RICARDO CHIO HERNANDEZ</t>
  </si>
  <si>
    <t>RCHIO49@OUTLOOK.COM</t>
  </si>
  <si>
    <t>LIZETT CORONADO VILLANUEVA</t>
  </si>
  <si>
    <t>LIZETTCORONADOV@GMAIL.COM</t>
  </si>
  <si>
    <t>MIGUEL ANGEL HERRERA ARELLANO</t>
  </si>
  <si>
    <t>MICKYAHA@YAHOO.COM.MX</t>
  </si>
  <si>
    <t>PAULINA DIAZ</t>
  </si>
  <si>
    <t>PAUPAUDIAZ@HOTMAIL.COM</t>
  </si>
  <si>
    <t>ROCIO YAÃ‘EZ</t>
  </si>
  <si>
    <t>JUAN CARLOS FLORES DIMAS</t>
  </si>
  <si>
    <t>FLORES.DIMAS.JCARLOS@GMAIL.COM</t>
  </si>
  <si>
    <t>ORLANDO HERNANDEZ ARIAS</t>
  </si>
  <si>
    <t>ORLANDO_HERNANDEZ2022@OUTLOOK.COM</t>
  </si>
  <si>
    <t>ANA KARINA ULLOA VERDIN</t>
  </si>
  <si>
    <t>KARIULLOA@GMAIL.COM</t>
  </si>
  <si>
    <t>OSCAR LEONARDO CARDENAS ULLOA</t>
  </si>
  <si>
    <t>SARA ELIZABETH CARDENAS ULLOA</t>
  </si>
  <si>
    <t>VICTOR ORTIZ</t>
  </si>
  <si>
    <t>victor.ortiz@ejemplo.com</t>
  </si>
  <si>
    <t>MIGUEL ANGEL GAITAN FERNANDEZ</t>
  </si>
  <si>
    <t>GAITANMIGUEL@GMAIL.COM</t>
  </si>
  <si>
    <t>JORGE OSMAR BAUTISTA HERNANDEZ</t>
  </si>
  <si>
    <t>OFICINA.CASAVI@GMAIL.COM</t>
  </si>
  <si>
    <t>GUADALUPE GOMEZ GONZALZ</t>
  </si>
  <si>
    <t>guadalupe.gomez.gonzalz@ejemplo.com</t>
  </si>
  <si>
    <t>JOSE LUIS GUERRERO MOYA</t>
  </si>
  <si>
    <t>jose.luis.guerrero.moya@ejemplo.com</t>
  </si>
  <si>
    <t>JUAN  MANUEL AGUILAR</t>
  </si>
  <si>
    <t>juan..manuel.aguilar@ejemplo.com</t>
  </si>
  <si>
    <t>ALVARO VIÃ‘AGRNA</t>
  </si>
  <si>
    <t>alvaro.viÃ±agrna@ejemplo.com</t>
  </si>
  <si>
    <t>MANUEL OLMEDO</t>
  </si>
  <si>
    <t>manuel.olmedo@ejemplo.com</t>
  </si>
  <si>
    <t>ADRIANA GOMEZ</t>
  </si>
  <si>
    <t>adriana.gomez@ejemplo.com</t>
  </si>
  <si>
    <t>LUNA RAQUEL GARCI ESCOBAR</t>
  </si>
  <si>
    <t>luna.raquel.garci.escobar@ejemplo.com</t>
  </si>
  <si>
    <t>LARIZA ESCOBAR BON</t>
  </si>
  <si>
    <t>lariza.escobar.bon@ejemplo.com</t>
  </si>
  <si>
    <t>FLOR DE MARIA MARTINEZ GALEANA</t>
  </si>
  <si>
    <t>flor.de.maria.martinez.galeana@ejemplo.com</t>
  </si>
  <si>
    <t>CARIÃ‘O TAVERA</t>
  </si>
  <si>
    <t>cariÃ±o.tavera@ejemplo.com</t>
  </si>
  <si>
    <t>MAGALI HERNANDEZ</t>
  </si>
  <si>
    <t>magali.hernandez@ejemplo.com</t>
  </si>
  <si>
    <t>MERCEDES GONZALEZ</t>
  </si>
  <si>
    <t>mercedes.gonzalez@ejemplo.com</t>
  </si>
  <si>
    <t>TAILANI FLORES</t>
  </si>
  <si>
    <t>tailani.flores@ejemplo.com</t>
  </si>
  <si>
    <t>GABRIELA PEREZ ABOYTES</t>
  </si>
  <si>
    <t>PERFORMICSGAB@GMAIL.COMP</t>
  </si>
  <si>
    <t>MIGUEL FIGUEROA</t>
  </si>
  <si>
    <t>FILM230378@GMAIL.COM</t>
  </si>
  <si>
    <t>LAURA ELENA ALVARADO LEAL</t>
  </si>
  <si>
    <t>MARCOCAS@INFINITUMMAIL.COM</t>
  </si>
  <si>
    <t>MARCO ANTONIO CASTILLO MARTINEZ</t>
  </si>
  <si>
    <t>SALVADOR LOPEZ</t>
  </si>
  <si>
    <t>salvador.lopez@ejemplo.com</t>
  </si>
  <si>
    <t>LAURIANI AGNOLIN</t>
  </si>
  <si>
    <t>lauriani.agnolin@ejemplo.com</t>
  </si>
  <si>
    <t>LORENZO MONTES RIOS</t>
  </si>
  <si>
    <t>lorenzo.montes.rios@ejemplo.com</t>
  </si>
  <si>
    <t>JOSE GUADALUPE MONTES ARELLANOS</t>
  </si>
  <si>
    <t>jose.guadalupe.montes.arellanos@ejemplo.com</t>
  </si>
  <si>
    <t>DIEGO VARGAS</t>
  </si>
  <si>
    <t>diego.vargas@ejemplo.com</t>
  </si>
  <si>
    <t>DANIEL MEDINA</t>
  </si>
  <si>
    <t>daniel.medina@ejemplo.com</t>
  </si>
  <si>
    <t>SEBASTIAN FERNANDEZ MONCADA</t>
  </si>
  <si>
    <t>BASTIANPIANO98@GMAIL.COM</t>
  </si>
  <si>
    <t>VICTOR OSORIO MORALES</t>
  </si>
  <si>
    <t>VICTOR200292@GMAIL.COM</t>
  </si>
  <si>
    <t>SAÃšL IVAN POPOCA RODRIGUEZ</t>
  </si>
  <si>
    <t>SAUL.POPOCA@CONDUITLIFE.MX</t>
  </si>
  <si>
    <t>KARINA HERNANDEZ</t>
  </si>
  <si>
    <t>SOFARME.KARINA@GMAIL.COM</t>
  </si>
  <si>
    <t>CLOTILDE  ALVAREZ DEL CHAVEZ</t>
  </si>
  <si>
    <t>clotilde..alvarez.del.chavez@ejemplo.com</t>
  </si>
  <si>
    <t>ESTEBAN FILADELFO ARREDONDO ARGUELLO</t>
  </si>
  <si>
    <t>ESTEBANARREDONDO905@GMAIL.COM</t>
  </si>
  <si>
    <t>ANTONIO GONZALEZ GOMEZ</t>
  </si>
  <si>
    <t>GONZACYCLON11@GMAIL.COM</t>
  </si>
  <si>
    <t>EZAUGONZA_69@HOTMAIL.COM</t>
  </si>
  <si>
    <t>MIGUEL GONZÃLEZ GÃ“MEZ</t>
  </si>
  <si>
    <t>CARLOS REYES NERI</t>
  </si>
  <si>
    <t>KARLAITZEL20@GMAIL.COM</t>
  </si>
  <si>
    <t>JORGE ALBERTO CRUZ ÃLVAREZ</t>
  </si>
  <si>
    <t>BALDO ARECHIGA RUIZ</t>
  </si>
  <si>
    <t>ARECHIGAJULIA34@GMAIL.COM</t>
  </si>
  <si>
    <t>MARGASIB03@GMAIL.COM</t>
  </si>
  <si>
    <t>JULIE ARECHIGA</t>
  </si>
  <si>
    <t>CELIA CASTANEDA CUEVAS</t>
  </si>
  <si>
    <t>celia.castaneda.cuevas@ejemplo.com</t>
  </si>
  <si>
    <t>FERNANDO DANIEL GARCÃA ENCISO</t>
  </si>
  <si>
    <t>DANIELGAR1419@GMAIL.COM</t>
  </si>
  <si>
    <t>CARLOS ALBERTO GARCIA SALCIDO</t>
  </si>
  <si>
    <t>CARLOSALBERTOX21@GMAIL.COM</t>
  </si>
  <si>
    <t>RAFAEL CARRANZA</t>
  </si>
  <si>
    <t>rafael.carranza@ejemplo.com</t>
  </si>
  <si>
    <t>JORGE VALDEZ VILLAGRAN</t>
  </si>
  <si>
    <t>JORGE.VALDEZVILLAGRAN@GMAIL.COM</t>
  </si>
  <si>
    <t>ELISA VALENTINA VALDEZ GARZON</t>
  </si>
  <si>
    <t>ZURI SOFIA VALDEZ GARZON</t>
  </si>
  <si>
    <t>NELSON PONCE</t>
  </si>
  <si>
    <t>nelson.ponce@ejemplo.com</t>
  </si>
  <si>
    <t>MA CRISTINA CORONADO</t>
  </si>
  <si>
    <t>ma.cristina.coronado@ejemplo.com</t>
  </si>
  <si>
    <t>JOEL AGUILA MARTINEZ</t>
  </si>
  <si>
    <t>TECNICOSERVCICSA18@GMAIL.COM</t>
  </si>
  <si>
    <t>RICARDO YESHUA LOPEZ MIRAMON</t>
  </si>
  <si>
    <t>RICARDO.LOPEZ.MIRAMON@OUTLOOK.COM</t>
  </si>
  <si>
    <t>THOMAS PAYNE</t>
  </si>
  <si>
    <t>TSPAYNE81@GMAIL.COM</t>
  </si>
  <si>
    <t>DIEGO ANTONIO SANDOVAL ZARCO</t>
  </si>
  <si>
    <t>COLOCHOSZARCO@GMAIL.COM</t>
  </si>
  <si>
    <t>CRISTIAN GONZALO GÃ“MEZ RODRÃGUEZ</t>
  </si>
  <si>
    <t>CRISTIANGOMEZR20@GMAIL.COM</t>
  </si>
  <si>
    <t>JESUS GIOVANNI VALDEZ GONZALEZ</t>
  </si>
  <si>
    <t>VALDEZ.MP28@GMAIL.COM</t>
  </si>
  <si>
    <t>ABNER JOEL HERNANDEZ SANTANA</t>
  </si>
  <si>
    <t>ABNER97.23HS@GMAIL.COM</t>
  </si>
  <si>
    <t>ANGEL DANIEL MAGAÃ‘A HERNÃNDEZ</t>
  </si>
  <si>
    <t>ANGEL.MAGANA@HOTMAIL.COM</t>
  </si>
  <si>
    <t>ALFREDO PÃ‰REZ ELIZALDE</t>
  </si>
  <si>
    <t>APELIZALDE01@GMAIL.COM</t>
  </si>
  <si>
    <t>GABRIELA MICHEL</t>
  </si>
  <si>
    <t>MICHELGABY63@GMAIL.COM</t>
  </si>
  <si>
    <t>VALENTINAGOMEZM040810@GMAIL.COM</t>
  </si>
  <si>
    <t>GABRIELA VALENTINA GOMEZ MICHEL</t>
  </si>
  <si>
    <t>RAUL GOMEZ</t>
  </si>
  <si>
    <t>ELIZABETH LAGUNA MEJIA</t>
  </si>
  <si>
    <t>CRUZALVAREZANA@GMAIL.COM</t>
  </si>
  <si>
    <t>JUAN CARLOS HIGAREDA CRUZ</t>
  </si>
  <si>
    <t>CAROLINA ECHEVERRÃA ZARAGOZA</t>
  </si>
  <si>
    <t>ANGIESEGURA610@YAHOO.COM</t>
  </si>
  <si>
    <t>JAVIER LOPEZ GARCIA</t>
  </si>
  <si>
    <t>javier.lopez.garcia@ejemplo.com</t>
  </si>
  <si>
    <t>ALEXIS BECERRIL MEDINA</t>
  </si>
  <si>
    <t>ALEXISBECERRILMEDINA@GMAIL.COM</t>
  </si>
  <si>
    <t>MERCEDES LÃ“PEZ FUENTES</t>
  </si>
  <si>
    <t>ALE.ROBLES24@GMAIL.COM</t>
  </si>
  <si>
    <t>ROBERTO ROBLES VELOZ</t>
  </si>
  <si>
    <t>FERMIN ALEJANDRE VITE</t>
  </si>
  <si>
    <t>fermin.alejandre.vite@ejemplo.com</t>
  </si>
  <si>
    <t>FLORINA CARLOTA VILLEGAS VARGAS</t>
  </si>
  <si>
    <t>florina.carlota.villegas.vargas@ejemplo.com</t>
  </si>
  <si>
    <t>JOSE MANUEL VARGAS HERNANDEZ</t>
  </si>
  <si>
    <t>jose.manuel.vargas.hernandez@ejemplo.com</t>
  </si>
  <si>
    <t>HORTENCIA MERCADO BARRON</t>
  </si>
  <si>
    <t>hortencia.mercado.barron@ejemplo.com</t>
  </si>
  <si>
    <t>MARIA GUADALUPE MERCADO BARRON</t>
  </si>
  <si>
    <t>maria.guadalupe.mercado.barron@ejemplo.com</t>
  </si>
  <si>
    <t>MARCOS INCLAN SOLIS</t>
  </si>
  <si>
    <t>marcos.inclan.solis@ejemplo.com</t>
  </si>
  <si>
    <t>AARON ROJAS ROJAS</t>
  </si>
  <si>
    <t>aaron.rojas.rojas@ejemplo.com</t>
  </si>
  <si>
    <t>CATALINA PINEDA CABRERA</t>
  </si>
  <si>
    <t>KATTYPC-88@HOTMAIL.COM</t>
  </si>
  <si>
    <t>JUKILA CABRERA</t>
  </si>
  <si>
    <t>MAYRA MIRANDA</t>
  </si>
  <si>
    <t>JOSÃ‰ ANDRÃ‰S CRUZ DOMÃNGUEZ</t>
  </si>
  <si>
    <t>JOSANDRESCRUZ@GMAIL.COM</t>
  </si>
  <si>
    <t>MARIELA.CELAYAL@GMAIL.COM</t>
  </si>
  <si>
    <t>MARIELA CELAYA LAMARQUE</t>
  </si>
  <si>
    <t>FRANCISCO JAVIER BUENROSTRO MEDINA</t>
  </si>
  <si>
    <t>BUENROSTROMEDINAFJ@GMAIL.COM</t>
  </si>
  <si>
    <t>MAYGRIZDELATORREVARGAS@GMAIL.COM</t>
  </si>
  <si>
    <t>MAYRA GRIZEL DE LA TORRE VARGAS</t>
  </si>
  <si>
    <t>CARLOS PEIMBERT</t>
  </si>
  <si>
    <t>CARLOSPEIMBERT@GMAIL.COM</t>
  </si>
  <si>
    <t>EDUARDO HERNANDEZ</t>
  </si>
  <si>
    <t>eduardo.hernandez@ejemplo.com</t>
  </si>
  <si>
    <t>LIGIA SOSA ALTAMIRANO</t>
  </si>
  <si>
    <t>ELLENTARIBALIAN@GMAIL.COM</t>
  </si>
  <si>
    <t>JOCELYN GONZÃLEZ ORTIZ</t>
  </si>
  <si>
    <t>JOSS.JG0214@GMAIL.COM</t>
  </si>
  <si>
    <t>ADIEL DIRSAI VALADEZ GONZÃLEZ</t>
  </si>
  <si>
    <t>AMMIEL SAMAI VALADEZ GONZÃLEZ</t>
  </si>
  <si>
    <t>HECTOR ORTEGA GARCIA</t>
  </si>
  <si>
    <t>hector.ortega.garcia@ejemplo.com</t>
  </si>
  <si>
    <t>RAUL MARTINEZ CHAVEZ</t>
  </si>
  <si>
    <t>raul.martinez.chavez@ejemplo.com</t>
  </si>
  <si>
    <t>ZYANYA JIMENEZ RAMIREZ</t>
  </si>
  <si>
    <t>zyanya.jimenez.ramirez@ejemplo.com</t>
  </si>
  <si>
    <t>JORGE DIAZ GARCIA</t>
  </si>
  <si>
    <t>jorge.diaz.garcia@ejemplo.com</t>
  </si>
  <si>
    <t>GUILLERMO OSORIO</t>
  </si>
  <si>
    <t>guillermo.osorio@ejemplo.com</t>
  </si>
  <si>
    <t>JONATHAN RIVERA MIRANDA</t>
  </si>
  <si>
    <t>jonathan.rivera.miranda@ejemplo.com</t>
  </si>
  <si>
    <t>BENITA ARAUJO</t>
  </si>
  <si>
    <t>benita.araujo@ejemplo.com</t>
  </si>
  <si>
    <t>J GUADALUPE DE SANTIAGO ANDRADE</t>
  </si>
  <si>
    <t>j.guadalupe.de.santiago.andrade@ejemplo.com</t>
  </si>
  <si>
    <t>JOSE DE JESUS DE SANTIAGO BARAJAS</t>
  </si>
  <si>
    <t>jose.de.jesus.de.santiago.barajas@ejemplo.com</t>
  </si>
  <si>
    <t>ALEJANDRO ANTONIO POLANCO CASTRO</t>
  </si>
  <si>
    <t>LESTATDARK12@GMAIL.COM</t>
  </si>
  <si>
    <t>JUAN JOSE GOZNALEZ RUIZ</t>
  </si>
  <si>
    <t>KARKARMTZ@ICLOUD.COM</t>
  </si>
  <si>
    <t>OLLYN TONATIUH HERNANDEZ CESATTI</t>
  </si>
  <si>
    <t>DELIA LEDESMA</t>
  </si>
  <si>
    <t>delia.ledesma@ejemplo.com</t>
  </si>
  <si>
    <t>CARLOS ANTONIO VILEGAS</t>
  </si>
  <si>
    <t>carlos.antonio.vilegas@ejemplo.com</t>
  </si>
  <si>
    <t>EDSON YAHIR LARA GONZALEZ</t>
  </si>
  <si>
    <t>EDSON.LG2412@GMAIL.COM</t>
  </si>
  <si>
    <t>DAVID PERALTA GUTIERREZ</t>
  </si>
  <si>
    <t>david.peralta.gutierrez@ejemplo.com</t>
  </si>
  <si>
    <t>JORGE ANTONIO DIAZ</t>
  </si>
  <si>
    <t>jorge.antonio.diaz@ejemplo.com</t>
  </si>
  <si>
    <t>HESER LOPEZ RAMIREZ</t>
  </si>
  <si>
    <t>heser.lopez.ramirez@ejemplo.com</t>
  </si>
  <si>
    <t>MARIA TERESA RAMIREZ GARCIA</t>
  </si>
  <si>
    <t>maria.teresa.ramirez.garcia@ejemplo.com</t>
  </si>
  <si>
    <t>GABRIEL MENDEZ</t>
  </si>
  <si>
    <t>GABRIELMENDEZROMAN53@GMAIL.COM</t>
  </si>
  <si>
    <t>ANGEL CHAVEZ CONTRERAS</t>
  </si>
  <si>
    <t>angel.chavez.contreras@ejemplo.com</t>
  </si>
  <si>
    <t>MALCON MIGUEL ROSALES ACOSTA</t>
  </si>
  <si>
    <t>malcon.miguel.rosales.acosta@ejemplo.com</t>
  </si>
  <si>
    <t>DANIEL RUBIO</t>
  </si>
  <si>
    <t>daniel.rubio@ejemplo.com</t>
  </si>
  <si>
    <t>JORGE ABARCA</t>
  </si>
  <si>
    <t>jorge.abarca@ejemplo.com</t>
  </si>
  <si>
    <t>JONATHAN  RUIZ</t>
  </si>
  <si>
    <t>jonathan..ruiz@ejemplo.com</t>
  </si>
  <si>
    <t>CARLOS MAYORGA</t>
  </si>
  <si>
    <t>carlos.mayorga@ejemplo.com</t>
  </si>
  <si>
    <t>JESUS EMANUEL MORENO</t>
  </si>
  <si>
    <t>JESUSE_MOR@HOTMAIL.COM</t>
  </si>
  <si>
    <t>OSVALDO VILCHIS LOPEZ</t>
  </si>
  <si>
    <t>INGOSVALDOVL@GMAIL.COM</t>
  </si>
  <si>
    <t>MIGUEL ANGEL SANCHEZ BLANCAS</t>
  </si>
  <si>
    <t>miguel.angel.sanchez.blancas@ejemplo.com</t>
  </si>
  <si>
    <t>RODRIGO ANGEL OCANA CARRIZOSA</t>
  </si>
  <si>
    <t>TICKETCENTER@ALTOUR.MX</t>
  </si>
  <si>
    <t>ANA LILIAN  FUENTES RODRIGUEZ</t>
  </si>
  <si>
    <t>ana.lilian..fuentes.rodriguez@ejemplo.com</t>
  </si>
  <si>
    <t>MANUEL QUINTERO  PEREZ</t>
  </si>
  <si>
    <t>manuel.quintero..perez@ejemplo.com</t>
  </si>
  <si>
    <t>ANA KARLA SANCHEZ  FUENTES</t>
  </si>
  <si>
    <t>ana.karla.sanchez..fuentes@ejemplo.com</t>
  </si>
  <si>
    <t>RICARDO E RAMIREZ PEREZ</t>
  </si>
  <si>
    <t>ricardo.e.ramirez.perez@ejemplo.com</t>
  </si>
  <si>
    <t>MIGUEL ANGEL GUZMAN DIAZ</t>
  </si>
  <si>
    <t>GESTION@GRUPO-ASESORES.NET</t>
  </si>
  <si>
    <t>EVANGELINA  FLORES  LUNA</t>
  </si>
  <si>
    <t>evangelina..flores..luna@ejemplo.com</t>
  </si>
  <si>
    <t>ABRAHAM DIEGO LOPEZ JIMENEZ</t>
  </si>
  <si>
    <t>GCASANTING02@GMAIL.COM</t>
  </si>
  <si>
    <t>ALEJANDRO GARCIA RODRIGUEZ</t>
  </si>
  <si>
    <t>alejandro.garcia.rodriguez@ejemplo.com</t>
  </si>
  <si>
    <t>DELIA MARTHA BUCIO RODRIGUEZ</t>
  </si>
  <si>
    <t>7FACTURAS7@GMAIL.COM</t>
  </si>
  <si>
    <t>FERNANDO MANUEL SANTANA MENDEZ</t>
  </si>
  <si>
    <t>FERSANT.SM@ICLOUD.COM</t>
  </si>
  <si>
    <t>ALFONSO POZOS CERVANTES</t>
  </si>
  <si>
    <t>GRUPOSUKIARY@GMAIL.COM</t>
  </si>
  <si>
    <t>ROQUE MARTINEZ NOLASCO</t>
  </si>
  <si>
    <t>JUANMANUELMTZR@GMAIL.COM</t>
  </si>
  <si>
    <t>ALEJANDRO LÃ“PEZ PLASCENCIA</t>
  </si>
  <si>
    <t>YOLOTZINPFLORES@GMAIL.COM</t>
  </si>
  <si>
    <t>PABLO BANDA</t>
  </si>
  <si>
    <t>PABLOBANDA78@GMAIL.COM</t>
  </si>
  <si>
    <t>MIGUEL ANGEL FUENTES</t>
  </si>
  <si>
    <t>MIGUEL_A_FTES@YAHOO.COM.MX</t>
  </si>
  <si>
    <t>GABRIELA  VICTORIA MILLAN</t>
  </si>
  <si>
    <t>gabriela..victoria.millan@ejemplo.com</t>
  </si>
  <si>
    <t>RUBEN  LADRON DE GUEVARA VALDIESO</t>
  </si>
  <si>
    <t>ruben..ladron.de.guevara.valdieso@ejemplo.com</t>
  </si>
  <si>
    <t>LETECIA ARAGON MORALES</t>
  </si>
  <si>
    <t>OSCARCUEVA13@GMAIL.COM</t>
  </si>
  <si>
    <t>EDER ABRAHAM DIAZ OSUNA</t>
  </si>
  <si>
    <t>LINEAEVOLUXION@HOTMAIL.COM</t>
  </si>
  <si>
    <t>JUAN ANDRES DIAZ OSUNA</t>
  </si>
  <si>
    <t>EDUARDO MONCADA TOVAR</t>
  </si>
  <si>
    <t>DAISE DEL CARMEN FIGUEROA</t>
  </si>
  <si>
    <t>daise.del.carmen.figueroa@ejemplo.com</t>
  </si>
  <si>
    <t>JANET VELASQUES</t>
  </si>
  <si>
    <t>janet.velasques@ejemplo.com</t>
  </si>
  <si>
    <t>LUIS ALBERTO LOPEZ CARRILLO</t>
  </si>
  <si>
    <t>MARIA ESTEBAN LOPEZ</t>
  </si>
  <si>
    <t>MARIANA.SANEST@GMAIL.COM</t>
  </si>
  <si>
    <t>ENRIQUE HUGO SANDOVAL ORTIZ</t>
  </si>
  <si>
    <t>GAMSANDOVAL@GMAIL.COM</t>
  </si>
  <si>
    <t>HERIBERTO    ESTRELLA</t>
  </si>
  <si>
    <t>heriberto....estrella@ejemplo.com</t>
  </si>
  <si>
    <t>MARCELA MARIN QUIÃ‘ES</t>
  </si>
  <si>
    <t>marcela.marin.quiÃ±es@ejemplo.com</t>
  </si>
  <si>
    <t>ANDREA JANET ZARAGOZA FLORES</t>
  </si>
  <si>
    <t>JZARAGOZA.FACTURAS@GMAIL.COM</t>
  </si>
  <si>
    <t>BLANCA VERENICE VELÃZQUEZ ARTERO</t>
  </si>
  <si>
    <t>VERENICEVELA@GMAIL.COM</t>
  </si>
  <si>
    <t>FIDEL SANCHEZ JIMENEZ</t>
  </si>
  <si>
    <t>FISAJIGESTORIA@HOTMAIL.COM</t>
  </si>
  <si>
    <t>ZEFERINO ROBLES</t>
  </si>
  <si>
    <t>zeferino.robles@ejemplo.com</t>
  </si>
  <si>
    <t>MARIA DEL CARMEN RAMIREZ</t>
  </si>
  <si>
    <t>maria.del.carmen.ramirez@ejemplo.com</t>
  </si>
  <si>
    <t>GERARDO ESCAMILLA HERNANDEZ</t>
  </si>
  <si>
    <t>ELECTRIKINDUS@GMAIL.COM</t>
  </si>
  <si>
    <t>OMAR SANCHEZ LUGO</t>
  </si>
  <si>
    <t>JOSHUE DANIEL HERRERA MONTERRUBIO</t>
  </si>
  <si>
    <t>DAN_LOVE_03@LIVE.COM.MX</t>
  </si>
  <si>
    <t>LEONARDO DANIEL GOMEZ RIOS</t>
  </si>
  <si>
    <t>HIVICO.SACV@GMAIL.COM</t>
  </si>
  <si>
    <t>TOMAS HERNANDEZ ZENTENO</t>
  </si>
  <si>
    <t>ULISES MANRIQUE ORTIZ</t>
  </si>
  <si>
    <t>JULIE GASNIER</t>
  </si>
  <si>
    <t>JULIEGSNR@GMAIL.COM</t>
  </si>
  <si>
    <t>BERNABE RAMIREZ PALOMARES</t>
  </si>
  <si>
    <t>RAMIREZBERNA@AOL.COM</t>
  </si>
  <si>
    <t>VLADIMIR JULIAN SALINAS</t>
  </si>
  <si>
    <t>PONCIANO JUAN MANUEL RAMOS ARROYO</t>
  </si>
  <si>
    <t>AALDERETE@SANTORY.COM.MX</t>
  </si>
  <si>
    <t>EDUARDO ANGELES</t>
  </si>
  <si>
    <t>EDGAR.CHAPA@CONSTRUIDEA.COM</t>
  </si>
  <si>
    <t>JUAN CARLOS MENDOZA RIVERA</t>
  </si>
  <si>
    <t>CAROLINA MARTINEZ LUNA</t>
  </si>
  <si>
    <t>carolina.martinez.luna@ejemplo.com</t>
  </si>
  <si>
    <t>JANETH BARRAGÃN CUEVAS</t>
  </si>
  <si>
    <t>OMAR21.AR@GMAIL.COM</t>
  </si>
  <si>
    <t>MANUEL SALVADOR ARCIGA ORTEGA</t>
  </si>
  <si>
    <t>KENYARCIGA@GMAIL.COM</t>
  </si>
  <si>
    <t>ROSA ELENA MEDINA CAMPOS</t>
  </si>
  <si>
    <t>ANGEL TOMAS MARTINEZ</t>
  </si>
  <si>
    <t>ATMARTINEZ82@GMAIL.COM</t>
  </si>
  <si>
    <t>CRISTINA GARCÃA PÃ‰REZ</t>
  </si>
  <si>
    <t>KRISGPTRUPER@GMAIL.COM</t>
  </si>
  <si>
    <t>JESÃšS ALBERTO RAYA GUEVARA</t>
  </si>
  <si>
    <t>JESUSRAYAG23@GMAIL.COM</t>
  </si>
  <si>
    <t>ARTURO GARCIA GUTIERREZ</t>
  </si>
  <si>
    <t>DDAQUINO@VIDIALSA.COM</t>
  </si>
  <si>
    <t>ENEDINO MONTALVO VERA</t>
  </si>
  <si>
    <t>enedino.montalvo.vera@ejemplo.com</t>
  </si>
  <si>
    <t>MA TERESA CESAR JIMENEZ</t>
  </si>
  <si>
    <t>MIRNAKLZAD@GMAIL.COM</t>
  </si>
  <si>
    <t>AMAIA CALZADA CESAR</t>
  </si>
  <si>
    <t>GUILLERMO TELLO CANTÃš</t>
  </si>
  <si>
    <t>G.TELLOCANTU@GMAIL.COM</t>
  </si>
  <si>
    <t>MARTHA ZUÃ‘IGA</t>
  </si>
  <si>
    <t>martha.zuÃ±iga@ejemplo.com</t>
  </si>
  <si>
    <t>RICARDO CERVANTES</t>
  </si>
  <si>
    <t>ricardo.cervantes@ejemplo.com</t>
  </si>
  <si>
    <t>SERGIO RODRIGUEZ ABAD</t>
  </si>
  <si>
    <t>SRDZABAD@HOTMAIL.COM</t>
  </si>
  <si>
    <t>MELVA AGUILAR OLIVA</t>
  </si>
  <si>
    <t>AMJOSE68@GMAIL.COM</t>
  </si>
  <si>
    <t>SAMUEL FLORES GONZALEZ</t>
  </si>
  <si>
    <t>samuel.flores.gonzalez@ejemplo.com</t>
  </si>
  <si>
    <t>MARIANA JIMENEZ MOLINA</t>
  </si>
  <si>
    <t>mariana.jimenez.molina@ejemplo.com</t>
  </si>
  <si>
    <t>JESUS AVILAS DIAZ</t>
  </si>
  <si>
    <t>jesus.avilas.diaz@ejemplo.com</t>
  </si>
  <si>
    <t>JOSE LUIS VILLEGAS</t>
  </si>
  <si>
    <t>jose.luis.villegas@ejemplo.com</t>
  </si>
  <si>
    <t>VERÃ“NICA AYALA DURÃN</t>
  </si>
  <si>
    <t>NEGRINHO69@HOTMAIL.COM</t>
  </si>
  <si>
    <t>BRANDHON SANCHEZ SANDOVAL</t>
  </si>
  <si>
    <t>SBRANDHON@GMAIL.COM</t>
  </si>
  <si>
    <t>AARON ALFARO MUÃ‘OZ</t>
  </si>
  <si>
    <t>GECKO_JAAM@HOTMAIL.COM</t>
  </si>
  <si>
    <t>GUSTAVO ORTEGA VILLEDA</t>
  </si>
  <si>
    <t>SERVICIOSMETALURGICOS2@GMAIL.COM</t>
  </si>
  <si>
    <t>LUIS FERNANDO BELTRAN BALDERAS</t>
  </si>
  <si>
    <t>CARLOS CASTILLO GONZÃLEZ</t>
  </si>
  <si>
    <t>CASTILLO75GON@GMAIL.COM</t>
  </si>
  <si>
    <t>AXEL JESÃšS RODRIGUEZ CAMACHO</t>
  </si>
  <si>
    <t>GCG21012005@GMAIL.COM</t>
  </si>
  <si>
    <t>MAURICIO CAMACHO GONZALEZ</t>
  </si>
  <si>
    <t>BETZY SUGHEY NANTOS</t>
  </si>
  <si>
    <t>PEREZCHAVEZYESICA@GMAIL.COM</t>
  </si>
  <si>
    <t>MAGDALENA CHAVEZ</t>
  </si>
  <si>
    <t>EFREN NUÃ‘EZ</t>
  </si>
  <si>
    <t>efren.nuÃ±ez@ejemplo.com</t>
  </si>
  <si>
    <t>GILDARDO LOPEZ PEREZ</t>
  </si>
  <si>
    <t>gildardo.lopez.perez@ejemplo.com</t>
  </si>
  <si>
    <t>JUDITH CAMBEROS PEREZ</t>
  </si>
  <si>
    <t>judith.camberos.perez@ejemplo.com</t>
  </si>
  <si>
    <t>CARLOS ALBERTO HERNANDEZ GAMBOA</t>
  </si>
  <si>
    <t>180270CARLOSA@GMAIL.COM</t>
  </si>
  <si>
    <t>ENRIQUE VICENCIO</t>
  </si>
  <si>
    <t>enrique.vicencio@ejemplo.com</t>
  </si>
  <si>
    <t>EULOGIO LARA LARA</t>
  </si>
  <si>
    <t>eulogio.lara.lara@ejemplo.com</t>
  </si>
  <si>
    <t>TANIA CABRERA</t>
  </si>
  <si>
    <t>TANIAYACUTA@HOTMAIL.COM</t>
  </si>
  <si>
    <t>BRANDO HERMILO DIAZ AMARO</t>
  </si>
  <si>
    <t>BRANDO.HERMILIO@DOMINION.MX</t>
  </si>
  <si>
    <t>JAIME NOVA</t>
  </si>
  <si>
    <t>jaime.nova@ejemplo.com</t>
  </si>
  <si>
    <t>MANUEL YBARRA AÃ‘ORVE</t>
  </si>
  <si>
    <t>MANOLOGP16@GMAIL.COM</t>
  </si>
  <si>
    <t>MARICARMEN DEL CARMEN BAÃ‘OS</t>
  </si>
  <si>
    <t>JONATHAN ALEXIS HERNANDEZ INFANTE</t>
  </si>
  <si>
    <t>GABRIELA GALVAN</t>
  </si>
  <si>
    <t>gabriela.galvan@ejemplo.com</t>
  </si>
  <si>
    <t>FRANCISCO CERON</t>
  </si>
  <si>
    <t>francisco.ceron@ejemplo.com</t>
  </si>
  <si>
    <t>MATIAS URIEL CERON</t>
  </si>
  <si>
    <t>matias.uriel.ceron@ejemplo.com</t>
  </si>
  <si>
    <t>JORGE GOMEZ</t>
  </si>
  <si>
    <t>DANIELGAONAG32@GMAIL.COM</t>
  </si>
  <si>
    <t>JAVIER GUERRERO</t>
  </si>
  <si>
    <t>javier.guerrero@ejemplo.com</t>
  </si>
  <si>
    <t>SALVADOR   MARCOS  MAGDALENO</t>
  </si>
  <si>
    <t>salvador...marcos..magdaleno@ejemplo.com</t>
  </si>
  <si>
    <t>HECTOR ORTEGA</t>
  </si>
  <si>
    <t>hector.ortega@ejemplo.com</t>
  </si>
  <si>
    <t>JAZMIN TAFOLLA</t>
  </si>
  <si>
    <t>jazmin.tafolla@ejemplo.com</t>
  </si>
  <si>
    <t>SEBASTIAN RAMIREZ</t>
  </si>
  <si>
    <t>sebastian.ramirez@ejemplo.com</t>
  </si>
  <si>
    <t>SERGIO PACHECO</t>
  </si>
  <si>
    <t>sergio.pacheco@ejemplo.com</t>
  </si>
  <si>
    <t>ALFREDO OSORIO</t>
  </si>
  <si>
    <t>alfredo.osorio@ejemplo.com</t>
  </si>
  <si>
    <t>CARLA ANGELICA MENDEZ ZAVALA</t>
  </si>
  <si>
    <t>CARLA.MENDEZ@KURTZERSA.COM</t>
  </si>
  <si>
    <t>MUKUNDA RODRIGUEZ</t>
  </si>
  <si>
    <t>ZIYUAN HUANG</t>
  </si>
  <si>
    <t>ziyuan.huang@ejemplo.com</t>
  </si>
  <si>
    <t>ANGELICA LOPEZ</t>
  </si>
  <si>
    <t>angelica.lopez@ejemplo.com</t>
  </si>
  <si>
    <t>ALDO PAUL   LOPEZ LOPEZ</t>
  </si>
  <si>
    <t>aldo.paul...lopez.lopez@ejemplo.com</t>
  </si>
  <si>
    <t>ADRIAN LOPEZ</t>
  </si>
  <si>
    <t>adrian.lopez@ejemplo.com</t>
  </si>
  <si>
    <t>GRACE ART</t>
  </si>
  <si>
    <t>GRACE.ART@STUDIUM.UNI-HAMBURG.DE</t>
  </si>
  <si>
    <t>JORDIS HANSEN</t>
  </si>
  <si>
    <t>JOSUE HERNANDEZ</t>
  </si>
  <si>
    <t>josue.hernandez@ejemplo.com</t>
  </si>
  <si>
    <t>JORDIS.HANSEN@STUDIUM.UNI-HAMBURG.DE</t>
  </si>
  <si>
    <t>JUANA ORTA BAÃ‘UELOS</t>
  </si>
  <si>
    <t>juana.orta.baÃ±uelos@ejemplo.com</t>
  </si>
  <si>
    <t>ENRIQUE GARCIA SANCHEZ</t>
  </si>
  <si>
    <t>enrique.garcia.sanchez@ejemplo.com</t>
  </si>
  <si>
    <t>JOSE DE JESUS CARVAJAL</t>
  </si>
  <si>
    <t>jose.de.jesus.carvajal@ejemplo.com</t>
  </si>
  <si>
    <t>GABRIEL PEREZ LOPEZ</t>
  </si>
  <si>
    <t>gabriel.perez.lopez@ejemplo.com</t>
  </si>
  <si>
    <t>LUIS JOSE MERETE</t>
  </si>
  <si>
    <t>luis.jose.merete@ejemplo.com</t>
  </si>
  <si>
    <t>JAUN LOPEZ</t>
  </si>
  <si>
    <t>jaun.lopez@ejemplo.com</t>
  </si>
  <si>
    <t>JOSE FABIAN RICO</t>
  </si>
  <si>
    <t>jose.fabian.rico@ejemplo.com</t>
  </si>
  <si>
    <t>MARÃA DE LOURDES LÃ“PEZ MARTÃNEZ LÃ“PEZ MARTÃNE</t>
  </si>
  <si>
    <t>LULALMML@HOTMAIL.COM</t>
  </si>
  <si>
    <t>OSIRIS SAMANTHA MORA ARTEAGA</t>
  </si>
  <si>
    <t>SEBASTIÃN LUÃ‰VANOS LÃ“PEZ</t>
  </si>
  <si>
    <t>PABLO HERNANDEZ</t>
  </si>
  <si>
    <t>VECTORSTANDSPRODUCCION@GMAIL.COM</t>
  </si>
  <si>
    <t>MARTHA ELENA ALMAGUER</t>
  </si>
  <si>
    <t>martha.elena.almaguer@ejemplo.com</t>
  </si>
  <si>
    <t>MARCELA  NICOLAS</t>
  </si>
  <si>
    <t>marcela..nicolas@ejemplo.com</t>
  </si>
  <si>
    <t>DAVID PEREZ</t>
  </si>
  <si>
    <t>MAXIMO ALDANA</t>
  </si>
  <si>
    <t>NAHOMI SOLIS</t>
  </si>
  <si>
    <t>nahomi.solis@ejemplo.com</t>
  </si>
  <si>
    <t>JOAN RODRÃGUEZ</t>
  </si>
  <si>
    <t>J_RODRIC@HOTMAIL.COM</t>
  </si>
  <si>
    <t>JUAN BAEZA CASTILLO</t>
  </si>
  <si>
    <t>JBAEZAC@GMINFRA.MX</t>
  </si>
  <si>
    <t>VASTHI GUADALUPE PALMA GRACIA</t>
  </si>
  <si>
    <t>vasthi.guadalupe.palma.gracia@ejemplo.com</t>
  </si>
  <si>
    <t>VICENTE CORONA</t>
  </si>
  <si>
    <t>vicente.corona@ejemplo.com</t>
  </si>
  <si>
    <t>BLANCA LUCIA CRUZ SANCHEZ</t>
  </si>
  <si>
    <t>blanca.lucia.cruz.sanchez@ejemplo.com</t>
  </si>
  <si>
    <t>RAUL RODRIGUEZ ESCAMILLA</t>
  </si>
  <si>
    <t>raul.rodriguez.escamilla@ejemplo.com</t>
  </si>
  <si>
    <t>BRANDON ZAMUDIO</t>
  </si>
  <si>
    <t>brandon.zamudio@ejemplo.com</t>
  </si>
  <si>
    <t>MARIA HILDA TINOCO AYALA</t>
  </si>
  <si>
    <t>HUESITOSGDG@GMAIL.COM</t>
  </si>
  <si>
    <t>RAFAEL GUTIERREZ TINOCO</t>
  </si>
  <si>
    <t>MARIA TERESA GUZMAN</t>
  </si>
  <si>
    <t>maria.teresa.guzman@ejemplo.com</t>
  </si>
  <si>
    <t>JOSEFINA CENTENARIO</t>
  </si>
  <si>
    <t>josefina.centenario@ejemplo.com</t>
  </si>
  <si>
    <t>MARIANO JACOBO CAYETANO</t>
  </si>
  <si>
    <t>MJACOBO@SNE.COM.MX</t>
  </si>
  <si>
    <t>ANGEL RAFAEL IBARRA MENDEZ</t>
  </si>
  <si>
    <t>ONCEARQUITECTOSLAB@GMAIL.COM</t>
  </si>
  <si>
    <t>MIGUEL ANGEL IBARRA FELIX</t>
  </si>
  <si>
    <t>ERNESDTO ROSAS</t>
  </si>
  <si>
    <t>ernesdto.rosas@ejemplo.com</t>
  </si>
  <si>
    <t>JESUS JAVIER GODINEZ</t>
  </si>
  <si>
    <t>jesus.javier.godinez@ejemplo.com</t>
  </si>
  <si>
    <t>LUIS GONZÃLEZ GUERRERO</t>
  </si>
  <si>
    <t>VICKYGG8110@HORMAIL.COM</t>
  </si>
  <si>
    <t>VICKYGG8110@HOTMAIL.COM</t>
  </si>
  <si>
    <t>NINA GRAJALES LAGUNES</t>
  </si>
  <si>
    <t>JOSE JIMENEZ SANCHEZ</t>
  </si>
  <si>
    <t>jose.jimenez.sanchez@ejemplo.com</t>
  </si>
  <si>
    <t>VÃCTOR ADRIÃN REYES HERNÃNDEZ</t>
  </si>
  <si>
    <t>KARINA.PEA@HOTMAIL.COM</t>
  </si>
  <si>
    <t>ARTURO ANTONIO</t>
  </si>
  <si>
    <t>arturo.antonio@ejemplo.com</t>
  </si>
  <si>
    <t>JAVIER HERNANDEZ ARANDA</t>
  </si>
  <si>
    <t>JAVI_HDEZ_ARANDA@HOTMAIL.COM</t>
  </si>
  <si>
    <t>CHRISTIAN CAMACHO RODRIGUEZ</t>
  </si>
  <si>
    <t>CCAMACHO@ANEBERRIES.MX</t>
  </si>
  <si>
    <t>JUAN RAMOS PEÃ‘A</t>
  </si>
  <si>
    <t>GABRIELRAMOS_4@YAHOO.COM.MX</t>
  </si>
  <si>
    <t>GABRIEL CEJA RODRIGUEZ</t>
  </si>
  <si>
    <t>gabriel.ceja.rodriguez@ejemplo.com</t>
  </si>
  <si>
    <t>NAHOMY VALERIA ALVAREZ LOZANO</t>
  </si>
  <si>
    <t>LOZANO.NVA@GMAIL.COM</t>
  </si>
  <si>
    <t>DENISS GARCÃA ARROYO</t>
  </si>
  <si>
    <t>DEN.GARCIA98@GMAIL.COM</t>
  </si>
  <si>
    <t>KATYA GARCÃA CHÃVEZ</t>
  </si>
  <si>
    <t>KATYAGARCIA@INOLAB.COM</t>
  </si>
  <si>
    <t>CESAR EDUARDO CRUZ MATEOS</t>
  </si>
  <si>
    <t>cesar.eduardo.cruz.mateos@ejemplo.com</t>
  </si>
  <si>
    <t>BENITO ESCALANTE ARENAS</t>
  </si>
  <si>
    <t>MARCELABASURTO0329@GMAIL.COM</t>
  </si>
  <si>
    <t>MARIA MARCELA RAMÃREZ BASURTO</t>
  </si>
  <si>
    <t>ISABEL CRISTINA RIOS ROMERO</t>
  </si>
  <si>
    <t>VIRIDIANAGALINDORIOS@GMAIL.COM</t>
  </si>
  <si>
    <t>BRENDA I MENDOZA RODRIGUEZ</t>
  </si>
  <si>
    <t>BM-ARQ@OUTLOOK.COM</t>
  </si>
  <si>
    <t>OZURY JOSELINE GONZÃLEZ RANGEL</t>
  </si>
  <si>
    <t>RANGELOZURI@GMAIL.COM</t>
  </si>
  <si>
    <t>JOSE MANUEL MARTINEZ TOSTADO</t>
  </si>
  <si>
    <t>jose.manuel.martinez.tostado@ejemplo.com</t>
  </si>
  <si>
    <t>SERGIO URQUIETA ORTEGA</t>
  </si>
  <si>
    <t>sergio.urquieta.ortega@ejemplo.com</t>
  </si>
  <si>
    <t>ALAN SOLEDAD ROMERO</t>
  </si>
  <si>
    <t>ALAN.SOLEDAD.R@GMAIL.COM</t>
  </si>
  <si>
    <t>YI HAN</t>
  </si>
  <si>
    <t>NINA047HAN@126.COM</t>
  </si>
  <si>
    <t>OSWALDO URRUTIA TORRES</t>
  </si>
  <si>
    <t>URRUTIA@IMACPROYECTOS.COM.MX</t>
  </si>
  <si>
    <t>GABRIEL BOLONGARO CREVENNA PONCE</t>
  </si>
  <si>
    <t>BOLONGARO@GMAIL.COM</t>
  </si>
  <si>
    <t>LUIS CASAS ANDRADE</t>
  </si>
  <si>
    <t>CASAS.ANDRADE@HOTMAIL.COM</t>
  </si>
  <si>
    <t>JOSE MORALES PEÃ‘A</t>
  </si>
  <si>
    <t>JAVIERSAMPAYO61175@GMAIL.COM</t>
  </si>
  <si>
    <t>MAURICIO PORTELA FLORES</t>
  </si>
  <si>
    <t>MIGUEL ANGEL GUILLÃ‰N</t>
  </si>
  <si>
    <t>CARLOS SANTOS</t>
  </si>
  <si>
    <t>CARLOS73SC@GMAIL.COM</t>
  </si>
  <si>
    <t>HECTOR ENRIQUE CANCHOLA BEAS</t>
  </si>
  <si>
    <t>hector.enrique.canchola.beas@ejemplo.com</t>
  </si>
  <si>
    <t>HÃ‰CTOR FERNANDO BARBOSA AGUILAR</t>
  </si>
  <si>
    <t>HBARBOSA@ALTIKS.COM.MX</t>
  </si>
  <si>
    <t>DAMIAN OCHOA</t>
  </si>
  <si>
    <t>OHERNANDEZ@EUROPAN.MX</t>
  </si>
  <si>
    <t>ARGENIS ISMAEL GARCIA FRAGA</t>
  </si>
  <si>
    <t>ADMINISTRACION@BIOCLIMEX.COM</t>
  </si>
  <si>
    <t>OSCAR PIÃ‘A JASSO</t>
  </si>
  <si>
    <t>OSCARILO87@GMAIL.COM</t>
  </si>
  <si>
    <t>FAUSTO CESAR PEREZ DIAZ</t>
  </si>
  <si>
    <t>fausto.cesar.perez.diaz@ejemplo.com</t>
  </si>
  <si>
    <t>EDGAR EDUARDO MERA</t>
  </si>
  <si>
    <t>FACTURACIONESAF@HOTMAIL.COM</t>
  </si>
  <si>
    <t>JOSE RICARDO FLORES</t>
  </si>
  <si>
    <t>NOE VELAZQUEZ GARCIA</t>
  </si>
  <si>
    <t>SERGIO RAMIREZ TORRES</t>
  </si>
  <si>
    <t>TRASLADOS.MX@MEDIAPRO.TV</t>
  </si>
  <si>
    <t>GUSTAVO LUGO MORALES</t>
  </si>
  <si>
    <t>ROBERTO-PH@HOTMAIL.COM</t>
  </si>
  <si>
    <t>NORMA COLIN IRETA</t>
  </si>
  <si>
    <t>norma.colin.ireta@ejemplo.com</t>
  </si>
  <si>
    <t>MIRIAM COLIN IRETA</t>
  </si>
  <si>
    <t>miriam.colin.ireta@ejemplo.com</t>
  </si>
  <si>
    <t>CARLOS RAMIREZ COLIN</t>
  </si>
  <si>
    <t>carlos.ramirez.colin@ejemplo.com</t>
  </si>
  <si>
    <t>ISAURO MARTÃNEZ BETANZOS</t>
  </si>
  <si>
    <t>ISAUROBETANZOS@GMAIL.COM</t>
  </si>
  <si>
    <t>EZEQUIEL GALINDO</t>
  </si>
  <si>
    <t>JOSÃ‰ FRANCISCO CARMONA ESCOBEDO</t>
  </si>
  <si>
    <t>PACOCE65@GMAIL.COM</t>
  </si>
  <si>
    <t>ERNESTO JOEL MUÃ‘OZ VAZQUEZ</t>
  </si>
  <si>
    <t>EDWIN ORTIZ</t>
  </si>
  <si>
    <t>edwin.ortiz@ejemplo.com</t>
  </si>
  <si>
    <t>SONIA IRENE OLMOS DOMINGUEZ</t>
  </si>
  <si>
    <t>ABSH_LUCKY@HOTMAIL.COM</t>
  </si>
  <si>
    <t>MIGUEL ANGEL PERALTA GARCIA</t>
  </si>
  <si>
    <t>MPERALTAGAR@GMAIL.COM</t>
  </si>
  <si>
    <t>TAK MAN YIM</t>
  </si>
  <si>
    <t>REOYIM@GMAIL.COM</t>
  </si>
  <si>
    <t>GUILLERMO ARELLANO OCHOA</t>
  </si>
  <si>
    <t>CHIMALHU443@GMAIL.COM</t>
  </si>
  <si>
    <t>CARLOS CAMACHO</t>
  </si>
  <si>
    <t>ANUNO.PER@GMAIL.COM</t>
  </si>
  <si>
    <t>SANTOS ALEJANDRO CHAVEZ CASILLAS</t>
  </si>
  <si>
    <t>SANTOSACC@YAHOO.COM</t>
  </si>
  <si>
    <t>HÃ‰CTOR FERNANDO VÃZQUEZ BUENDÃA</t>
  </si>
  <si>
    <t>ALBERTO MAXIMINO PEREZ PEREZ</t>
  </si>
  <si>
    <t>ALPEREZPE@GMAIL.COM</t>
  </si>
  <si>
    <t>FERNANDO SOTO</t>
  </si>
  <si>
    <t>C97915513@GMAIL.COM</t>
  </si>
  <si>
    <t>ROSALINA PEREZ BRIONES</t>
  </si>
  <si>
    <t>BRIONESRP@GMAIL.COM</t>
  </si>
  <si>
    <t>EMANUEL SÃNCHEZ GINEZ</t>
  </si>
  <si>
    <t>KARLAPAOLA0101@GMAIL.COM</t>
  </si>
  <si>
    <t>GODOFREDO MONTAÃ‘O ORTEGA</t>
  </si>
  <si>
    <t>JESÃšS VALDEZ RODRIGUEZ</t>
  </si>
  <si>
    <t>FERNANDO LOBSANG CAMARGO GARCIA</t>
  </si>
  <si>
    <t>AGUSTIN.ALVAREZ@ENCOREGLOBAL.COM</t>
  </si>
  <si>
    <t>ALEX EDUARDO VELASQUEZ GOMEZ</t>
  </si>
  <si>
    <t>ALEVELGOM@GMAIL.COM</t>
  </si>
  <si>
    <t>CLARA CAMARENA</t>
  </si>
  <si>
    <t>CLARA.CAMARENA.V@GMAIL.COM</t>
  </si>
  <si>
    <t>ROGELIO MORALES VÃZQUEZ</t>
  </si>
  <si>
    <t>RMORALES@CUNSA.COM.MX</t>
  </si>
  <si>
    <t>VICTOR ZUÃ‘IGA</t>
  </si>
  <si>
    <t>victor.zuÃ±iga@ejemplo.com</t>
  </si>
  <si>
    <t>ANGELICA LIZETH CAMPECHANO NAVARRO</t>
  </si>
  <si>
    <t>LIZETH14712@GMAIL.COM</t>
  </si>
  <si>
    <t>ARTURO CASTELAZO BARRIGA</t>
  </si>
  <si>
    <t>ARCHI_AMERICA10@HOTMAIL.COM</t>
  </si>
  <si>
    <t>HIROSHI SEKISAKA PÃ‰REZ</t>
  </si>
  <si>
    <t>TRAUMAYORTO11@GMAIL.COM</t>
  </si>
  <si>
    <t>KARENMTZA_CP@HOTMAIL.COM</t>
  </si>
  <si>
    <t>KAREN GUADALUPE MARTÃNEZ AVIÃ‘A</t>
  </si>
  <si>
    <t>JORGE   TAMAYO  SOLORIO</t>
  </si>
  <si>
    <t>jorge...tamayo..solorio@ejemplo.com</t>
  </si>
  <si>
    <t>THALÃA FERNANDA COTA VALDEZ</t>
  </si>
  <si>
    <t>THALIACOTA@GMAIL.COM</t>
  </si>
  <si>
    <t>ALEJANDRO BERGARA PEÃ‘A</t>
  </si>
  <si>
    <t>DIRECCION@TUASISTENCIA.MX</t>
  </si>
  <si>
    <t>ADAM CROUCH</t>
  </si>
  <si>
    <t>ADAMCROUCH77@YAHOO.CO.UK</t>
  </si>
  <si>
    <t>VLADIMIR SARMIENTO PEREZ</t>
  </si>
  <si>
    <t>vladimir.sarmiento.perez@ejemplo.com</t>
  </si>
  <si>
    <t>ROSA MA DEL CARMEN RODRIGUEZ PEREZ</t>
  </si>
  <si>
    <t>rosa.ma.del.carmen.rodriguez.perez@ejemplo.com</t>
  </si>
  <si>
    <t>LILIANA RODRIGUEZ RODRIGUEZ</t>
  </si>
  <si>
    <t>liliana.rodriguez.rodriguez@ejemplo.com</t>
  </si>
  <si>
    <t>JOSE SANTOS  VAZQUEZ</t>
  </si>
  <si>
    <t>jose.santos..vazquez@ejemplo.com</t>
  </si>
  <si>
    <t>ANDRES PEÃ‘ARANDA GASCA</t>
  </si>
  <si>
    <t>andres.peÃ±aranda.gasca@ejemplo.com</t>
  </si>
  <si>
    <t>CESAR CRUZ CORDERO</t>
  </si>
  <si>
    <t>cesar.cruz.cordero@ejemplo.com</t>
  </si>
  <si>
    <t>LUZ MARÃA RUIZ</t>
  </si>
  <si>
    <t>LUZMACSC43@GMAIL.COM</t>
  </si>
  <si>
    <t>ZHUOZHENG CHEN</t>
  </si>
  <si>
    <t>zhuozheng.chen@ejemplo.com</t>
  </si>
  <si>
    <t>ROBERTO DE ALBA</t>
  </si>
  <si>
    <t>roberto.de.alba@ejemplo.com</t>
  </si>
  <si>
    <t>HERMELINDA DE LOS SANTOS</t>
  </si>
  <si>
    <t>hermelinda.de.los.santos@ejemplo.com</t>
  </si>
  <si>
    <t>CYNTHIA DE ALBA</t>
  </si>
  <si>
    <t>cynthia.de.alba@ejemplo.com</t>
  </si>
  <si>
    <t>VANIA REGINA MARIN ALARCÃ“N</t>
  </si>
  <si>
    <t>VANIAREGINAMARINALARCON@GMAIL.COM</t>
  </si>
  <si>
    <t>SAID OMAR</t>
  </si>
  <si>
    <t>said.omar@ejemplo.com</t>
  </si>
  <si>
    <t>DAVID ALFREDO SALDAÃ‘A VALADEZ</t>
  </si>
  <si>
    <t>david.alfredo.saldaÃ±a.valadez@ejemplo.com</t>
  </si>
  <si>
    <t>DIEGO HERIBERTO RODRIGUEZ VALADEZ</t>
  </si>
  <si>
    <t>diego.heriberto.rodriguez.valadez@ejemplo.com</t>
  </si>
  <si>
    <t>IGNACIO ARMANDO ROLON</t>
  </si>
  <si>
    <t>ignacio.armando.rolon@ejemplo.com</t>
  </si>
  <si>
    <t>MARTHA EMILIA HERNANDEZ</t>
  </si>
  <si>
    <t>martha.emilia.hernandez@ejemplo.com</t>
  </si>
  <si>
    <t>DOLLY PINTO</t>
  </si>
  <si>
    <t>dolly.pinto@ejemplo.com</t>
  </si>
  <si>
    <t>FRANCISCO DANIEL RIVERA HERNANDEZ</t>
  </si>
  <si>
    <t>DANIELHZZX@GMAIL.COM</t>
  </si>
  <si>
    <t>CRISTIAN LARA</t>
  </si>
  <si>
    <t>cristian.lara@ejemplo.com</t>
  </si>
  <si>
    <t>MARISELA CENDEJAS HERNÃNDEZ</t>
  </si>
  <si>
    <t>RAULERNESTO08@GMAIL.COM</t>
  </si>
  <si>
    <t>MELANIA TORRES ORTIZ</t>
  </si>
  <si>
    <t>FRANCISCO EDUARDO BELLO DIAZ</t>
  </si>
  <si>
    <t>francisco.eduardo.bello.diaz@ejemplo.com</t>
  </si>
  <si>
    <t>YANET LAUREANO NAVA</t>
  </si>
  <si>
    <t>yanet.laureano.nava@ejemplo.com</t>
  </si>
  <si>
    <t>ADRIAN LAUREANO TEOFILO</t>
  </si>
  <si>
    <t>adrian.laureano.teofilo@ejemplo.com</t>
  </si>
  <si>
    <t>MARILU NAVA</t>
  </si>
  <si>
    <t>marilu.nava@ejemplo.com</t>
  </si>
  <si>
    <t>ANDRES LAUREANO</t>
  </si>
  <si>
    <t>andres.laureano@ejemplo.com</t>
  </si>
  <si>
    <t>JOSE  ALFREDO   BANDILLA VILLA</t>
  </si>
  <si>
    <t>jose..alfredo...bandilla.villa@ejemplo.com</t>
  </si>
  <si>
    <t>MA. ALEJANDRINA ESPÃRITU OLMOS</t>
  </si>
  <si>
    <t>JANDRY373ALE@GMAIL.COM</t>
  </si>
  <si>
    <t>JORGE ESCUDERO FUENTES</t>
  </si>
  <si>
    <t>JOSE ELÃAS MARTÃNEZ SOLIS</t>
  </si>
  <si>
    <t>VIRGINIA MARISOL ESLAVA</t>
  </si>
  <si>
    <t>virginia.marisol.eslava@ejemplo.com</t>
  </si>
  <si>
    <t>MARIA ESTELA REGALADO</t>
  </si>
  <si>
    <t>maria.estela.regalado@ejemplo.com</t>
  </si>
  <si>
    <t>LUIS MILLARES</t>
  </si>
  <si>
    <t>VICLEON1984@GMAIL.COM</t>
  </si>
  <si>
    <t>GLORIA VERGARA PONCE</t>
  </si>
  <si>
    <t>gloria.vergara.ponce@ejemplo.com</t>
  </si>
  <si>
    <t>ADONAY ORTIZ HERNANDEZ</t>
  </si>
  <si>
    <t>adonay.ortiz.hernandez@ejemplo.com</t>
  </si>
  <si>
    <t>EDGAR ZÃRATE LÃ“PEZ</t>
  </si>
  <si>
    <t>EZLOPEZ8604@OUTLOOK.COM</t>
  </si>
  <si>
    <t>ELSA CRISTINA FERNANDEZ SANTANA</t>
  </si>
  <si>
    <t>ELSACRISTINA60@GMAIL.COM</t>
  </si>
  <si>
    <t>NORMA FERNANDEZ SANTANA</t>
  </si>
  <si>
    <t>GUILLERMO MENDOZA</t>
  </si>
  <si>
    <t>guillermo.mendoza@ejemplo.com</t>
  </si>
  <si>
    <t>SILVIA HERNANDEZ</t>
  </si>
  <si>
    <t>silvia.hernandez@ejemplo.com</t>
  </si>
  <si>
    <t>ANDREA FERNÃNDEZ BARROETA</t>
  </si>
  <si>
    <t>ANDREA.FERNANDEZ@LDRSOLUTIONS.COM.MX</t>
  </si>
  <si>
    <t>RAFAEL ALEJANDRO TORRES TINAJERO</t>
  </si>
  <si>
    <t>AAMENDOZAMARTINEZ03@GMAIL.COM</t>
  </si>
  <si>
    <t>DANIELAPAOLA PADILLA</t>
  </si>
  <si>
    <t>DANNY.PAOM@GMAIL.COM</t>
  </si>
  <si>
    <t>MIGUEL ANGEL POLANCO MARTINEZ</t>
  </si>
  <si>
    <t>MAPOLANCO010305@GMAIL.COM</t>
  </si>
  <si>
    <t>MARTIN PAMILA SANCHEZ</t>
  </si>
  <si>
    <t>MARTINPAMILA8LM@GMAIL.COM</t>
  </si>
  <si>
    <t>ANGEL GUADALUPE ALEGRIA GUERRERO</t>
  </si>
  <si>
    <t>SANCHEZCAMACHOJORGE@GMAIL.COM</t>
  </si>
  <si>
    <t>ANTONIO TOMÃS MACARIO</t>
  </si>
  <si>
    <t>GERARDO SANCHEZ MOCINOS</t>
  </si>
  <si>
    <t>VÃCTOR MAURO SILVESTRE VIVANCO</t>
  </si>
  <si>
    <t>REYNA GISELA HERNANDEZ GRESS</t>
  </si>
  <si>
    <t>EDGAR.CAMPOSH@ICLOUD.COM</t>
  </si>
  <si>
    <t>FELIX RAMIREZ SANTOS</t>
  </si>
  <si>
    <t>LRUBI@MGC.COM.MX</t>
  </si>
  <si>
    <t>ARMANDO GARCÃA HERNÃNDEZ</t>
  </si>
  <si>
    <t>ALEJANDRAGRIS131116@GMAIL.COM</t>
  </si>
  <si>
    <t>CELESTINO ROJAS MENDOZA</t>
  </si>
  <si>
    <t>CESAR ROJAS QUIJADA</t>
  </si>
  <si>
    <t>EDUARDO SILVA SÃNCHEZ</t>
  </si>
  <si>
    <t>FRANCISCO JAIR GARCÃA ROJAS</t>
  </si>
  <si>
    <t>MARCO ANTONIO PINEDA PÃ‰REZ</t>
  </si>
  <si>
    <t>PEDRO FERNÃNDEZ YAÃ‘EZ</t>
  </si>
  <si>
    <t>ROBERTO MORALES</t>
  </si>
  <si>
    <t>roberto.morales@ejemplo.com</t>
  </si>
  <si>
    <t>CESAR MORALES</t>
  </si>
  <si>
    <t>cesar.morales@ejemplo.com</t>
  </si>
  <si>
    <t>JOSE ISRAEL GARRIDO ORTEGA</t>
  </si>
  <si>
    <t>ISRAELSOSA024@GMAIL.COM</t>
  </si>
  <si>
    <t>JORGE E SÃNCHEZ TAPIA</t>
  </si>
  <si>
    <t>JESANCHEZTAPIA@GMAIL.COM</t>
  </si>
  <si>
    <t>AMANDA JULIETA SANDOVAL ORTIZ</t>
  </si>
  <si>
    <t>MANDYSSANDOVAL@YAHOO.COM.MX</t>
  </si>
  <si>
    <t>JOAQUIN PEREZ ESCOBEDO</t>
  </si>
  <si>
    <t>SABIDURIA.LIQUIDA@HOTMAIL.COM</t>
  </si>
  <si>
    <t>SANTIAGO GALLEGO HINCAPIE</t>
  </si>
  <si>
    <t>SGALLEGOHINCAPIE@GMAIL.COM</t>
  </si>
  <si>
    <t>CESAR PEREZ ROMERO</t>
  </si>
  <si>
    <t>THECHOSEN1_CPR@HOTMAIL.COM</t>
  </si>
  <si>
    <t>MIGUEL ANGEL SERRATO ROJAS</t>
  </si>
  <si>
    <t>SAM_UP04@HOTMAIL.COM</t>
  </si>
  <si>
    <t>PAOLO STEFANONI PINTO</t>
  </si>
  <si>
    <t>PAOLO.OLSON@GMAIL.COM</t>
  </si>
  <si>
    <t>SALVADOR ANDREI GUTIERREZ</t>
  </si>
  <si>
    <t>salvador.andrei.gutierrez@ejemplo.com</t>
  </si>
  <si>
    <t>HASSIEL ARAGON GARCIA</t>
  </si>
  <si>
    <t>ISAIAS HERNANDEZ FLORES</t>
  </si>
  <si>
    <t>JORGE ARMANDO HERNANDEZ MORALES</t>
  </si>
  <si>
    <t>LUIS ALBERTO RAMIREZ SANTIAGO</t>
  </si>
  <si>
    <t>ERIC RICARDO CARVAJAL LARIOS</t>
  </si>
  <si>
    <t>ERIC.CARVAJALLARIOS@GMAIL.COM</t>
  </si>
  <si>
    <t>ALAN DE JESUS TERRONES ZATARAIN</t>
  </si>
  <si>
    <t>CONTACTO@SOLIDFIRE.COM.MX</t>
  </si>
  <si>
    <t>IVAN MISAEL GUZMAN VALENCIA</t>
  </si>
  <si>
    <t>DANIEL RUBÃ‰N FLORES LÃ“PEZ</t>
  </si>
  <si>
    <t>JOUGEDKIRA@GMAIL.COM</t>
  </si>
  <si>
    <t>ETELVINA JIMENEZ ARREOLA</t>
  </si>
  <si>
    <t>etelvina.jimenez.arreola@ejemplo.com</t>
  </si>
  <si>
    <t>MARCO AYALA NAVARRO</t>
  </si>
  <si>
    <t>marco.ayala.navarro@ejemplo.com</t>
  </si>
  <si>
    <t>CHRISTIAN JESÃšS ANGULO ORTEGA</t>
  </si>
  <si>
    <t>CHRISTIANANGULO2727@GMAIL.COM</t>
  </si>
  <si>
    <t>MARIO ALBERTO RODRIGUEZ OREJEL</t>
  </si>
  <si>
    <t>mario.alberto.rodriguez.orejel@ejemplo.com</t>
  </si>
  <si>
    <t>LORENA HERNANDEZ</t>
  </si>
  <si>
    <t>LORENAMORAHDZ@OUTLOOK.COM</t>
  </si>
  <si>
    <t>ADRIAAN VAN DEN BERG MORA</t>
  </si>
  <si>
    <t>adriaan.van.den.berg.mora@ejemplo.com</t>
  </si>
  <si>
    <t>MIGUEL ÃNGEL AMAYA MERCADO</t>
  </si>
  <si>
    <t>MIKEENGINEER61@GMAIL.COM</t>
  </si>
  <si>
    <t>LUIS ALBERTO ROMÃN LEMUS LEMUS</t>
  </si>
  <si>
    <t>LROMAN.MASTER@GMAIL.COM</t>
  </si>
  <si>
    <t>SEMC10@HOTMAIL.COM</t>
  </si>
  <si>
    <t>SILVIA EDITH MEDINA CAMPOS</t>
  </si>
  <si>
    <t>ISMAEL ARELLANO</t>
  </si>
  <si>
    <t>ismael.arellano@ejemplo.com</t>
  </si>
  <si>
    <t>FERNANDO VALENCIA</t>
  </si>
  <si>
    <t>FVALENCIA471@GMAIL.COM</t>
  </si>
  <si>
    <t>ROGELIO VALENCIA</t>
  </si>
  <si>
    <t>MIRIAM ESTRADA RAMIREZ</t>
  </si>
  <si>
    <t>MIRIAMCORP1179@HOTMAIL.COM</t>
  </si>
  <si>
    <t>SIGIFREDO  TELLEZ GARCIA</t>
  </si>
  <si>
    <t>sigifredo..tellez.garcia@ejemplo.com</t>
  </si>
  <si>
    <t>IRENE VARGAS VÃSQUEZ</t>
  </si>
  <si>
    <t>IREVARGAS@GMAIL.COM</t>
  </si>
  <si>
    <t>RODOMAT@GMAIL.COM</t>
  </si>
  <si>
    <t>RODOLFO MATAMOROS LÃ“PEZ</t>
  </si>
  <si>
    <t>OSCAR OMAR GOMEZ PALACIO</t>
  </si>
  <si>
    <t>OGOMEZ@IPACTRONICS.COM</t>
  </si>
  <si>
    <t>REGINA GOMEZ PALACIO</t>
  </si>
  <si>
    <t>CARLOS ESTEBAN ORDAZ FÃšNEZ</t>
  </si>
  <si>
    <t>CLAUDIA  LETICIA RIVERA LOPEZ</t>
  </si>
  <si>
    <t>claudia..leticia.rivera.lopez@ejemplo.com</t>
  </si>
  <si>
    <t>JUAN ANTONIO GONZALEZ CUELLAR</t>
  </si>
  <si>
    <t>MARCO EFREN CASTAÃ‘EDA ORTA</t>
  </si>
  <si>
    <t>FERNANDA LORETO COVARRUBIAS</t>
  </si>
  <si>
    <t>PHERLORETO92.PL@GMAIL.COM</t>
  </si>
  <si>
    <t>CATARINO BADILLO CAZARES</t>
  </si>
  <si>
    <t>catarino.badillo.cazares@ejemplo.com</t>
  </si>
  <si>
    <t>GUSTAVO RUEDA CORONA</t>
  </si>
  <si>
    <t>GUSS6937RC@GMAIL.COM</t>
  </si>
  <si>
    <t>DANIEL PASCUAL RODRIGUEZ ROSAS</t>
  </si>
  <si>
    <t>daniel.pascual.rodriguez.rosas@ejemplo.com</t>
  </si>
  <si>
    <t>JULIO CESAR MARTINEZ FLORES</t>
  </si>
  <si>
    <t>CESARMARTZFLOR1508@GMAIL.COM</t>
  </si>
  <si>
    <t>MARIO CUEL RODRIGUEZ</t>
  </si>
  <si>
    <t>CRISTOPHERCUEL@GMAIL.COM</t>
  </si>
  <si>
    <t>SONIA ANGELICA ZABALA VELAZQUEZ</t>
  </si>
  <si>
    <t>MEXPO1999@HOTMAIL.COM</t>
  </si>
  <si>
    <t>ZARETH RODRÃGUEZ RODRÃGUEZ</t>
  </si>
  <si>
    <t>ZARETHRDZ31@GMAIL.COM</t>
  </si>
  <si>
    <t>JOSÃ‰ ALBERTO CORZO PEREZ</t>
  </si>
  <si>
    <t>PERALTAGARCIALUISENRIQUE2@GMAIL.COM</t>
  </si>
  <si>
    <t>LUIS ANGEL MARTINEZ OLIVERA</t>
  </si>
  <si>
    <t>MARIA GUADALUPE ANDRADE CORTES</t>
  </si>
  <si>
    <t>ANTONIO GARCIA</t>
  </si>
  <si>
    <t>antonio.garcia@ejemplo.com</t>
  </si>
  <si>
    <t>JULIETA ITZEL CARPINTEYRO GARCÃA</t>
  </si>
  <si>
    <t>KAITZELPEDRAZA@GMAIL.COM</t>
  </si>
  <si>
    <t>KARLA ITZEL PEDRAZA HERNANDEZ</t>
  </si>
  <si>
    <t>MARÃA ALEJANDRA CORONA PEREZ</t>
  </si>
  <si>
    <t>MARÃO ALBERTO HERNANDEZ PEREA</t>
  </si>
  <si>
    <t>ALONSO LOPEZ SERRANO</t>
  </si>
  <si>
    <t>alonso.lopez.serrano@ejemplo.com</t>
  </si>
  <si>
    <t>GUILLERMO OLIVERA</t>
  </si>
  <si>
    <t>guillermo.olivera@ejemplo.com</t>
  </si>
  <si>
    <t>JULIAN GALVAN</t>
  </si>
  <si>
    <t>julian.galvan@ejemplo.com</t>
  </si>
  <si>
    <t>GUY JAMES</t>
  </si>
  <si>
    <t>GUY.W.G.JAMES@GMAIL.COM</t>
  </si>
  <si>
    <t>LUIS ÃNGEL MORALE ROJAS</t>
  </si>
  <si>
    <t>VAQUERO_MORALES@ICLOUD.COM</t>
  </si>
  <si>
    <t>EMMA CLARISSA RODRIGUEZ</t>
  </si>
  <si>
    <t>emma.clarissa.rodriguez@ejemplo.com</t>
  </si>
  <si>
    <t>FELIX FRANCISCO MARTINEZ</t>
  </si>
  <si>
    <t>felix.francisco.martinez@ejemplo.com</t>
  </si>
  <si>
    <t>SAMUEL MUNGUIA HERNANDEZ</t>
  </si>
  <si>
    <t>samuel.munguia.hernandez@ejemplo.com</t>
  </si>
  <si>
    <t>JHOSHUA MEDINA RAYGOZA</t>
  </si>
  <si>
    <t>jhoshua.medina.raygoza@ejemplo.com</t>
  </si>
  <si>
    <t>DIEGO ARMANDO LIBORIO DELGADO</t>
  </si>
  <si>
    <t>diego.armando.liborio.delgado@ejemplo.com</t>
  </si>
  <si>
    <t>OMAR MEDEL</t>
  </si>
  <si>
    <t>omar.medel@ejemplo.com</t>
  </si>
  <si>
    <t>FREDY FRANCISCO AQUINO</t>
  </si>
  <si>
    <t>CHRISUNAM1@GMAIL.COM</t>
  </si>
  <si>
    <t>CHRISUNAM10@GMAIL.COM</t>
  </si>
  <si>
    <t>SALVADOR ÃLVAREZ MUÃ‘OZ</t>
  </si>
  <si>
    <t>MARIA AURORA ROSETE</t>
  </si>
  <si>
    <t>maria.aurora.rosete@ejemplo.com</t>
  </si>
  <si>
    <t>MANUELA MENDOZA</t>
  </si>
  <si>
    <t>manuela.mendoza@ejemplo.com</t>
  </si>
  <si>
    <t>LINDA LIZBETH MUÃ‘OZ</t>
  </si>
  <si>
    <t>LAURITAGRAZA234@GMAIL.COM</t>
  </si>
  <si>
    <t>MATIAS ARRIAGA VELAZCO</t>
  </si>
  <si>
    <t>LAURA CASAS GOMEZ</t>
  </si>
  <si>
    <t>JOSE ROMARIO HERNANDEZ</t>
  </si>
  <si>
    <t>jose.romario.hernandez@ejemplo.com</t>
  </si>
  <si>
    <t>JOSUE ABRAHAM LAZARO</t>
  </si>
  <si>
    <t>josue.abraham.lazaro@ejemplo.com</t>
  </si>
  <si>
    <t>LUIS OMAR CASAREZ VAZQUEZ</t>
  </si>
  <si>
    <t>GARCIAHEC@HOTMAIL.COM</t>
  </si>
  <si>
    <t>ISELA CAROLINA QUEZADA GONZALEZ</t>
  </si>
  <si>
    <t>isela.carolina.quezada.gonzalez@ejemplo.com</t>
  </si>
  <si>
    <t>ESTEFANIA CONTRERAS</t>
  </si>
  <si>
    <t>estefania.contreras@ejemplo.com</t>
  </si>
  <si>
    <t>ABRAHAM PEREZ</t>
  </si>
  <si>
    <t>abraham.perez@ejemplo.com</t>
  </si>
  <si>
    <t>JOSE GERMAN LOZADA</t>
  </si>
  <si>
    <t>jose.german.lozada@ejemplo.com</t>
  </si>
  <si>
    <t>EDUARDO CRISTOBAL GARCIA ALCALA</t>
  </si>
  <si>
    <t>eduardo.cristobal.garcia.alcala@ejemplo.com</t>
  </si>
  <si>
    <t>LEONARDO GARCIA ALCALA</t>
  </si>
  <si>
    <t>leonardo.garcia.alcala@ejemplo.com</t>
  </si>
  <si>
    <t>ARTURO CHAVEZ GARCIA</t>
  </si>
  <si>
    <t>arturo.chavez.garcia@ejemplo.com</t>
  </si>
  <si>
    <t>JOSE GARRAFA</t>
  </si>
  <si>
    <t>jose.garrafa@ejemplo.com</t>
  </si>
  <si>
    <t>LUIS BAUTISTA</t>
  </si>
  <si>
    <t>luis.bautista@ejemplo.com</t>
  </si>
  <si>
    <t>JOSÃ‰ ANGEL MARTINEZ</t>
  </si>
  <si>
    <t>AYKYM19@HOTMAIL.COM</t>
  </si>
  <si>
    <t>KARELLY ESPINOSA CABALLERO</t>
  </si>
  <si>
    <t>CAROLI_9416@HOTMAIL.COM</t>
  </si>
  <si>
    <t>NEYRA CURIEL</t>
  </si>
  <si>
    <t>LUIS ENRIQUE AVENDAÃ‘O</t>
  </si>
  <si>
    <t>MARLENE MARTINEZ</t>
  </si>
  <si>
    <t>marlene.martinez@ejemplo.com</t>
  </si>
  <si>
    <t>ISAAC GAVIÃ‘O DORANTES</t>
  </si>
  <si>
    <t>LILI080389@HOTMAIL.COM</t>
  </si>
  <si>
    <t>CARLOS PEÃ‘A MICHEL</t>
  </si>
  <si>
    <t>MPSOLRAC@GMAIL.COM</t>
  </si>
  <si>
    <t>CONSUELO HIPOLITO</t>
  </si>
  <si>
    <t>consuelo.hipolito@ejemplo.com</t>
  </si>
  <si>
    <t>JOSE MIRANDA ESCOBEDO</t>
  </si>
  <si>
    <t>jose.miranda.escobedo@ejemplo.com</t>
  </si>
  <si>
    <t>MARIO MIRANDA</t>
  </si>
  <si>
    <t>mario.miranda@ejemplo.com</t>
  </si>
  <si>
    <t>MIGUEL ANGEL SANCHEZ</t>
  </si>
  <si>
    <t>miguel.angel.sanchez@ejemplo.com</t>
  </si>
  <si>
    <t>MARIA DEL SOCORRO LOEMLI TINOCO</t>
  </si>
  <si>
    <t>maria.del.socorro.loemli.tinoco@ejemplo.com</t>
  </si>
  <si>
    <t>EMIR ESPARZA CASTAÃ‘EDA</t>
  </si>
  <si>
    <t>WILFRIDO.RMW@GMAIL.COM</t>
  </si>
  <si>
    <t>MIGUEL NAVA GÃ“MEZ</t>
  </si>
  <si>
    <t>ANDREA PERALTA</t>
  </si>
  <si>
    <t>MATERE768@GMAIL.COM</t>
  </si>
  <si>
    <t>MARÃA TERESA CURIEL</t>
  </si>
  <si>
    <t>FEDERICO ROSALES STRUCK</t>
  </si>
  <si>
    <t>FROSALESSTRUCK@GMAIL.COM</t>
  </si>
  <si>
    <t>HÃ‰CTOR ANTONIO ESPINOZA MONROY</t>
  </si>
  <si>
    <t>ROSMERYDAB3@GMAIL.COM</t>
  </si>
  <si>
    <t>ROSMERYDAN3@GMAIL.COM</t>
  </si>
  <si>
    <t>ROSALBA VÃZQUEZ GAYOSSO</t>
  </si>
  <si>
    <t>BLANCA MARIA EUGENIA BERNAL VAZQUEZ</t>
  </si>
  <si>
    <t>blanca.maria.eugenia.bernal.vazquez@ejemplo.com</t>
  </si>
  <si>
    <t>IGNACIO OCTAVIO VAZQUEZ MANJARREZ</t>
  </si>
  <si>
    <t>ignacio.octavio.vazquez.manjarrez@ejemplo.com</t>
  </si>
  <si>
    <t>JESUS ROSALES NOLAZCO</t>
  </si>
  <si>
    <t>jesus.rosales.nolazco@ejemplo.com</t>
  </si>
  <si>
    <t>JAIR PERCASTEGUI MORENO</t>
  </si>
  <si>
    <t>jair.percastegui.moreno@ejemplo.com</t>
  </si>
  <si>
    <t>HECTOR GUEMES REYNAGA</t>
  </si>
  <si>
    <t>JOSE ALEJANDRO JIMENEZ JARAMILLO</t>
  </si>
  <si>
    <t>MARCO ANTONIO RAMÃREZ VENEGAS</t>
  </si>
  <si>
    <t>RAUL AREVALO VELASQUEZ</t>
  </si>
  <si>
    <t>raul.arevalo.velasquez@ejemplo.com</t>
  </si>
  <si>
    <t>NORMA OLIVEROS LOPEZ</t>
  </si>
  <si>
    <t>REPRESENTACION@AGIMOLDES.MX</t>
  </si>
  <si>
    <t>FENG ZHANG</t>
  </si>
  <si>
    <t>LIULIXIONG0302@163.COM</t>
  </si>
  <si>
    <t>HAOTIAN SUN</t>
  </si>
  <si>
    <t>LETIAN WANG</t>
  </si>
  <si>
    <t>LIXIONG LIU</t>
  </si>
  <si>
    <t>JOSE DE JESUS NAVARRO GARCIA</t>
  </si>
  <si>
    <t>jose.de.jesus.navarro.garcia@ejemplo.com</t>
  </si>
  <si>
    <t>IVAN RAMIREZ</t>
  </si>
  <si>
    <t>ivan.ramirez@ejemplo.com</t>
  </si>
  <si>
    <t>CHRISTIAN GONZALEZ</t>
  </si>
  <si>
    <t>KILYHERTZ@GMAIL.COM</t>
  </si>
  <si>
    <t>ARTURO ISLAS GUZMN</t>
  </si>
  <si>
    <t>ARTUROISLAS40@GMAIL.COM</t>
  </si>
  <si>
    <t>MARA_RAMOS2020@HOTMAIL.COM</t>
  </si>
  <si>
    <t>MARÃA ROSA ESCOBEDO RAMOS</t>
  </si>
  <si>
    <t>PAULO ARTURO ISLAS ESCOBEDO</t>
  </si>
  <si>
    <t>MARIA DEL CARMEN POALAFOX FRANCO</t>
  </si>
  <si>
    <t>ETBPASES@GMAIL.COM</t>
  </si>
  <si>
    <t>JUAN JOSE SANCHEZ GRANADOS</t>
  </si>
  <si>
    <t>BRAYAN CORIA BACILIO</t>
  </si>
  <si>
    <t>GABRIEL7GERSTNER@GMAIL.COM</t>
  </si>
  <si>
    <t>MA TERESA SALINAS SOTO</t>
  </si>
  <si>
    <t>ma.teresa.salinas.soto@ejemplo.com</t>
  </si>
  <si>
    <t>GUILLERMO GARCÃA</t>
  </si>
  <si>
    <t>MEMOSKY2004@GMAIL.COM</t>
  </si>
  <si>
    <t>XIPOJI20@GMAIL.COM</t>
  </si>
  <si>
    <t>XOCHITL POPOCA</t>
  </si>
  <si>
    <t>JOSEFINA CANTON RIVERA Y RIO</t>
  </si>
  <si>
    <t>josefina.canton.rivera.y.rio@ejemplo.com</t>
  </si>
  <si>
    <t>RAMON MORENO CRUCES</t>
  </si>
  <si>
    <t>RAFAEL PEREZ PEREZ</t>
  </si>
  <si>
    <t>RPEREZ.LACY@GMAIL.COM</t>
  </si>
  <si>
    <t>JESUS ALEJANDRO SALINAS BARAJAS</t>
  </si>
  <si>
    <t>SALINAS.JESUS@UABC.EDU.MX</t>
  </si>
  <si>
    <t>JAVIER RESENDIZ</t>
  </si>
  <si>
    <t>JRESENDIZLARA@GMAIL.COM</t>
  </si>
  <si>
    <t>FRANCISCA LOPEZ CORTEZ</t>
  </si>
  <si>
    <t>francisca.lopez.cortez@ejemplo.com</t>
  </si>
  <si>
    <t>INSEN MARIA DEL ROSARIO SABINA CORTES LOPEZ</t>
  </si>
  <si>
    <t>insen.maria.del.rosario.sabina.cortes.lopez@ejemplo.com</t>
  </si>
  <si>
    <t>NURIA MONARREZ ROQUETA</t>
  </si>
  <si>
    <t>NMONARREZ@GUIMOL.COM</t>
  </si>
  <si>
    <t>ISRAEL ORTEGA MENDOZA</t>
  </si>
  <si>
    <t>MX.ORTEGA@GMAIL.COM</t>
  </si>
  <si>
    <t>JULIETAFAJARDO90@GMAIL.COM</t>
  </si>
  <si>
    <t>JULIETA FAJARDO FARIAS</t>
  </si>
  <si>
    <t>MA DEL CARMEN ENRIQUETA LEYVA SANCHEZ</t>
  </si>
  <si>
    <t>ma.del.carmen.enriqueta.leyva.sanchez@ejemplo.com</t>
  </si>
  <si>
    <t>LUCIO FERMIN LEYVA SANCHEZ</t>
  </si>
  <si>
    <t>lucio.fermin.leyva.sanchez@ejemplo.com</t>
  </si>
  <si>
    <t>JANINTSERANI LEYVA GARCIA</t>
  </si>
  <si>
    <t>janintserani.leyva.garcia@ejemplo.com</t>
  </si>
  <si>
    <t>LUZ JOSEFINA REYES</t>
  </si>
  <si>
    <t>CEJABLANCA700@GMAIL.COM</t>
  </si>
  <si>
    <t>JOSE MEDINA RAMIREZ</t>
  </si>
  <si>
    <t>MTG210921@GMAIL.COM</t>
  </si>
  <si>
    <t>LAZARO HERRERA FLORES</t>
  </si>
  <si>
    <t>CRISTIAN PANTALEON</t>
  </si>
  <si>
    <t>PAOLAA.FONG@GMAIL.COM</t>
  </si>
  <si>
    <t>GABRIEL ORDAZ</t>
  </si>
  <si>
    <t>LEONARDO PANTALEON</t>
  </si>
  <si>
    <t>RAFAEL PEREZ</t>
  </si>
  <si>
    <t>MARTHA PATRICIA BLASIO SANCHEZ</t>
  </si>
  <si>
    <t>BRIBIESCA_ALEXANDER@HOTMAIL.COM</t>
  </si>
  <si>
    <t>EDUARDO MOLINA</t>
  </si>
  <si>
    <t>VENTAS4@GRUPOEXPOINNOVACION.COM</t>
  </si>
  <si>
    <t>ERNESTO TRILLAS</t>
  </si>
  <si>
    <t>FEDERICO HERNANDEZ</t>
  </si>
  <si>
    <t>GUSTAVO AGUILAR</t>
  </si>
  <si>
    <t>JAIR ANTONIO GARCIA</t>
  </si>
  <si>
    <t>MARCO ANTONIO GARCIA</t>
  </si>
  <si>
    <t>MIGUEL ANGEL CEBREROS</t>
  </si>
  <si>
    <t>ROSALIA GARCIA</t>
  </si>
  <si>
    <t>ALEJANDRO CASILLAS HERNANDEZ</t>
  </si>
  <si>
    <t>ALEX52_9@HOTMAIL.COM</t>
  </si>
  <si>
    <t>LUIS FERNANDO ESTRADA REYES</t>
  </si>
  <si>
    <t>LESTRADA@SINCI.COM</t>
  </si>
  <si>
    <t>HÃ‰CTOR MANUEL JIMÃ‰NEZ GONZÃLEZ</t>
  </si>
  <si>
    <t>HECTORJIMGLEZ@GMAIL.COM</t>
  </si>
  <si>
    <t>ARIEL BRIAN FLORES MARQUEZ</t>
  </si>
  <si>
    <t>BRIANKALEL90@GMAIL.COM</t>
  </si>
  <si>
    <t>AGUSTIN ALARCON</t>
  </si>
  <si>
    <t>agustin.alarcon@ejemplo.com</t>
  </si>
  <si>
    <t>ALONSO ALARCON</t>
  </si>
  <si>
    <t>alonso.alarcon@ejemplo.com</t>
  </si>
  <si>
    <t>DALILA HERNANDEZ</t>
  </si>
  <si>
    <t>dalila.hernandez@ejemplo.com</t>
  </si>
  <si>
    <t>ENRIQUE ALARCON</t>
  </si>
  <si>
    <t>enrique.alarcon@ejemplo.com</t>
  </si>
  <si>
    <t>MARISOL RODRIGUEZ RUIZ</t>
  </si>
  <si>
    <t>KALEL SALVADOR FLORES RODRIGUEZ</t>
  </si>
  <si>
    <t>EDITH BERMUDEZ ALONZO</t>
  </si>
  <si>
    <t>edith.bermudez.alonzo@ejemplo.com</t>
  </si>
  <si>
    <t>JOHANNA PATRICIA MESIAS GARCIA</t>
  </si>
  <si>
    <t>JOHANNAMESIASGARCIA@YAHOO.COM</t>
  </si>
  <si>
    <t>ERIK GABRIEL VIVEROS CALVA</t>
  </si>
  <si>
    <t>ERIKGCALVA_24@HOTMAIL.COM</t>
  </si>
  <si>
    <t>NURI ENRIQUEZ CASTRO</t>
  </si>
  <si>
    <t>VENTAS.ADMON.SUMINISTROS@GMAIL.COM</t>
  </si>
  <si>
    <t>KARINA SALINAS GARCIA</t>
  </si>
  <si>
    <t>GUTIERRENATALI99@GMAIL.COM</t>
  </si>
  <si>
    <t>NATALI GABRIELA AVILA GUTIERREZ</t>
  </si>
  <si>
    <t>ISAIAZ MARTINEZ VALLEJO</t>
  </si>
  <si>
    <t>isaiaz.martinez.vallejo@ejemplo.com</t>
  </si>
  <si>
    <t>ROSA MARÃA AGUIRRE AGUIRRE</t>
  </si>
  <si>
    <t>ROCIETH@GMAIL.COM</t>
  </si>
  <si>
    <t>LUIS LEONARDO GONZALEZ MARTÃNEZ</t>
  </si>
  <si>
    <t>LUISLEONARDOGM@HOTMAIL.COM</t>
  </si>
  <si>
    <t>NALLELY RODRIGUEZ HERNANDEZ</t>
  </si>
  <si>
    <t>NASHRODRIGUEZHERNANDEZ@GMAIL.COM</t>
  </si>
  <si>
    <t>DANNA XANAT PADILLA RODRIGUEZ</t>
  </si>
  <si>
    <t>PAULA RENATA PADILLA OCHOA</t>
  </si>
  <si>
    <t>MARÃA DEL SOCORRO SALAZAR PIÃ‘A</t>
  </si>
  <si>
    <t>SOCOSALPI@GMAIL.COM</t>
  </si>
  <si>
    <t>NORMA GLORIA SALAZAR PIÃ‘A</t>
  </si>
  <si>
    <t>SILVIA LEONOR SALAZAR PIÃ‘A</t>
  </si>
  <si>
    <t>SANDRA LETICIA DE LA CRUZ FLORES</t>
  </si>
  <si>
    <t>sandra.leticia.de.la.cruz.flores@ejemplo.com</t>
  </si>
  <si>
    <t>JAIME RAMOS</t>
  </si>
  <si>
    <t>JAIME.ARIAS.RAMOS@GMAIL.COM</t>
  </si>
  <si>
    <t>DULCE VERÃ“NICA ROMERO FRÃAS</t>
  </si>
  <si>
    <t>GORTIZE@LITOPLAS.COM.MX</t>
  </si>
  <si>
    <t>FERNANDO PACHECO PEREZ</t>
  </si>
  <si>
    <t>fernando.pacheco.perez@ejemplo.com</t>
  </si>
  <si>
    <t>MARCO ANTONIO SAUCEDO</t>
  </si>
  <si>
    <t>marco.antonio.saucedo@ejemplo.com</t>
  </si>
  <si>
    <t>FLOR VÃZQUEZ PEÃ‘A</t>
  </si>
  <si>
    <t>GUSTAVO ORTIZ ESPINO</t>
  </si>
  <si>
    <t>LUZ MARIA PARDON</t>
  </si>
  <si>
    <t>luz.maria.pardon@ejemplo.com</t>
  </si>
  <si>
    <t>ADRIANA NEQUIZ JIMENEZ</t>
  </si>
  <si>
    <t>ADRIANA.NEQUIZ@GMAIL.COM</t>
  </si>
  <si>
    <t>ZAINÃ‰ ROSABAL CUZA</t>
  </si>
  <si>
    <t>ZAINECITA229@GMAIL.COM</t>
  </si>
  <si>
    <t>MAXIMILIANO CURIEL VALENCIA</t>
  </si>
  <si>
    <t>CURIEL.MAX85@GMAIL.COM</t>
  </si>
  <si>
    <t>JORGE LÃ“PEZ ARRONIZ</t>
  </si>
  <si>
    <t>LOARRO@YAHOO.COM</t>
  </si>
  <si>
    <t>CARLOS BURGOS CARVAJAL</t>
  </si>
  <si>
    <t>CABUCARVAJAL@GMAIL.COM</t>
  </si>
  <si>
    <t>GONZALO GARCIA DE LA TORRE</t>
  </si>
  <si>
    <t>GONZALO.GARCIAD.16@GMAIL.COM</t>
  </si>
  <si>
    <t>NESTOR JAVIER PEÃ‘A MENDOZA</t>
  </si>
  <si>
    <t>JUAN GERMAN GARCIA</t>
  </si>
  <si>
    <t>juan.german.garcia@ejemplo.com</t>
  </si>
  <si>
    <t>KAREN RUVALCABA</t>
  </si>
  <si>
    <t>KAREN_ARLETHE@HOTMAIL.COM</t>
  </si>
  <si>
    <t>RAMONA ROMERO RAMIREZ</t>
  </si>
  <si>
    <t>ramona.romero.ramirez@ejemplo.com</t>
  </si>
  <si>
    <t>ALAN ANAYA GÃ“MEZ</t>
  </si>
  <si>
    <t>ALANANAYAG2201@GMAIL.COM</t>
  </si>
  <si>
    <t>URSULINO RUEDA VALDÃ‰S</t>
  </si>
  <si>
    <t>URSULINO@GMAIL.COM</t>
  </si>
  <si>
    <t>EDUARDO RODRIGUEZ</t>
  </si>
  <si>
    <t>eduardo.rodriguez@ejemplo.com</t>
  </si>
  <si>
    <t>MARLA DURDEN</t>
  </si>
  <si>
    <t>NEWSTORYCONSULTING@GMAIL.COM</t>
  </si>
  <si>
    <t>SUSAN ENGPOOLE</t>
  </si>
  <si>
    <t>PATRICIA ELENA ROSAS GARCIA</t>
  </si>
  <si>
    <t>PATRICIAROSASGARCIA@YAHOO.COM.MX</t>
  </si>
  <si>
    <t>ESTELA GARCIA</t>
  </si>
  <si>
    <t>estela.garcia@ejemplo.com</t>
  </si>
  <si>
    <t>JHONATHAN DAVID DOLORES ALCALÃ</t>
  </si>
  <si>
    <t>FRANCISCO ARMANDO TENA HERNÃNDEZ</t>
  </si>
  <si>
    <t>AP.LAM00@HOTMAIL.COM</t>
  </si>
  <si>
    <t>LUIS EDUARDO HERNÃNDEZ APANCO</t>
  </si>
  <si>
    <t>URIEL SAÃšL GODÃNEZ LUNA</t>
  </si>
  <si>
    <t>DIEGO DANIEL LOPEZ</t>
  </si>
  <si>
    <t>diego.daniel.lopez@ejemplo.com</t>
  </si>
  <si>
    <t>SANTIAGO LOPEZ</t>
  </si>
  <si>
    <t>santiago.lopez@ejemplo.com</t>
  </si>
  <si>
    <t>MA GUADALUPE GONZALEZ</t>
  </si>
  <si>
    <t>ma.guadalupe.gonzalez@ejemplo.com</t>
  </si>
  <si>
    <t>EMIL BECERRIL ZAMBRANO</t>
  </si>
  <si>
    <t>EMBECZA@GMAIL.COM</t>
  </si>
  <si>
    <t>MAURICIO JIMÃ‰NEZ OLVERA</t>
  </si>
  <si>
    <t>PSICPAUGARE@HOTMAIL.COM</t>
  </si>
  <si>
    <t>ABRAHAM ARELLANO</t>
  </si>
  <si>
    <t>abraham.arellano@ejemplo.com</t>
  </si>
  <si>
    <t>EDGAR GUADALUPE MARTINEZ</t>
  </si>
  <si>
    <t>edgar.guadalupe.martinez@ejemplo.com</t>
  </si>
  <si>
    <t>LUIS ALBERTO MAGAÃ‘A</t>
  </si>
  <si>
    <t>luis.alberto.magaÃ±a@ejemplo.com</t>
  </si>
  <si>
    <t>SERGIO BURGOS SILVA</t>
  </si>
  <si>
    <t>SERGIOBURGOS180875@GMAIL.COM</t>
  </si>
  <si>
    <t>JAVIER VALDOVINOS</t>
  </si>
  <si>
    <t>javier.valdovinos@ejemplo.com</t>
  </si>
  <si>
    <t>HUGO   SANCHEZ</t>
  </si>
  <si>
    <t>hugo...sanchez@ejemplo.com</t>
  </si>
  <si>
    <t>ESTEBAN SANCHEZ</t>
  </si>
  <si>
    <t>esteban.sanchez@ejemplo.com</t>
  </si>
  <si>
    <t>BRUNO VALDEZ</t>
  </si>
  <si>
    <t>bruno.valdez@ejemplo.com</t>
  </si>
  <si>
    <t>NICOLAS VALDEZ</t>
  </si>
  <si>
    <t>nicolas.valdez@ejemplo.com</t>
  </si>
  <si>
    <t>BARUSH VALDEZ</t>
  </si>
  <si>
    <t>barush.valdez@ejemplo.com</t>
  </si>
  <si>
    <t>LUIS MEJIA</t>
  </si>
  <si>
    <t>luis.mejia@ejemplo.com</t>
  </si>
  <si>
    <t>ANGELA OROZCO DÃAZ</t>
  </si>
  <si>
    <t>GALGOSTEPA@HOTMAIL.COM</t>
  </si>
  <si>
    <t>ERIK HAILE LÃ“PEZ CARRANZA</t>
  </si>
  <si>
    <t>MELANY YAMILETH MARTÃN DEL CAMPO MARTÃN</t>
  </si>
  <si>
    <t>SANDRA LIZETH LÃ“PEZ NAVARRO</t>
  </si>
  <si>
    <t>GERARDO ARTURO BARRERA</t>
  </si>
  <si>
    <t>gerardo.arturo.barrera@ejemplo.com</t>
  </si>
  <si>
    <t>HUGO MARIN</t>
  </si>
  <si>
    <t>hugo.marin@ejemplo.com</t>
  </si>
  <si>
    <t>GABRIEL REYES RAMIREZ</t>
  </si>
  <si>
    <t>MARARIANA1998@GMAIL.COM</t>
  </si>
  <si>
    <t>JOSE PABLO ROMERO ARIAS</t>
  </si>
  <si>
    <t>ALEJANDRA FERNANDEZ</t>
  </si>
  <si>
    <t>ALE.F.DOSAL@GMAIL.COM</t>
  </si>
  <si>
    <t>JOSE DANIEL CABRERA</t>
  </si>
  <si>
    <t>JBJCABRERA2111@GMAIL.COM</t>
  </si>
  <si>
    <t>HERMINIA BOLAÃ‘OS JUAREZ</t>
  </si>
  <si>
    <t>herminia.bolaÃ±os.juarez@ejemplo.com</t>
  </si>
  <si>
    <t>GERARDO SAUCEDO</t>
  </si>
  <si>
    <t>gerardo.saucedo@ejemplo.com</t>
  </si>
  <si>
    <t>ROLANDO QUIROZ RODRIGUEZ</t>
  </si>
  <si>
    <t>ROLANDOQR32@GMAIL.COM</t>
  </si>
  <si>
    <t>KUMIKO OSHIMOTO</t>
  </si>
  <si>
    <t>KUMI.8827@GMAIL.COM</t>
  </si>
  <si>
    <t>RYOTA OSHIMOTO</t>
  </si>
  <si>
    <t>ANDREA FERNANDA MARTINEZ GARCIA</t>
  </si>
  <si>
    <t>ANNFERMARG@GMAIL.COM</t>
  </si>
  <si>
    <t>JOSE LUIS NARANJO FLORES</t>
  </si>
  <si>
    <t>NARANJOJOSELUIS123@GMAIL.COM</t>
  </si>
  <si>
    <t>SALVADOR ANTONIO JAIMES MEMBRILA</t>
  </si>
  <si>
    <t>JAIMES.ANTONIO1@GMAIL.COM</t>
  </si>
  <si>
    <t>JOSE FERNANDO SILVA HERNANDEZ</t>
  </si>
  <si>
    <t>JFERNANDOSILVA.HER@GMAIL.COM</t>
  </si>
  <si>
    <t>MONICA JARDON</t>
  </si>
  <si>
    <t>monica.jardon@ejemplo.com</t>
  </si>
  <si>
    <t>JORGE PEREZ</t>
  </si>
  <si>
    <t>jorge.perez@ejemplo.com</t>
  </si>
  <si>
    <t>ARCHIT KHANDELWAL</t>
  </si>
  <si>
    <t>ARCHITKHANDELWAL0@GMAIL.COM</t>
  </si>
  <si>
    <t>FRANCISCO ROSALES</t>
  </si>
  <si>
    <t>francisco.rosales@ejemplo.com</t>
  </si>
  <si>
    <t>MARIA PEREZ</t>
  </si>
  <si>
    <t>maria.perez@ejemplo.com</t>
  </si>
  <si>
    <t>DANIEL ESPINOZA</t>
  </si>
  <si>
    <t>daniel.espinoza@ejemplo.com</t>
  </si>
  <si>
    <t>MARCELA ESPINOZA MURO</t>
  </si>
  <si>
    <t>marcela.espinoza.muro@ejemplo.com</t>
  </si>
  <si>
    <t>FERNANDO RODRIGUEZ</t>
  </si>
  <si>
    <t>fernando.rodriguez@ejemplo.com</t>
  </si>
  <si>
    <t>DIANA AGUILAR</t>
  </si>
  <si>
    <t>diana.aguilar@ejemplo.com</t>
  </si>
  <si>
    <t>ARTURO HERNÃNDEZ SIERRA</t>
  </si>
  <si>
    <t>ARTSURF51@HOTMAIL.COM</t>
  </si>
  <si>
    <t>ALAN JAZIEL SUAREZ</t>
  </si>
  <si>
    <t>alan.jaziel.suarez@ejemplo.com</t>
  </si>
  <si>
    <t>ADAIR CHAIRES</t>
  </si>
  <si>
    <t>ADAIR_11@HOTMAIL.COM</t>
  </si>
  <si>
    <t>RAUL ZERMEÃ‘O CERVANTES</t>
  </si>
  <si>
    <t>raul.zermeÃ±o.cervantes@ejemplo.com</t>
  </si>
  <si>
    <t>MARTHA ZUÃ‘IGA VILLARUEL</t>
  </si>
  <si>
    <t>martha.zuÃ±iga.villaruel@ejemplo.com</t>
  </si>
  <si>
    <t>GREGORIO VALERIANO CONTRERAS</t>
  </si>
  <si>
    <t>MADELRAYOGARCIAHERNANDEZ@GMAIL.COM</t>
  </si>
  <si>
    <t>MEINARDO VILLALBA GARCIA</t>
  </si>
  <si>
    <t>meinardo.villalba.garcia@ejemplo.com</t>
  </si>
  <si>
    <t>CATALINA BERMEJO</t>
  </si>
  <si>
    <t>OCADIOSILVIA58@GMAIL.COM</t>
  </si>
  <si>
    <t>JOSE DANIEL GARCIA RAMIREZ</t>
  </si>
  <si>
    <t>DANGRA30@GMAIL.COM</t>
  </si>
  <si>
    <t>POLETPONCEV@GMAIL.COM</t>
  </si>
  <si>
    <t>PAOLA POLET PONCE VILLEGAS</t>
  </si>
  <si>
    <t>JOSE LUIS BECERRA</t>
  </si>
  <si>
    <t>jose.luis.becerra@ejemplo.com</t>
  </si>
  <si>
    <t>JORGE ESCOBAR ARREOLA</t>
  </si>
  <si>
    <t>SHARAJUANA@HOTMAIL.COM</t>
  </si>
  <si>
    <t>LEIDY YOANA PEREZ CHAVARRIA</t>
  </si>
  <si>
    <t>ADRICHG16@GMAIL.COM</t>
  </si>
  <si>
    <t>LEO MATIAS FLORES QUESADA</t>
  </si>
  <si>
    <t>leo.matias.flores.quesada@ejemplo.com</t>
  </si>
  <si>
    <t>TERESA HERNANDEZ OLIVARES</t>
  </si>
  <si>
    <t>teresa.hernandez.olivares@ejemplo.com</t>
  </si>
  <si>
    <t>JENNIFER QUEZADA</t>
  </si>
  <si>
    <t>jennifer.quezada@ejemplo.com</t>
  </si>
  <si>
    <t>NOE FLORES</t>
  </si>
  <si>
    <t>noe.flores@ejemplo.com</t>
  </si>
  <si>
    <t>CESAR PULIDO MACIAS</t>
  </si>
  <si>
    <t>ELI.GOMEZ@NISUA.COM</t>
  </si>
  <si>
    <t>JAIME LOPEZ GARCIA</t>
  </si>
  <si>
    <t>jaime.lopez.garcia@ejemplo.com</t>
  </si>
  <si>
    <t>DAVID ISRAEL GONZALEZ ZEPEDA</t>
  </si>
  <si>
    <t>david.israel.gonzalez.zepeda@ejemplo.com</t>
  </si>
  <si>
    <t>JOSUÃ‰ ALEJANDRO ANTONIO MARTINEZ</t>
  </si>
  <si>
    <t>JOSUEKZR93@GMAIL.COM</t>
  </si>
  <si>
    <t>LILIA ELENA MONROY RAMIREZ DE ARELLANO</t>
  </si>
  <si>
    <t>LILIAMONROYRDA@GMAIL.COM</t>
  </si>
  <si>
    <t>JOSE PATRICIO MIRANDA GARCIA</t>
  </si>
  <si>
    <t>PATRICIO.MIRANDA@GAFF.COM.MX</t>
  </si>
  <si>
    <t>EDUARDO VALDESPINO</t>
  </si>
  <si>
    <t>eduardo.valdespino@ejemplo.com</t>
  </si>
  <si>
    <t>ISAAC DELGADO AGUILAR</t>
  </si>
  <si>
    <t>MILENIUM.ING.AUTO@GMAIL.COM</t>
  </si>
  <si>
    <t>SIMON ENRIQUE LUCKERT FROGET</t>
  </si>
  <si>
    <t>SIMON.LUCKERT.FR@GMAIL.COM</t>
  </si>
  <si>
    <t>MARIANA ALVAREZ VILLANUEVA</t>
  </si>
  <si>
    <t>MARIANA.ALVAREZ@BUSSCAR.COM.CO</t>
  </si>
  <si>
    <t>ALEJANDRA CASTILLO MALDONADO</t>
  </si>
  <si>
    <t>UZZIELBERNARDO74@GMAIL.COM</t>
  </si>
  <si>
    <t>PATRICIA TORRES DIAZ</t>
  </si>
  <si>
    <t>JARTUROJT@GMAIL.COM</t>
  </si>
  <si>
    <t>ANDRES SUAREZ SOLIS</t>
  </si>
  <si>
    <t>andres.suarez.solis@ejemplo.com</t>
  </si>
  <si>
    <t>MARIA DEL ROCIO GONZALEZ ROMO</t>
  </si>
  <si>
    <t>ROCIOGIP@YAHOO.COM.MX</t>
  </si>
  <si>
    <t>MARIA DEL ROCIO ROMO ORNELAS</t>
  </si>
  <si>
    <t>JORGE ARMANDO HERRERA TEOYOTL</t>
  </si>
  <si>
    <t>BLANCA7853@HOTMAIL.COM</t>
  </si>
  <si>
    <t>ALEJANDRO ESPINOSA AVILÃ‰S</t>
  </si>
  <si>
    <t>KATSUYAYOU@GMAIL.COM</t>
  </si>
  <si>
    <t>CESAR ESPINOSA AVILÃ‰S</t>
  </si>
  <si>
    <t>CHRISTOPHER ADRIAN RODRIGUEZ GOMEZ</t>
  </si>
  <si>
    <t>FANNY20_91@HOTMAIL.COM</t>
  </si>
  <si>
    <t>JORGE CASTRILLON</t>
  </si>
  <si>
    <t>jorge.castrillon@ejemplo.com</t>
  </si>
  <si>
    <t>FERNANDO MONREAL MORALES</t>
  </si>
  <si>
    <t>FERNANDO.MONREAL@MECANICATEK.COM</t>
  </si>
  <si>
    <t>JONATHAN RAMÃREZ PÃ‰REZ</t>
  </si>
  <si>
    <t>RH@HANDSHAKE.BAR</t>
  </si>
  <si>
    <t>MARIO BERUMEN MERCADO</t>
  </si>
  <si>
    <t>FRA.MARIO.IT@GMAIL.COM</t>
  </si>
  <si>
    <t>FERNANDO DE LA CRUZ RAMIREZ</t>
  </si>
  <si>
    <t>MIGUEGUZMAN10M@HOTMAIL.COM</t>
  </si>
  <si>
    <t>MIGUEL GUZMAN MIRANDA</t>
  </si>
  <si>
    <t>PEDRO DIONEY SOLIS</t>
  </si>
  <si>
    <t>DIONEYSOLIS88@GMAIL.COM</t>
  </si>
  <si>
    <t>CARLOS GABRIEL GARCÃA RAMÃREZ</t>
  </si>
  <si>
    <t>CHACTEACHER@GMAIL.COM</t>
  </si>
  <si>
    <t>PAOLA MARTINEZ ARANDA</t>
  </si>
  <si>
    <t>PAO.MTZ.A160492@HOTMAIL.COM</t>
  </si>
  <si>
    <t>CLETO HERNÃNDEZ PANTOJA</t>
  </si>
  <si>
    <t>CLETOHP@GMAIL.COM</t>
  </si>
  <si>
    <t>DIEGO ARMANDO GARCIA AGUILAR</t>
  </si>
  <si>
    <t>MARIANOMAS78@HOTMAIL.COM</t>
  </si>
  <si>
    <t>MARIANO GARCIA DE LA ROSA</t>
  </si>
  <si>
    <t>HUGO  CASTILLEJOS  MARTINEZ</t>
  </si>
  <si>
    <t>hugo..castillejos..martinez@ejemplo.com</t>
  </si>
  <si>
    <t>CECILIA PACHECO RAMIREZ</t>
  </si>
  <si>
    <t>cecilia.pacheco.ramirez@ejemplo.com</t>
  </si>
  <si>
    <t>JESUS RAFAEL NAJERA MORENO</t>
  </si>
  <si>
    <t>RECEPCIONMX@ORECOBALGON.COM.MX</t>
  </si>
  <si>
    <t>JOSE ALEJANDRO BRISEÃ‘O ANGELES</t>
  </si>
  <si>
    <t>VICENTE ALBERTO DIAZ ROMERO</t>
  </si>
  <si>
    <t>JOSE MIGUEL DE LA MORA AYALA</t>
  </si>
  <si>
    <t>MIGUELMRA1944@GMAIL.COM</t>
  </si>
  <si>
    <t>BRYAN ALEXIS SOTO MEDINA</t>
  </si>
  <si>
    <t>LIC.FED.BRYAN@GMAIL.COM</t>
  </si>
  <si>
    <t>JORGE ALBERTO SANTIAGO HERRERA</t>
  </si>
  <si>
    <t>DANIEL MELCHOR</t>
  </si>
  <si>
    <t>daniel.melchor@ejemplo.com</t>
  </si>
  <si>
    <t>CHARLES  DANIEL   HARRUCH  ARBELAEZ</t>
  </si>
  <si>
    <t>charles..daniel...harruch..arbelaez@ejemplo.com</t>
  </si>
  <si>
    <t>LUIS FERNANDO DOMINGUEZ</t>
  </si>
  <si>
    <t>luis.fernando.dominguez@ejemplo.com</t>
  </si>
  <si>
    <t>JESUS GONZALEZ</t>
  </si>
  <si>
    <t>jesus.gonzalez@ejemplo.com</t>
  </si>
  <si>
    <t>SUSANA SANDOVAL VILLEGAS</t>
  </si>
  <si>
    <t>ANGELDIAZ060991@GMAIL.COM</t>
  </si>
  <si>
    <t>EZEQUIEL FERNANDO CASTRO JIMÃ‰NEZ</t>
  </si>
  <si>
    <t>CSZORLA8@GMAIL.COM</t>
  </si>
  <si>
    <t>EDGAR IVÃN CRUZ CRUZ</t>
  </si>
  <si>
    <t>RAULCM71@GMAIL.COM</t>
  </si>
  <si>
    <t>RAÃšL CRUZ MÃ‰NDEZ</t>
  </si>
  <si>
    <t>MACBANAI IPIÃ‘A</t>
  </si>
  <si>
    <t>macbanai.ipiÃ±a@ejemplo.com</t>
  </si>
  <si>
    <t>ELIZAMA PEREZ</t>
  </si>
  <si>
    <t>elizama.perez@ejemplo.com</t>
  </si>
  <si>
    <t>RENE SILVA SANCHEZ</t>
  </si>
  <si>
    <t>DAVID.QUINTERO@DISPAC.MX</t>
  </si>
  <si>
    <t>GUADALUPE CRUZ SANCHEZ</t>
  </si>
  <si>
    <t>guadalupe.cruz.sanchez@ejemplo.com</t>
  </si>
  <si>
    <t>MARLON ZERON BOLIVAR</t>
  </si>
  <si>
    <t>marlon.zeron.bolivar@ejemplo.com</t>
  </si>
  <si>
    <t>CANDELARIO OLVERA</t>
  </si>
  <si>
    <t>candelario.olvera@ejemplo.com</t>
  </si>
  <si>
    <t>ALEJANDRA VANESSA CARRILLO GONZALEZ</t>
  </si>
  <si>
    <t>ALEVANE_020995@OUTLOOK.COM</t>
  </si>
  <si>
    <t>FILEMON AVILA MAGAÃ‘A</t>
  </si>
  <si>
    <t>filemon.avila.magaÃ±a@ejemplo.com</t>
  </si>
  <si>
    <t>EDGAR SOTO</t>
  </si>
  <si>
    <t>edgar.soto@ejemplo.com</t>
  </si>
  <si>
    <t>JUAN FANUEL MARTINEZ TOVAR</t>
  </si>
  <si>
    <t>JUFAMTZTOVAR@GMAIL.COM</t>
  </si>
  <si>
    <t>JOSE CALVILLO</t>
  </si>
  <si>
    <t>MARIA MAGDALENA SANDOVAL</t>
  </si>
  <si>
    <t>PABLO ALDAMA REYNALDO</t>
  </si>
  <si>
    <t>pablo.aldama.reynaldo@ejemplo.com</t>
  </si>
  <si>
    <t>IRVIN YAEL CRUZ CASTILLO</t>
  </si>
  <si>
    <t>irvin.yael.cruz.castillo@ejemplo.com</t>
  </si>
  <si>
    <t>YESSICA ITZEL CONTRERAS QUINTANILLA</t>
  </si>
  <si>
    <t>yessica.itzel.contreras.quintanilla@ejemplo.com</t>
  </si>
  <si>
    <t>GLORIA GUZMAN SORIA</t>
  </si>
  <si>
    <t>SALVA_ALEX@MSN.COM</t>
  </si>
  <si>
    <t>MAURO   PAVON  MARTINEZ</t>
  </si>
  <si>
    <t>mauro...pavon..martinez@ejemplo.com</t>
  </si>
  <si>
    <t>SOFIA   NERI   LOPEZ</t>
  </si>
  <si>
    <t>sofia...neri...lopez@ejemplo.com</t>
  </si>
  <si>
    <t>MARIA DEL CARMEN LOPEZ</t>
  </si>
  <si>
    <t>maria.del.carmen.lopez@ejemplo.com</t>
  </si>
  <si>
    <t>GERARDO NERI   CRUZ</t>
  </si>
  <si>
    <t>gerardo.neri...cruz@ejemplo.com</t>
  </si>
  <si>
    <t>JULIAN   PADRON   HERNANDEZ</t>
  </si>
  <si>
    <t>julian...padron...hernandez@ejemplo.com</t>
  </si>
  <si>
    <t>ROMAN HUERTA</t>
  </si>
  <si>
    <t>roman.huerta@ejemplo.com</t>
  </si>
  <si>
    <t>DIEGO MARTIN</t>
  </si>
  <si>
    <t>diego.martin@ejemplo.com</t>
  </si>
  <si>
    <t>MARTHA ELBA PRIGADAA GUEVARA</t>
  </si>
  <si>
    <t>martha.elba.prigadaa.guevara@ejemplo.com</t>
  </si>
  <si>
    <t>NORBERTA  CASTILLO  HERNANDEZ</t>
  </si>
  <si>
    <t>norberta..castillo..hernandez@ejemplo.com</t>
  </si>
  <si>
    <t>IGNACIO DAVID VAZQUEZ PEREZ</t>
  </si>
  <si>
    <t>IGNACIODAVIDVAZQUEZPEREZ@GMAIL.COM</t>
  </si>
  <si>
    <t>JAVIER FERNANDO DE LA ROSA ZARCO</t>
  </si>
  <si>
    <t>FERNANDOGALLODELA@GMAIL.COM</t>
  </si>
  <si>
    <t>ALMA ROSA CERVANTES DIAZ</t>
  </si>
  <si>
    <t>alma.rosa.cervantes.diaz@ejemplo.com</t>
  </si>
  <si>
    <t>MARIA ESTHER CASTILLO PATIÃ‘O</t>
  </si>
  <si>
    <t>EC7750066@GMAIL.COM</t>
  </si>
  <si>
    <t>JUAN CARLOS HERNANDEZ</t>
  </si>
  <si>
    <t>ADALBERTO BARBA</t>
  </si>
  <si>
    <t>adalberto.barba@ejemplo.com</t>
  </si>
  <si>
    <t>FERNANDA YUKINA ENRIQUEZ RODRIGUEZ</t>
  </si>
  <si>
    <t>fernanda.yukina.enriquez.rodriguez@ejemplo.com</t>
  </si>
  <si>
    <t>LUIS NIÃ‘O</t>
  </si>
  <si>
    <t>luis.niÃ±o@ejemplo.com</t>
  </si>
  <si>
    <t>JUDITH ARELLANO</t>
  </si>
  <si>
    <t>judith.arellano@ejemplo.com</t>
  </si>
  <si>
    <t>MABEL AVALOS</t>
  </si>
  <si>
    <t>mabel.avalos@ejemplo.com</t>
  </si>
  <si>
    <t>CALEB GUTIERRZ</t>
  </si>
  <si>
    <t>caleb.gutierrz@ejemplo.com</t>
  </si>
  <si>
    <t>JUDITH NIÃ‘O</t>
  </si>
  <si>
    <t>judith.niÃ±o@ejemplo.com</t>
  </si>
  <si>
    <t>OFELIA ARELLANO</t>
  </si>
  <si>
    <t>ofelia.arellano@ejemplo.com</t>
  </si>
  <si>
    <t>JOCELYNE ADRIANA RAMIREZ FRANCO</t>
  </si>
  <si>
    <t>jocelyne.adriana.ramirez.franco@ejemplo.com</t>
  </si>
  <si>
    <t>PABLO VAZQUEZ RAMIREZ</t>
  </si>
  <si>
    <t>pablo.vazquez.ramirez@ejemplo.com</t>
  </si>
  <si>
    <t>LUZ MARIA GUILLEN PULIDO</t>
  </si>
  <si>
    <t>luz.maria.guillen.pulido@ejemplo.com</t>
  </si>
  <si>
    <t>ADALFREDO AGUILERA MEZA</t>
  </si>
  <si>
    <t>adalfredo.aguilera.meza@ejemplo.com</t>
  </si>
  <si>
    <t>MARIA ISABEL CARRAMAN OSECEGUEDA</t>
  </si>
  <si>
    <t>maria.isabel.carraman.osecegueda@ejemplo.com</t>
  </si>
  <si>
    <t>ANDRES DAVILA SERNA</t>
  </si>
  <si>
    <t>ADAVILAS74@HOTMAIL.COM</t>
  </si>
  <si>
    <t>OSCAR VILLAGRAN MONDRAGON</t>
  </si>
  <si>
    <t>RAFAEL FLORES  CORTES</t>
  </si>
  <si>
    <t>rafael.flores..cortes@ejemplo.com</t>
  </si>
  <si>
    <t>JONATHAN GUADALUPE FLORES AYALA</t>
  </si>
  <si>
    <t>jonathan.guadalupe.flores.ayala@ejemplo.com</t>
  </si>
  <si>
    <t>ALAN RAMIREZ ISAIAS</t>
  </si>
  <si>
    <t>RAMIREZISAIASALAN@GMAIL.COM</t>
  </si>
  <si>
    <t>ANA ROSA PADILLA</t>
  </si>
  <si>
    <t>PATY_PONCEV@HOTMAIL.COM</t>
  </si>
  <si>
    <t>PATRICIA PONCE</t>
  </si>
  <si>
    <t>MARCOS GABRIEL LOPEZ VELAZQUEZ</t>
  </si>
  <si>
    <t>MARCOSG_LOPEZV@HOTMAIL.COM</t>
  </si>
  <si>
    <t>JULIO ESPINOZA</t>
  </si>
  <si>
    <t>julio.espinoza@ejemplo.com</t>
  </si>
  <si>
    <t>FRANCISCO JAVIER GÃ“MEZ MIRANDA</t>
  </si>
  <si>
    <t>PACOGMIRANDA@HOTMAIL.COM</t>
  </si>
  <si>
    <t>RUBEN VEGA FUENTES</t>
  </si>
  <si>
    <t>ruben.vega.fuentes@ejemplo.com</t>
  </si>
  <si>
    <t>JUAN ORTEGA ARREOLA</t>
  </si>
  <si>
    <t>ORTEGA.SARAF@GMAIL.COM</t>
  </si>
  <si>
    <t>EDUARDO HERRERA BRAHMS</t>
  </si>
  <si>
    <t>CICACURA@GMAIL.COM</t>
  </si>
  <si>
    <t>LUISA RONELI HEREDIA SALAZAR</t>
  </si>
  <si>
    <t>VALE18SLZR@ICLOUD.COM</t>
  </si>
  <si>
    <t>VALENTINA OSUNA GUERRERO</t>
  </si>
  <si>
    <t>MARÃA DOLORES GONZÃLEZ DELGADO</t>
  </si>
  <si>
    <t>DOLORES.GONZALEZ.DELGADO@GMAIL.COM</t>
  </si>
  <si>
    <t>YURIXHI RANGEL ENRIQUEZ</t>
  </si>
  <si>
    <t>YURIXHIRANGEL12@GMAIL.COM</t>
  </si>
  <si>
    <t>ABRAHAM DAVID GALVEZ CARRILLO</t>
  </si>
  <si>
    <t>ABRAHAMDAVIDGALVEZCARRILLO07@GMAIL.COM</t>
  </si>
  <si>
    <t>ARTURO CAMPOS</t>
  </si>
  <si>
    <t>PANDARTURO_11@HOTMAIL.COM</t>
  </si>
  <si>
    <t>ERICK YAHIR CRUZ TRUJILLO</t>
  </si>
  <si>
    <t>ERICKTRUJI90@GMAIL.COM</t>
  </si>
  <si>
    <t>REBECA JIMENEZ ALVAREZ</t>
  </si>
  <si>
    <t>BRENDASWAN24@GMAIL.COM</t>
  </si>
  <si>
    <t>RICARDO LOYOLA SANCHEZ</t>
  </si>
  <si>
    <t>RICHIPETRUZCO@GMAIL.COM</t>
  </si>
  <si>
    <t>VERONICA VILLARREAL FLORES</t>
  </si>
  <si>
    <t>IGNACIO GARCIA HERNANDEZ</t>
  </si>
  <si>
    <t>ignacio.garcia.hernandez@ejemplo.com</t>
  </si>
  <si>
    <t>JESUS GARCIA SANTOS</t>
  </si>
  <si>
    <t>JESUS.25.SANTOS@GMAIL.COM</t>
  </si>
  <si>
    <t>ANTONIO CORREA GONZALEZ</t>
  </si>
  <si>
    <t>antonio.correa.gonzalez@ejemplo.com</t>
  </si>
  <si>
    <t>ALAN RAMON GALARZA MANJARREZ</t>
  </si>
  <si>
    <t>RAMON_GM@LIVE.COM</t>
  </si>
  <si>
    <t>JOSE JAVIER CRUZ SAN AGUSTIN</t>
  </si>
  <si>
    <t>JOSEJAVIERSANAGUSTIN@GMAIL.COM</t>
  </si>
  <si>
    <t>BRYAN BERNAL CERVANTES</t>
  </si>
  <si>
    <t>BRYAN.BERNAL.MEC@GMAIL.COM</t>
  </si>
  <si>
    <t>SARA JUAREZ AREVALO</t>
  </si>
  <si>
    <t>MARTINBELLO1976@HOTMAIL.COM</t>
  </si>
  <si>
    <t>ANTONIO BAUTISTA</t>
  </si>
  <si>
    <t>OBRATEL.SOLUTIONS@GMAIL.COM</t>
  </si>
  <si>
    <t>IRVIN MOISES LEMUS DOMÃNGUEZ</t>
  </si>
  <si>
    <t>RVNGMOISES@GMAIL.COM</t>
  </si>
  <si>
    <t>ISRAEL SERRANO MARTÃNEZ</t>
  </si>
  <si>
    <t>israel.serrano.martÃ­nez@ejemplo.com</t>
  </si>
  <si>
    <t>ALBERTO RIVERA SALAS</t>
  </si>
  <si>
    <t>CANARIOECHADO@GMAIL.COM</t>
  </si>
  <si>
    <t>DORA LUZ GOMEZ GONZALEZ</t>
  </si>
  <si>
    <t>ASTRIDFENDEZ@GMAIL.COM</t>
  </si>
  <si>
    <t>VANESSA LITZANIA CALDERON PEREZ</t>
  </si>
  <si>
    <t>vanessa.litzania.calderon.perez@ejemplo.com</t>
  </si>
  <si>
    <t>JOSE MARTIN GAYTAN TOVAR</t>
  </si>
  <si>
    <t>jose.martin.gaytan.tovar@ejemplo.com</t>
  </si>
  <si>
    <t>HAIDE  BERENICE CARVAJAL TORRES</t>
  </si>
  <si>
    <t>haide..berenice.carvajal.torres@ejemplo.com</t>
  </si>
  <si>
    <t>JUAN LUIS LOPEZ OCHOA</t>
  </si>
  <si>
    <t>juan.luis.lopez.ochoa@ejemplo.com</t>
  </si>
  <si>
    <t>LESLIE YUKARI PLATA IBARRA</t>
  </si>
  <si>
    <t>LEESPLATA998@GMAIL.COM</t>
  </si>
  <si>
    <t>VICENTE NAVA</t>
  </si>
  <si>
    <t>VICENTE.NAVA@AMERICANSUN.COM.MX</t>
  </si>
  <si>
    <t>JULIO CESAR MARTINEZ RODRIGUEZ</t>
  </si>
  <si>
    <t>IVANVARGAS240675@GMAIL.COM</t>
  </si>
  <si>
    <t>GIOVANNI RAYA CUEVAS</t>
  </si>
  <si>
    <t>SAMANTHA@RSAV.MX</t>
  </si>
  <si>
    <t>JOSE RUBEN PARDO GARDUÃ‘O</t>
  </si>
  <si>
    <t>ROBERTO HUERTAS AVILA</t>
  </si>
  <si>
    <t>CARLOS ALBERTO CHAVEZ</t>
  </si>
  <si>
    <t>CARLOSCHAVEZ35@HOTMAIL.COM</t>
  </si>
  <si>
    <t>AURELIO RAUDALES HERRERA</t>
  </si>
  <si>
    <t>aurelio.raudales.herrera@ejemplo.com</t>
  </si>
  <si>
    <t>DIEGO EDUARDO REAL GALVEZ</t>
  </si>
  <si>
    <t>NATALIA.PESCADOR@NTRMEDIOS.COM</t>
  </si>
  <si>
    <t>MARIA SILVIA PEEREZ RUBI</t>
  </si>
  <si>
    <t>maria.silvia.peerez.rubi@ejemplo.com</t>
  </si>
  <si>
    <t>ALFREDO GUTIERREZ RAMIREZ</t>
  </si>
  <si>
    <t>alfredo.gutierrez.ramirez@ejemplo.com</t>
  </si>
  <si>
    <t>JOSE HERRERA</t>
  </si>
  <si>
    <t>jose.herrera@ejemplo.com</t>
  </si>
  <si>
    <t>JOSE ESPINOZA</t>
  </si>
  <si>
    <t>jose.espinoza@ejemplo.com</t>
  </si>
  <si>
    <t>DAVID VILLALOBO</t>
  </si>
  <si>
    <t>david.villalobo@ejemplo.com</t>
  </si>
  <si>
    <t>ANGEL SORIANO</t>
  </si>
  <si>
    <t>angel.soriano@ejemplo.com</t>
  </si>
  <si>
    <t>IVONNE LIZBETH ELIZONDO HERNÃNDEZ</t>
  </si>
  <si>
    <t>LEHH_CYE1993@HOTMAIL.COM</t>
  </si>
  <si>
    <t>HÃ‰CTOR HERNANDEZ</t>
  </si>
  <si>
    <t>HECH.G03@GMAIL.COM</t>
  </si>
  <si>
    <t>JULIETA DONAJI FERMOSO SANCHEZ</t>
  </si>
  <si>
    <t>JULIETA.FERMOSO.S514@GMAIL.COM</t>
  </si>
  <si>
    <t>EDGARVILLAS</t>
  </si>
  <si>
    <t>edgarvillas@ejemplo.com</t>
  </si>
  <si>
    <t>LEON FERNANDEZ</t>
  </si>
  <si>
    <t>leon.fernandez@ejemplo.com</t>
  </si>
  <si>
    <t>JOSE EMMANUEL VIURQUIS MARTINEZ</t>
  </si>
  <si>
    <t>CAVITO2908@GMAIL.COM</t>
  </si>
  <si>
    <t>VERONICA MARTINEZ TORRES</t>
  </si>
  <si>
    <t>JONATHAN DE JESUS LUNA</t>
  </si>
  <si>
    <t>jonathan.de.jesus.luna@ejemplo.com</t>
  </si>
  <si>
    <t>FRANCISCO MADRIGAL</t>
  </si>
  <si>
    <t>francisco.madrigal@ejemplo.com</t>
  </si>
  <si>
    <t>EVODIO ANTONIO BARRAZA</t>
  </si>
  <si>
    <t>evodio.antonio.barraza@ejemplo.com</t>
  </si>
  <si>
    <t>LEONARDO DANIEL CONSTANTINO JACINTO</t>
  </si>
  <si>
    <t>EST22CONSTANTINE@GMAIL.COM</t>
  </si>
  <si>
    <t>JORGE HERNANDEZ</t>
  </si>
  <si>
    <t>jorge.hernandez@ejemplo.com</t>
  </si>
  <si>
    <t>SANDRA JUAREZ</t>
  </si>
  <si>
    <t>sandra.juarez@ejemplo.com</t>
  </si>
  <si>
    <t>MONICA  LEE  CARDONA</t>
  </si>
  <si>
    <t>monica..lee..cardona@ejemplo.com</t>
  </si>
  <si>
    <t>FRANCISCO ORTENZI</t>
  </si>
  <si>
    <t>francisco.ortenzi@ejemplo.com</t>
  </si>
  <si>
    <t>GABRIEL BOLONGARO</t>
  </si>
  <si>
    <t>gabriel.bolongaro@ejemplo.com</t>
  </si>
  <si>
    <t>GUSTAVO CASTILLO</t>
  </si>
  <si>
    <t>gustavo.castillo@ejemplo.com</t>
  </si>
  <si>
    <t>ARACELI JIMENEZ</t>
  </si>
  <si>
    <t>araceli.jimenez@ejemplo.com</t>
  </si>
  <si>
    <t>RICARDO JIMENEZ</t>
  </si>
  <si>
    <t>ricardo.jimenez@ejemplo.com</t>
  </si>
  <si>
    <t>VALENTINA DAVALOS</t>
  </si>
  <si>
    <t>valentina.davalos@ejemplo.com</t>
  </si>
  <si>
    <t>ANGEL RODRIGUEZ</t>
  </si>
  <si>
    <t>angel.rodriguez@ejemplo.com</t>
  </si>
  <si>
    <t>JONATHAN MENDOZA</t>
  </si>
  <si>
    <t>JOHNMENDOZATATTOO@GMAIL.COM</t>
  </si>
  <si>
    <t>MARIA GUADALUPE CHAVEZ FIGUEROA</t>
  </si>
  <si>
    <t>GUALU_66@YAHOO.COM.MX</t>
  </si>
  <si>
    <t>MANUEL URUSQUIETA BENÃTEZ</t>
  </si>
  <si>
    <t>MANUELURUSQUIETA@HOTMAIL.COM</t>
  </si>
  <si>
    <t>JUAN PABLO GARCÃA BALLESTEROS</t>
  </si>
  <si>
    <t>BAUTISTAC669@GMAIL.COM</t>
  </si>
  <si>
    <t>CARLOS GABRIEL GARCIA RAMIREZ</t>
  </si>
  <si>
    <t>carlos.gabriel.garcia.ramirez@ejemplo.com</t>
  </si>
  <si>
    <t>ROBERTO MARTIN GONZALEZ DE ALBA</t>
  </si>
  <si>
    <t>roberto.martin.gonzalez.de.alba@ejemplo.com</t>
  </si>
  <si>
    <t>ANDREA PAULINA UGARTE GARCIA</t>
  </si>
  <si>
    <t>andrea.paulina.ugarte.garcia@ejemplo.com</t>
  </si>
  <si>
    <t>HUMBERTO DIAZ</t>
  </si>
  <si>
    <t>humberto.diaz@ejemplo.com</t>
  </si>
  <si>
    <t>JORGE MARTÃN TORIBIO</t>
  </si>
  <si>
    <t>jorge.martÃ­n.toribio@ejemplo.com</t>
  </si>
  <si>
    <t>MARTÃN ALEJANDRO TORIBIO</t>
  </si>
  <si>
    <t>martÃ­n.alejandro.toribio@ejemplo.com</t>
  </si>
  <si>
    <t>MICHEL ANTONIO MONTOYA</t>
  </si>
  <si>
    <t>michel.antonio.montoya@ejemplo.com</t>
  </si>
  <si>
    <t>ANTONY IVAN PARGA</t>
  </si>
  <si>
    <t>antony.ivan.parga@ejemplo.com</t>
  </si>
  <si>
    <t>BENJAMIN LIMA</t>
  </si>
  <si>
    <t>benjamin.lima@ejemplo.com</t>
  </si>
  <si>
    <t>FELIPE PARGA</t>
  </si>
  <si>
    <t>felipe.parga@ejemplo.com</t>
  </si>
  <si>
    <t>JOSE FRANCISCO OLVERA</t>
  </si>
  <si>
    <t>jose.francisco.olvera@ejemplo.com</t>
  </si>
  <si>
    <t>AILEEN FERNANDA RESENDIZ ALVAREZ</t>
  </si>
  <si>
    <t>YOMAFERNY@GMAIL.COM</t>
  </si>
  <si>
    <t>ARELY ZOÃ‰ ALVAREZ HUERTA</t>
  </si>
  <si>
    <t>YOANNA MARIEL ALVAREZ HUERTA</t>
  </si>
  <si>
    <t>ARIANNE SOPHIA RESENDIZ ALVAREZ</t>
  </si>
  <si>
    <t>SAÃšL MENDOZA GALVEZ</t>
  </si>
  <si>
    <t>SAUKA__69@HOTMAIL.COM</t>
  </si>
  <si>
    <t>YAHIR JACALES</t>
  </si>
  <si>
    <t>yahir.jacales@ejemplo.com</t>
  </si>
  <si>
    <t>IMELDA VERA CARRO</t>
  </si>
  <si>
    <t>DMERINOVERA@YAHOO.COM.MX</t>
  </si>
  <si>
    <t>MANUEL RODRIGUEZ JUAREZ</t>
  </si>
  <si>
    <t>JURIDICO@ANMARASESORES.COM.MX</t>
  </si>
  <si>
    <t>ALEJANDRO VIDAL ACEVEDO</t>
  </si>
  <si>
    <t>ALEJANDROVIDALACEVEDO01@GMAIL.COM</t>
  </si>
  <si>
    <t>JUAN CARLOS FLORES CORDOVA</t>
  </si>
  <si>
    <t>juan.carlos.flores.cordova@ejemplo.com</t>
  </si>
  <si>
    <t>JUAN CARLOS FLORES ALCANTARA</t>
  </si>
  <si>
    <t>juan.carlos.flores.alcantara@ejemplo.com</t>
  </si>
  <si>
    <t>JESUS ARELLANO VALLEJO</t>
  </si>
  <si>
    <t>JESUSVALLEJO.0292@GMAIL.COM</t>
  </si>
  <si>
    <t>EDWIN ORTIZ RODRIGUEZ</t>
  </si>
  <si>
    <t>EORTIZ@SEVIME.COM</t>
  </si>
  <si>
    <t>UVREFLECTIONMX@GMAIL.COM</t>
  </si>
  <si>
    <t>MARIA MONSERRAT VAZQUEZ GUTIERREZ</t>
  </si>
  <si>
    <t>SUP.OP.NALEY@MRSUSHI.MX</t>
  </si>
  <si>
    <t>ROLANDO AVILA CEDILLO</t>
  </si>
  <si>
    <t>ROLAVILA@HOTMAIL.COM</t>
  </si>
  <si>
    <t>MARIA MONDRAGON</t>
  </si>
  <si>
    <t>maria.mondragon@ejemplo.com</t>
  </si>
  <si>
    <t>RICARDO MONDRAGON</t>
  </si>
  <si>
    <t>ricardo.mondragon@ejemplo.com</t>
  </si>
  <si>
    <t>OSCAR RAMÃREZ ALMEIDA</t>
  </si>
  <si>
    <t>OSRAM.ALMEIDA@GMAIL.COM</t>
  </si>
  <si>
    <t>MIGUEL ÃNGEL CHÃVEZ LORENZANA</t>
  </si>
  <si>
    <t>MCHAVEZ@COLORCON.COM</t>
  </si>
  <si>
    <t>CARLOS ALBERTO ALVARADO LÃ“PEZ</t>
  </si>
  <si>
    <t>CARLOSAAL@HOTMAIL.COM</t>
  </si>
  <si>
    <t>IVONNE ADRIANA RAMÃREZ MENDOZA</t>
  </si>
  <si>
    <t>ARISIVOBONI@GMAIL.COM</t>
  </si>
  <si>
    <t>ANA HERMELINDA MENDOZA</t>
  </si>
  <si>
    <t>JUFLCH23@GMAIL.COM</t>
  </si>
  <si>
    <t>FABIÃN ALONSO GÃ“MEZ RUBIO</t>
  </si>
  <si>
    <t>FABIANGOMEZ314@HOTMAIL.COM</t>
  </si>
  <si>
    <t>VICTOR ROMÃN FRANCO ORE</t>
  </si>
  <si>
    <t>DENISE ESQUIVEL</t>
  </si>
  <si>
    <t>denise.esquivel@ejemplo.com</t>
  </si>
  <si>
    <t>JESUS LARIOS</t>
  </si>
  <si>
    <t>jesus.larios@ejemplo.com</t>
  </si>
  <si>
    <t>CRISTIAN ALEJANDRO ARRIAGA HERNANDEZ</t>
  </si>
  <si>
    <t>cristian.alejandro.arriaga.hernandez@ejemplo.com</t>
  </si>
  <si>
    <t>ALEJANDRA MONTEMAYOR DRAGONNE</t>
  </si>
  <si>
    <t>ALPEGRA@GMAIL.COM</t>
  </si>
  <si>
    <t>HUGO HERIBERTO SERRANO SÃNCHEZ</t>
  </si>
  <si>
    <t>HUGO.SERRANO@HOTMAIL.COM</t>
  </si>
  <si>
    <t>GEORGINA SARMIENTO MONTALVO</t>
  </si>
  <si>
    <t>GSM2466@GMAIL.COM</t>
  </si>
  <si>
    <t>CAMERINO HERNÃNDEZ SANCHEZ</t>
  </si>
  <si>
    <t>CAMER-29@HOTMAIL.COM</t>
  </si>
  <si>
    <t>CESAR OLVERA MORALES</t>
  </si>
  <si>
    <t>cesar.olvera.morales@ejemplo.com</t>
  </si>
  <si>
    <t>OSVALDO GARCIA DOMINGUEZ</t>
  </si>
  <si>
    <t>OSVALDOGARCIADOMINGUEZ1997@GMAIL.COM</t>
  </si>
  <si>
    <t>RUBEN ALEXIS RODRIGUEZ GARCIA</t>
  </si>
  <si>
    <t>ALMA ROSA SALAZAR DELGADO</t>
  </si>
  <si>
    <t>JESSET@SPECSMEX.COM</t>
  </si>
  <si>
    <t>BARBARA RODRIGUEZ CORRALES</t>
  </si>
  <si>
    <t>ADRIANA MAGAÃ‘A</t>
  </si>
  <si>
    <t>adriana.magaÃ±a@ejemplo.com</t>
  </si>
  <si>
    <t>MOISES MAGAÃ‘A</t>
  </si>
  <si>
    <t>moises.magaÃ±a@ejemplo.com</t>
  </si>
  <si>
    <t>AXEL MAGAÃ‘A</t>
  </si>
  <si>
    <t>axel.magaÃ±a@ejemplo.com</t>
  </si>
  <si>
    <t>JULIAN RAMIREZ</t>
  </si>
  <si>
    <t>julian.ramirez@ejemplo.com</t>
  </si>
  <si>
    <t>ERIC URIEL RICARDO DIAZ PARTIDA</t>
  </si>
  <si>
    <t>LICERICDIAZ@GMAIL.COM</t>
  </si>
  <si>
    <t>VANESSA ZOE ACOSTA MARMOLEJO</t>
  </si>
  <si>
    <t>HERIBERTO VILCHIS VILCHIS</t>
  </si>
  <si>
    <t>GRAYFOX123@HOTMAIL.COM</t>
  </si>
  <si>
    <t>URIEL IVAN ROMERO SOLARES</t>
  </si>
  <si>
    <t>LUIS ENRIQUE SALDAÃ‘A CARRILLO</t>
  </si>
  <si>
    <t>luis.enrique.saldaÃ±a.carrillo@ejemplo.com</t>
  </si>
  <si>
    <t>MAURICIO SANCHEZ MOLINA</t>
  </si>
  <si>
    <t>CONTEMPOCOM@HOTMAIL.COM</t>
  </si>
  <si>
    <t>ANGEL CANALES</t>
  </si>
  <si>
    <t>GABRIELA MARTINEZ MARTINEZ</t>
  </si>
  <si>
    <t>gabriela.martinez.martinez@ejemplo.com</t>
  </si>
  <si>
    <t>CHRISTIAN RAUL VALERIO LÃ“PEZ</t>
  </si>
  <si>
    <t>CRIS.VALERIO.BRUJITO123@GMAIL.COM</t>
  </si>
  <si>
    <t>CAMILA ACEVES</t>
  </si>
  <si>
    <t>camila.aceves@ejemplo.com</t>
  </si>
  <si>
    <t>GABRIEL HERNANDEZ</t>
  </si>
  <si>
    <t>gabriel.hernandez@ejemplo.com</t>
  </si>
  <si>
    <t>ANDRES ENRIQUE BAEZ DIAZ</t>
  </si>
  <si>
    <t>ANDRES.BAEZ2002@GMAIL.COM</t>
  </si>
  <si>
    <t>ELVIA SAAVEDRA</t>
  </si>
  <si>
    <t>ELVIASAAVEDRA15@HOTMAIL.COM</t>
  </si>
  <si>
    <t>ARTURO COYOTZI CORONA</t>
  </si>
  <si>
    <t>arturo.coyotzi.corona@ejemplo.com</t>
  </si>
  <si>
    <t>EVELIO PEREZ RAMIREZ</t>
  </si>
  <si>
    <t>EPEREZ@TOKS.COM.MX</t>
  </si>
  <si>
    <t>DIEGO   PARRA    SERNA</t>
  </si>
  <si>
    <t>diego...parra....serna@ejemplo.com</t>
  </si>
  <si>
    <t>AXEL ALEJANDRO OCAMPO VELIZ</t>
  </si>
  <si>
    <t>axel.alejandro.ocampo.veliz@ejemplo.com</t>
  </si>
  <si>
    <t>ANA MARIA DE LOERA</t>
  </si>
  <si>
    <t>ana.maria.de.loera@ejemplo.com</t>
  </si>
  <si>
    <t>MAURICIO SANTANA</t>
  </si>
  <si>
    <t>mauricio.santana@ejemplo.com</t>
  </si>
  <si>
    <t>ADRIAN SANCHEZ</t>
  </si>
  <si>
    <t>adrian.sanchez@ejemplo.com</t>
  </si>
  <si>
    <t>DAVID ALEJANDRO HERNANDEZ VALDEZ</t>
  </si>
  <si>
    <t>ALEJANDRO_9516@HOTMAIL.COM</t>
  </si>
  <si>
    <t>ISAIAS MORALES NUÃ‘EZ</t>
  </si>
  <si>
    <t>isaias.morales.nuÃ±ez@ejemplo.com</t>
  </si>
  <si>
    <t>FABIAN VILLALOBOS</t>
  </si>
  <si>
    <t>fabian.villalobos@ejemplo.com</t>
  </si>
  <si>
    <t>JUANA FERNANDEZ</t>
  </si>
  <si>
    <t>juana.fernandez@ejemplo.com</t>
  </si>
  <si>
    <t>MARCOS GUERRA GONZALEZ</t>
  </si>
  <si>
    <t>marcos.guerra.gonzalez@ejemplo.com</t>
  </si>
  <si>
    <t>JOAB ISRAEL GOMEZ LEMUS</t>
  </si>
  <si>
    <t>joab.israel.gomez.lemus@ejemplo.com</t>
  </si>
  <si>
    <t>J JESÃšS BONILLA MENDEZ</t>
  </si>
  <si>
    <t>JESUS_BONILLA71@HOTMAIL.COM</t>
  </si>
  <si>
    <t>ROBERTOBONILLAA21@GMAIL.COM</t>
  </si>
  <si>
    <t>JOSÃ‰ ROBERTO BONILLA CASTRO</t>
  </si>
  <si>
    <t>MARIELENA CHAVEZ GONZALEZ</t>
  </si>
  <si>
    <t>marielena.chavez.gonzalez@ejemplo.com</t>
  </si>
  <si>
    <t>FEDERICO MORALES</t>
  </si>
  <si>
    <t>federico.morales@ejemplo.com</t>
  </si>
  <si>
    <t>ANGELA MARÃA HENAO CUBILLOS</t>
  </si>
  <si>
    <t>MEDICO.TARAY@SOLIDO.COM.MX</t>
  </si>
  <si>
    <t>JES_GAONA@LIVE.COM</t>
  </si>
  <si>
    <t>JAVIER HENAO DUQUE</t>
  </si>
  <si>
    <t>JESSICA GAONA ANGUIANO</t>
  </si>
  <si>
    <t>TATIANA CUELLAR ROMERO</t>
  </si>
  <si>
    <t>MARIA DEL CARMEN VAZQUEZ GUTIERREZ</t>
  </si>
  <si>
    <t>maria.del.carmen.vazquez.gutierrez@ejemplo.com</t>
  </si>
  <si>
    <t>ALBERTO BOBADILLA</t>
  </si>
  <si>
    <t>alberto.bobadilla@ejemplo.com</t>
  </si>
  <si>
    <t>MARIANA SOTO LOPEZ</t>
  </si>
  <si>
    <t>IAMTAMAYO01@GMAIL.COM</t>
  </si>
  <si>
    <t>IRMA G AVILA ROJO</t>
  </si>
  <si>
    <t>irma.g.avila.rojo@ejemplo.com</t>
  </si>
  <si>
    <t>VANESSA CERPA</t>
  </si>
  <si>
    <t>vanessa.cerpa@ejemplo.com</t>
  </si>
  <si>
    <t>CECILIA PEREZ MARISCAL</t>
  </si>
  <si>
    <t>MAYRA A VERDIN RUVALCABA</t>
  </si>
  <si>
    <t>mayra.a.verdin.ruvalcaba@ejemplo.com</t>
  </si>
  <si>
    <t>PAULINA TELLEZ BARAJAS</t>
  </si>
  <si>
    <t>paulina.tellez.barajas@ejemplo.com</t>
  </si>
  <si>
    <t>MARIANO MARTINEZ CASAS</t>
  </si>
  <si>
    <t>mariano.martinez.casas@ejemplo.com</t>
  </si>
  <si>
    <t>IMELDA ARELLANO</t>
  </si>
  <si>
    <t>imelda.arellano@ejemplo.com</t>
  </si>
  <si>
    <t>ANTONIO MONROY BUENO</t>
  </si>
  <si>
    <t>EFLORES@ACEROMEX.COM</t>
  </si>
  <si>
    <t>RICARDO CRUZ SEGUNDO</t>
  </si>
  <si>
    <t>BRENIVONNEM.CRUZ@GMAIL.COM</t>
  </si>
  <si>
    <t>LUIS IGNACIO MILLARES PEREZ</t>
  </si>
  <si>
    <t>LMILLARES@AYEMSA.COM.MX</t>
  </si>
  <si>
    <t>ERLE VELEZ MENDOZA</t>
  </si>
  <si>
    <t>SBALDO1979@GMAIL.COM</t>
  </si>
  <si>
    <t>HECTOR HERNANDEZ HERNANDEZ</t>
  </si>
  <si>
    <t>SANTOS BALDOMERO ESTEBAN</t>
  </si>
  <si>
    <t>URIEL BALDOMERO ESTEBAN</t>
  </si>
  <si>
    <t>FRANCISCO CRUZ GARCÃA</t>
  </si>
  <si>
    <t>FCRUZ0531@GMAIL.COM</t>
  </si>
  <si>
    <t>VICTOR MANUEL RODRÃGUEZ GUTIÃ‰RREZ</t>
  </si>
  <si>
    <t>COINWL2002@YAHOO.COM.MX</t>
  </si>
  <si>
    <t>ADAN URIEL NAJERA</t>
  </si>
  <si>
    <t>adan.uriel.najera@ejemplo.com</t>
  </si>
  <si>
    <t>SERGIO DE ANDA OROZCO</t>
  </si>
  <si>
    <t>OROZCOEDMUNDO47@GMAIL.COM</t>
  </si>
  <si>
    <t>CESAR JOVANY GARCÃA PÃ‰REZ</t>
  </si>
  <si>
    <t>CESAR ALEJANDRO RODRIGUEZ GONZALEZ</t>
  </si>
  <si>
    <t>CHOFERES.SEITON@GMAIL.COM</t>
  </si>
  <si>
    <t>CESAR SALVADOR RODRIGUEZ DIAZ</t>
  </si>
  <si>
    <t>JOSE RODRIGUEZ TELLEZ</t>
  </si>
  <si>
    <t>FRANCISCO MARTINEZ OLIVAREZ</t>
  </si>
  <si>
    <t>LUISTORRESBAUTISTA73@GMAIL.COM</t>
  </si>
  <si>
    <t>RODRIGO GARCIA PRIETO</t>
  </si>
  <si>
    <t>RGPPROJI@GMAIL.COM</t>
  </si>
  <si>
    <t>SERGIO HERNANDEZ UGALDE</t>
  </si>
  <si>
    <t>LUIS JORGE GARCIA MEDINA</t>
  </si>
  <si>
    <t>HECTOR@PELICULAS3M.COM.MX</t>
  </si>
  <si>
    <t>PERLA RIVERA SANTANA</t>
  </si>
  <si>
    <t>PERLA.KISKIS@HOTMAIL.COM</t>
  </si>
  <si>
    <t>MIGUEL JUAN PABLO BUGARIN AGUIRRE</t>
  </si>
  <si>
    <t>miguel.juan.pablo.bugarin.aguirre@ejemplo.com</t>
  </si>
  <si>
    <t>ALITZEL PALMA</t>
  </si>
  <si>
    <t>EMA.TORRESN@GMAIL.COM</t>
  </si>
  <si>
    <t>JOSÃ‰ EMANUEL TORRES</t>
  </si>
  <si>
    <t>THIAGO TORRES</t>
  </si>
  <si>
    <t>EIDA TORRES QUIROZ</t>
  </si>
  <si>
    <t>ERIGUTIERREZ23@GMAIL.COM</t>
  </si>
  <si>
    <t>MIKELOVIL@HOTMAIL.COM</t>
  </si>
  <si>
    <t>ERIKA ARIANA GUTIERREZ TORRES</t>
  </si>
  <si>
    <t>MIGUEL ANGEL VILLAGRAN AGUILAR</t>
  </si>
  <si>
    <t>SANTIAGO VILLAGRAN GUTIERREZ</t>
  </si>
  <si>
    <t>LUIS SALAZAR</t>
  </si>
  <si>
    <t>luis.salazar@ejemplo.com</t>
  </si>
  <si>
    <t>MARIA BORQUEZ</t>
  </si>
  <si>
    <t>maria.borquez@ejemplo.com</t>
  </si>
  <si>
    <t>DIFERENCIA DE TARIFA SERGIO HERNANDEZ UGALDE</t>
  </si>
  <si>
    <t>diferencia.de.tarifa.sergio.hernandez.ugalde@ejemplo.com</t>
  </si>
  <si>
    <t>SEBASTIAN GARCIA VELASCO</t>
  </si>
  <si>
    <t>SEBASTIAN.GARCIA@TRASVAL.COM</t>
  </si>
  <si>
    <t>JOSÃ‰ LUIS ESPINOSA</t>
  </si>
  <si>
    <t>IFTS_2108@HOTMAIL.COM</t>
  </si>
  <si>
    <t>MARCO ANTONIO DE LA CRUZ QUINTANA</t>
  </si>
  <si>
    <t>SALVADOR.ZAVALETA.AL@GMAIL.COM</t>
  </si>
  <si>
    <t>IGNACIO FUENTES</t>
  </si>
  <si>
    <t>FRANCISCO GABRIEL MEDINA</t>
  </si>
  <si>
    <t>FCOMEDINA@SEVIME.COM</t>
  </si>
  <si>
    <t>ARMANDO SANCHEZ</t>
  </si>
  <si>
    <t>armando.sanchez@ejemplo.com</t>
  </si>
  <si>
    <t>ROBERTO ALVAREZ</t>
  </si>
  <si>
    <t>roberto.alvarez@ejemplo.com</t>
  </si>
  <si>
    <t>ALEJANDRO BEDOLLA SEGURA SEGURA</t>
  </si>
  <si>
    <t>CONTABILIDAD@MARMISTANGELO.COM</t>
  </si>
  <si>
    <t>LUIS AXEL GARCIA CONSTANTINO</t>
  </si>
  <si>
    <t>MAYRA YAZMIN LOPEZ</t>
  </si>
  <si>
    <t>mayra.yazmin.lopez@ejemplo.com</t>
  </si>
  <si>
    <t>MARIANA PÃ‰REZ</t>
  </si>
  <si>
    <t>VLZ.MARIANA@HOTMAIL.COM</t>
  </si>
  <si>
    <t>ARMIDA RIVAS LOPEZ</t>
  </si>
  <si>
    <t>GONZALEZRIVASPAOLA@GMAIL.COM</t>
  </si>
  <si>
    <t>OSCAR QUIROGA</t>
  </si>
  <si>
    <t>oscar.quiroga@ejemplo.com</t>
  </si>
  <si>
    <t>MARCELA ESTRADA</t>
  </si>
  <si>
    <t>marcela.estrada@ejemplo.com</t>
  </si>
  <si>
    <t>BERNARDO ALEJANDRO ESTRADA SAMANIEGO</t>
  </si>
  <si>
    <t>ALESSSSS0207@GMAIL.COM</t>
  </si>
  <si>
    <t>DIEGO DE JESUS HERNANDEZ JIMENEZ</t>
  </si>
  <si>
    <t>DIEGODEJESUSHJ@GMAIL.COM</t>
  </si>
  <si>
    <t>EDGAR OMAR GARCÃA SANCHEZ</t>
  </si>
  <si>
    <t>edgar.omar.garcÃ­a.sanchez@ejemplo.com</t>
  </si>
  <si>
    <t>CHRISTOPHER VALLEJO</t>
  </si>
  <si>
    <t>CHRISVALLEJO429@GMAIL.COM</t>
  </si>
  <si>
    <t>JORGE INFANTE ROJANO</t>
  </si>
  <si>
    <t>MSANTIAGO@SINTRALOGISTICS.COM</t>
  </si>
  <si>
    <t>IVAN ARTURO MAGDALENO TAMAYO</t>
  </si>
  <si>
    <t>OFELIA  TRUJILLO ESQUEDA</t>
  </si>
  <si>
    <t>ofelia..trujillo.esqueda@ejemplo.com</t>
  </si>
  <si>
    <t>JUAN FRANCISCO GARCIA TRUJILLO</t>
  </si>
  <si>
    <t>juan.francisco.garcia.trujillo@ejemplo.com</t>
  </si>
  <si>
    <t>LUZ MARIA ROJAS CARDENAS</t>
  </si>
  <si>
    <t>luz.maria.rojas.cardenas@ejemplo.com</t>
  </si>
  <si>
    <t>ELSA YADIRA VARGAS GONZÃLEZ</t>
  </si>
  <si>
    <t>IIHDAY.VGP@HOTMAIL.COM</t>
  </si>
  <si>
    <t>FRANCISCO GERARDO RIOS VILLAGRAN</t>
  </si>
  <si>
    <t>FRANRIOS_58@HOTMAIL.COM</t>
  </si>
  <si>
    <t>JOSE MIGUEL VELAZQUEZ</t>
  </si>
  <si>
    <t>jose.miguel.velazquez@ejemplo.com</t>
  </si>
  <si>
    <t>ALMA BRAVO</t>
  </si>
  <si>
    <t>alma.bravo@ejemplo.com</t>
  </si>
  <si>
    <t>EVANGELINA   MARTINEZ  RODRIGUEZ</t>
  </si>
  <si>
    <t>evangelina...martinez..rodriguez@ejemplo.com</t>
  </si>
  <si>
    <t>JESUS QUEZADA</t>
  </si>
  <si>
    <t>jesus.quezada@ejemplo.com</t>
  </si>
  <si>
    <t>LUIS DAVID SALINAS</t>
  </si>
  <si>
    <t>luis.david.salinas@ejemplo.com</t>
  </si>
  <si>
    <t>JUAN CAMACHO</t>
  </si>
  <si>
    <t>juan.camacho@ejemplo.com</t>
  </si>
  <si>
    <t>ULISES OSEGUEDA DE CV</t>
  </si>
  <si>
    <t>DIPAFRESA@HOTMAIL.COM</t>
  </si>
  <si>
    <t>ANDRES MENDOZA MARTÃNEZ</t>
  </si>
  <si>
    <t>ERIC EDGARDO GONZALEZ MIRANDA</t>
  </si>
  <si>
    <t>FERNANDO   URBINA   CASTILLO</t>
  </si>
  <si>
    <t>fernando...urbina...castillo@ejemplo.com</t>
  </si>
  <si>
    <t>ROGELIO REYES MARTINEZ</t>
  </si>
  <si>
    <t>ONOFFROGELIO@OUTLOOK.COM</t>
  </si>
  <si>
    <t>OBDULIO  SALAS   VARGAS</t>
  </si>
  <si>
    <t>obdulio..salas...vargas@ejemplo.com</t>
  </si>
  <si>
    <t>CHARITO ANDREA GONZALEZ PEREZ</t>
  </si>
  <si>
    <t>OBESURG@YAHOO.COM.MX</t>
  </si>
  <si>
    <t>JOSE CASTANEDA CRUZ</t>
  </si>
  <si>
    <t>JOSE    MORENO</t>
  </si>
  <si>
    <t>jose....moreno@ejemplo.com</t>
  </si>
  <si>
    <t>ESTEBAN FONG</t>
  </si>
  <si>
    <t>esteban.fong@ejemplo.com</t>
  </si>
  <si>
    <t>FLABIO LLAMAS</t>
  </si>
  <si>
    <t>flabio.llamas@ejemplo.com</t>
  </si>
  <si>
    <t>JOSE MANUEL CARDONA</t>
  </si>
  <si>
    <t>jose.manuel.cardona@ejemplo.com</t>
  </si>
  <si>
    <t>GERARDO MEJIA</t>
  </si>
  <si>
    <t>gerardo.mejia@ejemplo.com</t>
  </si>
  <si>
    <t>RUBEN VARGAS</t>
  </si>
  <si>
    <t>ruben.vargas@ejemplo.com</t>
  </si>
  <si>
    <t>BENJAMIN MATEO VARGAS</t>
  </si>
  <si>
    <t>benjamin.mateo.vargas@ejemplo.com</t>
  </si>
  <si>
    <t>KARLA VARGAS</t>
  </si>
  <si>
    <t>karla.vargas@ejemplo.com</t>
  </si>
  <si>
    <t>MANUEL OJEDA</t>
  </si>
  <si>
    <t>manuel.ojeda@ejemplo.com</t>
  </si>
  <si>
    <t>ISMAEL VILLAGOMEZ TELLEZ</t>
  </si>
  <si>
    <t>ismael.villagomez.tellez@ejemplo.com</t>
  </si>
  <si>
    <t>RENATA LOPEZ</t>
  </si>
  <si>
    <t>renata.lopez@ejemplo.com</t>
  </si>
  <si>
    <t>JOSE LUIS LOPEZ</t>
  </si>
  <si>
    <t>jose.luis.lopez@ejemplo.com</t>
  </si>
  <si>
    <t>JOSÃ‰ EDUARDO OLVERA OROCIO</t>
  </si>
  <si>
    <t>VIC.BERBEL18@GMAIL.COM</t>
  </si>
  <si>
    <t>CAROLINA ZUNIGA</t>
  </si>
  <si>
    <t>MUSSYPOCKET@GMAIL.COM</t>
  </si>
  <si>
    <t>PATRICIA LOPEZ HERNANDEZ</t>
  </si>
  <si>
    <t>ALEJANDRO.FLORESLOPEZ1995@GMAIL.COM</t>
  </si>
  <si>
    <t>WALTER BLANCO MÃRQUEZ</t>
  </si>
  <si>
    <t>WALTHA_RIUS@YAHOO.COM</t>
  </si>
  <si>
    <t>JUAN RAMÃ“N GONZÃLEZ BARBOSA</t>
  </si>
  <si>
    <t>JUANRAMONGONZALEZ090@GMAIL.COM</t>
  </si>
  <si>
    <t>MARIA  ANGELINA  JARAMILLO  AGUIRRE</t>
  </si>
  <si>
    <t>maria..angelina..jaramillo..aguirre@ejemplo.com</t>
  </si>
  <si>
    <t>EDUARDO CAMPOS</t>
  </si>
  <si>
    <t>eduardo.campos@ejemplo.com</t>
  </si>
  <si>
    <t>CUAUHTEMOC GARCIA</t>
  </si>
  <si>
    <t>cuauhtemoc.garcia@ejemplo.com</t>
  </si>
  <si>
    <t>LUIS ENRIQUE ALCAZAR PADILLA</t>
  </si>
  <si>
    <t>luis.enrique.alcazar.padilla@ejemplo.com</t>
  </si>
  <si>
    <t>ADRIANA SANTOS DE LA TORRE</t>
  </si>
  <si>
    <t>adriana.santos.de.la.torre@ejemplo.com</t>
  </si>
  <si>
    <t>LUIS DANIEL GONZÃLEZ GONZÃLEZ</t>
  </si>
  <si>
    <t>JPABLO_GLEZ@HOTMAIL.COM</t>
  </si>
  <si>
    <t>YARELIS  SEIJAS</t>
  </si>
  <si>
    <t>yarelis..seijas@ejemplo.com</t>
  </si>
  <si>
    <t>ADA SAMARIO</t>
  </si>
  <si>
    <t>ADA.SAMARIO.S@GMAIL.COM</t>
  </si>
  <si>
    <t>EZEQUIEL LUNA LOPEZ</t>
  </si>
  <si>
    <t>LUNALOPEZ9371@GMAIL.COM</t>
  </si>
  <si>
    <t>GUADALUPE LOPEZ ARMENDARIZ</t>
  </si>
  <si>
    <t>JERONIMO SANCHEZ CRUZ</t>
  </si>
  <si>
    <t>FACTURASRAMSA3@GMAIL.COM</t>
  </si>
  <si>
    <t>ISMAEL GARCIA SOLACHE</t>
  </si>
  <si>
    <t>ALICIA CUBILLOS ROSAS</t>
  </si>
  <si>
    <t>JENNY.VELASCO@FAWPIRAMIDES.COM</t>
  </si>
  <si>
    <t>ANGELICA CATALINA VALDES CARRASCO</t>
  </si>
  <si>
    <t>JUANA VELASCO HERNANDEZ</t>
  </si>
  <si>
    <t>DARON ISAAC PACHECO GUTIERREZ</t>
  </si>
  <si>
    <t>SILVIA AMANDA HERNANDEZ SERRATO</t>
  </si>
  <si>
    <t>DISCARLOS@HOTMAIL.COM</t>
  </si>
  <si>
    <t>ALBERTO ANDRADE RAMIREZ</t>
  </si>
  <si>
    <t>ALBERTOANDRADER@GMAIL.COM</t>
  </si>
  <si>
    <t>BENITO VALLEJO ORTEGA</t>
  </si>
  <si>
    <t>TOMAS HUERTA</t>
  </si>
  <si>
    <t>tomas.huerta@ejemplo.com</t>
  </si>
  <si>
    <t>DIEGO ALEJANDRO CAZARES CORONA</t>
  </si>
  <si>
    <t>ADIEGOCAZARES1@OUTLOOK.COM</t>
  </si>
  <si>
    <t>BRIAN RAYMUNDO HERNANDEZ DIAZ</t>
  </si>
  <si>
    <t>BRIANRAYMUNDOHERNANDEZDIAZ@GMAIL.COM</t>
  </si>
  <si>
    <t>JESSICA RUBI MORENO CHE</t>
  </si>
  <si>
    <t>ING.CHEMICAL_JESSE@HOTMAIL.COM</t>
  </si>
  <si>
    <t>LAURA MONTSERRAT ALCANTAR MARTINEZ</t>
  </si>
  <si>
    <t>PICHON270893@GMAIL.COM</t>
  </si>
  <si>
    <t>GABRIEL SORDO SANCHEZ</t>
  </si>
  <si>
    <t>GABRIELSORDO@GMAIL.COM</t>
  </si>
  <si>
    <t>KARLA PEIMBERT CABRERA</t>
  </si>
  <si>
    <t>VICTOR TOVAR RAMIREZ</t>
  </si>
  <si>
    <t>victor.tovar.ramirez@ejemplo.com</t>
  </si>
  <si>
    <t>FERNANDO RAMIREZ</t>
  </si>
  <si>
    <t>BOLETOSYHOSPEDAJE@JID.COM.MX</t>
  </si>
  <si>
    <t>CARLOS ALBERTO BELTRÃN HERNÃNDEZ</t>
  </si>
  <si>
    <t>BELTRANC@LIVE.COM.MX</t>
  </si>
  <si>
    <t>MARIO DAVID RUIZ  CABELLO</t>
  </si>
  <si>
    <t>mario.david.ruiz..cabello@ejemplo.com</t>
  </si>
  <si>
    <t>ATZHIRE ALINNE VAZQUEZ SOLIS</t>
  </si>
  <si>
    <t>SOLIS.ALINNE@GMAIL.COM</t>
  </si>
  <si>
    <t>ANDRÃ‰S FUENTES FUENTES</t>
  </si>
  <si>
    <t>FELIXMORALES0538@GMAIL.COM</t>
  </si>
  <si>
    <t>BLANCA BERENICE AGUAYO CHAVES</t>
  </si>
  <si>
    <t>MAXIM GAEL AGUAYO CHAVES</t>
  </si>
  <si>
    <t>ALONSO RAMOS GALLEGOS</t>
  </si>
  <si>
    <t>GABRIELA.PEREZ@MTQMEXICO.COM</t>
  </si>
  <si>
    <t>DAVID VILLEGAS GUEVARA</t>
  </si>
  <si>
    <t>DAVID.VILLEGAS@CONDUITLIFE.MX</t>
  </si>
  <si>
    <t>PEDRO ESBER JIM??NEZ CH??VEZ</t>
  </si>
  <si>
    <t>RESERVAS@VIAJOMUCHO.COM.MX</t>
  </si>
  <si>
    <t>LUIS GILBERTO GABRIEL ZARCO</t>
  </si>
  <si>
    <t>LG.GABRIEL.ZARCO@GMAIL.COM</t>
  </si>
  <si>
    <t>FRANCISCO JAVIER MUNGUIA HUIZAR</t>
  </si>
  <si>
    <t>PACO112009@HOTMAIL.COM</t>
  </si>
  <si>
    <t>RIGOBERTO VILLALOBOS PIMENTEL</t>
  </si>
  <si>
    <t>rigoberto.villalobos.pimentel@ejemplo.com</t>
  </si>
  <si>
    <t>CLEOTILDE FLORES RUBIO</t>
  </si>
  <si>
    <t>cleotilde.flores.rubio@ejemplo.com</t>
  </si>
  <si>
    <t>PEIYU CHEN</t>
  </si>
  <si>
    <t>FLAWLESS_TALENTED-82CMH6LN@M.PFORWARD.NET</t>
  </si>
  <si>
    <t>XIANG GE</t>
  </si>
  <si>
    <t>MARIO ALBERTO ZEPEDA  VEGA</t>
  </si>
  <si>
    <t>mario.alberto.zepeda..vega@ejemplo.com</t>
  </si>
  <si>
    <t>ANGEL EDUARDO ROSAS ROSALES</t>
  </si>
  <si>
    <t>SANABRIA.EF@GMAIL.COM</t>
  </si>
  <si>
    <t>JOSE RICARDO DE LA CRUZ FONSECA</t>
  </si>
  <si>
    <t>JULIO EMMANUEL SANABRIA SANCHEZ</t>
  </si>
  <si>
    <t>ERNESTO ACEVEDO ORNELAS</t>
  </si>
  <si>
    <t>ERNESTOAO2001@HOTMAIL.COM</t>
  </si>
  <si>
    <t>LAURA ACEVEDO ORNELAS</t>
  </si>
  <si>
    <t>VICTOR ACEVEDO ORNELAS</t>
  </si>
  <si>
    <t>GABRIEL FUENTES FUENTES</t>
  </si>
  <si>
    <t>GFUENTES@SOMAQ.COM.MX</t>
  </si>
  <si>
    <t>ADLIH NAYELI SÃNCHEZ JUÃREZ</t>
  </si>
  <si>
    <t>NAYELISANCHEZ8122@GMAIL.COM</t>
  </si>
  <si>
    <t>FRIDA CONTRERAS JUAREZ</t>
  </si>
  <si>
    <t>DIEGO ARMANDO GAYTAN BARRERA</t>
  </si>
  <si>
    <t>MARGARITA LOPEZ VILLEGAS</t>
  </si>
  <si>
    <t>margarita.lopez.villegas@ejemplo.com</t>
  </si>
  <si>
    <t>VICTORIA JIMENEZ</t>
  </si>
  <si>
    <t>VICENTE CASTRO</t>
  </si>
  <si>
    <t>TR4NC318@GMAIL.COM</t>
  </si>
  <si>
    <t>HÃ‰CTOR PÃ‰REZ GARCÃA</t>
  </si>
  <si>
    <t>HEKTORKA12@GMAIL.COM</t>
  </si>
  <si>
    <t>GERMAN BRACAMONTES</t>
  </si>
  <si>
    <t>YERMSBRACAMONTES@GMAIL.COM</t>
  </si>
  <si>
    <t>INFO.LINGOT@GMAIL.COM</t>
  </si>
  <si>
    <t>MARÃA DE LA PAZ DIAZ</t>
  </si>
  <si>
    <t>ALFRED PEYROT EYSSAUTIER</t>
  </si>
  <si>
    <t>APEYROTE@GMAIL.COM</t>
  </si>
  <si>
    <t>CARLOS EDUARDO REYES JIMENEZ</t>
  </si>
  <si>
    <t>MIGUEL ANGEL LÃZARO RUIZ</t>
  </si>
  <si>
    <t>MIGUELLAZARO48@GMAIL.COM</t>
  </si>
  <si>
    <t>ISABEL RIVERA</t>
  </si>
  <si>
    <t>JULIO@HANGTEN.COM.MX</t>
  </si>
  <si>
    <t>JULIETA GONZALEZ</t>
  </si>
  <si>
    <t>JUAN CARLOS SERRANO MAYÃ‰N</t>
  </si>
  <si>
    <t>VENTAS503@MASISA.COM.MX</t>
  </si>
  <si>
    <t>GABRIELA MURILLO CANO</t>
  </si>
  <si>
    <t>GABYMURILLO.MX@GMAIL.COM</t>
  </si>
  <si>
    <t>IVÃN ENRIQUE VALDESPINO MARTÃNEZ</t>
  </si>
  <si>
    <t>ROBPEDROZARIVEIRA@GMAIL.COM</t>
  </si>
  <si>
    <t>CECILIO BADILLO GARCIA</t>
  </si>
  <si>
    <t>CBADILLO77.G@GMAIL.COM</t>
  </si>
  <si>
    <t>HUMBERTO VARGAS</t>
  </si>
  <si>
    <t>humberto.vargas@ejemplo.com</t>
  </si>
  <si>
    <t>RODRIGO BARRERA</t>
  </si>
  <si>
    <t>rodrigo.barrera@ejemplo.com</t>
  </si>
  <si>
    <t>LAURA KARINA VERA</t>
  </si>
  <si>
    <t>laura.karina.vera@ejemplo.com</t>
  </si>
  <si>
    <t>JOSE MIGUEL ESCOBEDO BARAJAS</t>
  </si>
  <si>
    <t>jose.miguel.escobedo.barajas@ejemplo.com</t>
  </si>
  <si>
    <t>CLAUDIA REYES</t>
  </si>
  <si>
    <t>claudia.reyes@ejemplo.com</t>
  </si>
  <si>
    <t>CARLOS ALBERTO GONZÃLEZ</t>
  </si>
  <si>
    <t>CARLOSGNZLZSLS@OUTLOOK.COM</t>
  </si>
  <si>
    <t>MARIA OLIVIA LOPEZ ZARATE</t>
  </si>
  <si>
    <t>maria.olivia.lopez.zarate@ejemplo.com</t>
  </si>
  <si>
    <t>IVAN PACHECO</t>
  </si>
  <si>
    <t>ivan.pacheco@ejemplo.com</t>
  </si>
  <si>
    <t>JARED RODRIGUEZ</t>
  </si>
  <si>
    <t>jared.rodriguez@ejemplo.com</t>
  </si>
  <si>
    <t>JAVIER BOYZO MORALES</t>
  </si>
  <si>
    <t>JAVIERBOYZO@HOTMAIL.COM</t>
  </si>
  <si>
    <t>OWEN BOYZO</t>
  </si>
  <si>
    <t>JOSUE FERNANDEZ</t>
  </si>
  <si>
    <t>josue.fernandez@ejemplo.com</t>
  </si>
  <si>
    <t>NATALIA AGUILAR CARDENAS</t>
  </si>
  <si>
    <t>natalia.aguilar.cardenas@ejemplo.com</t>
  </si>
  <si>
    <t>GAEL ISAAC AGUILAR</t>
  </si>
  <si>
    <t>gael.isaac.aguilar@ejemplo.com</t>
  </si>
  <si>
    <t>VERONICA CARDENAS</t>
  </si>
  <si>
    <t>veronica.cardenas@ejemplo.com</t>
  </si>
  <si>
    <t>MARIA GUADALUPE CARDENAS</t>
  </si>
  <si>
    <t>maria.guadalupe.cardenas@ejemplo.com</t>
  </si>
  <si>
    <t>JERICO DAVID LOPEZ</t>
  </si>
  <si>
    <t>jerico.david.lopez@ejemplo.com</t>
  </si>
  <si>
    <t>ANDREA MAGAÃ‘A</t>
  </si>
  <si>
    <t>andrea.magaÃ±a@ejemplo.com</t>
  </si>
  <si>
    <t>ANTONIO LOPEZ NUÃ‘EZ</t>
  </si>
  <si>
    <t>antonio.lopez.nuÃ±ez@ejemplo.com</t>
  </si>
  <si>
    <t>OMAR ALEJANDRO MARTINEZ SEGUNDO</t>
  </si>
  <si>
    <t>omar.alejandro.martinez.segundo@ejemplo.com</t>
  </si>
  <si>
    <t>OSCAR NAVA RODRIGUEZ</t>
  </si>
  <si>
    <t>oscar.nava.rodriguez@ejemplo.com</t>
  </si>
  <si>
    <t>JOEL RIVERA RIVERA</t>
  </si>
  <si>
    <t>joel.rivera.rivera@ejemplo.com</t>
  </si>
  <si>
    <t>OSCAR ALLENDE GOMEZ</t>
  </si>
  <si>
    <t>oscar.allende.gomez@ejemplo.com</t>
  </si>
  <si>
    <t>VICTOR DANIEL GONZALEZ VIDEZ</t>
  </si>
  <si>
    <t>victor.daniel.gonzalez.videz@ejemplo.com</t>
  </si>
  <si>
    <t>RAMON REBOLLEDO</t>
  </si>
  <si>
    <t>ramon.rebolledo@ejemplo.com</t>
  </si>
  <si>
    <t>PAULINA LLAMAS CASILLAS</t>
  </si>
  <si>
    <t>paulina.llamas.casillas@ejemplo.com</t>
  </si>
  <si>
    <t>ARTURO CHAVEZ</t>
  </si>
  <si>
    <t>arturo.chavez@ejemplo.com</t>
  </si>
  <si>
    <t>MOISES PENHOS</t>
  </si>
  <si>
    <t>moises.penhos@ejemplo.com</t>
  </si>
  <si>
    <t>ADRIANA ARMENTA RAMIREZ</t>
  </si>
  <si>
    <t>adriana.armenta.ramirez@ejemplo.com</t>
  </si>
  <si>
    <t>Etiquetas de fila</t>
  </si>
  <si>
    <t>Total general</t>
  </si>
  <si>
    <t># Boletos</t>
  </si>
  <si>
    <t>$ Venta real</t>
  </si>
  <si>
    <t>Diff_P_Dinero</t>
  </si>
  <si>
    <t>%dP</t>
  </si>
  <si>
    <t>%dQ</t>
  </si>
  <si>
    <t>Precio_Prom</t>
  </si>
  <si>
    <t>Precio_Prom_Dinamico</t>
  </si>
  <si>
    <t>Ing_Dinamico_Total</t>
  </si>
  <si>
    <t>Diff_Venta_IngDin</t>
  </si>
  <si>
    <t>dP_Dinamico</t>
  </si>
  <si>
    <t>FECHA</t>
  </si>
  <si>
    <t>$ Venta dinámica</t>
  </si>
  <si>
    <t>$ Venta dinámica Integra</t>
  </si>
  <si>
    <t>Demanda dinámica</t>
  </si>
  <si>
    <t>Demanda real</t>
  </si>
  <si>
    <t>Venta dinámica simulada</t>
  </si>
  <si>
    <t># Boletos Estimados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</si>
</sst>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164" formatCode="0.00000"/>
    <numFmt numFmtId="165" formatCode="&quot;$&quot;#,##0.00"/>
    <numFmt numFmtId="166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33" borderId="10" xfId="0" applyFont="1" applyFill="1" applyBorder="1"/>
    <xf numFmtId="14" fontId="0" fillId="0" borderId="0" xfId="0" applyNumberFormat="1"/>
    <xf numFmtId="14" fontId="0" fillId="0" borderId="0" xfId="0" applyNumberFormat="1" applyAlignment="1">
      <alignment horizontal="left"/>
    </xf>
    <xf numFmtId="44" fontId="0" fillId="0" borderId="0" xfId="0" applyNumberFormat="1"/>
    <xf numFmtId="1" fontId="0" fillId="0" borderId="0" xfId="0" applyNumberFormat="1"/>
    <xf numFmtId="10" fontId="16" fillId="33" borderId="10" xfId="0" applyNumberFormat="1" applyFont="1" applyFill="1" applyBorder="1"/>
    <xf numFmtId="164" fontId="16" fillId="33" borderId="10" xfId="0" applyNumberFormat="1" applyFont="1" applyFill="1" applyBorder="1"/>
    <xf numFmtId="1" fontId="16" fillId="33" borderId="0" xfId="0" applyNumberFormat="1" applyFont="1" applyFill="1" applyBorder="1"/>
    <xf numFmtId="0" fontId="16" fillId="33" borderId="0" xfId="0" applyFont="1" applyFill="1" applyBorder="1"/>
    <xf numFmtId="9" fontId="0" fillId="0" borderId="0" xfId="2" applyFont="1"/>
    <xf numFmtId="44" fontId="0" fillId="0" borderId="0" xfId="1" applyFont="1"/>
    <xf numFmtId="165" fontId="16" fillId="33" borderId="11" xfId="0" applyNumberFormat="1" applyFont="1" applyFill="1" applyBorder="1"/>
    <xf numFmtId="10" fontId="16" fillId="33" borderId="11" xfId="0" applyNumberFormat="1" applyFont="1" applyFill="1" applyBorder="1"/>
    <xf numFmtId="165" fontId="16" fillId="33" borderId="0" xfId="0" applyNumberFormat="1" applyFont="1" applyFill="1" applyBorder="1"/>
    <xf numFmtId="44" fontId="16" fillId="33" borderId="11" xfId="1" applyFont="1" applyFill="1" applyBorder="1"/>
    <xf numFmtId="166" fontId="16" fillId="33" borderId="11" xfId="0" applyNumberFormat="1" applyFont="1" applyFill="1" applyBorder="1"/>
    <xf numFmtId="166" fontId="16" fillId="33" borderId="11" xfId="2" applyNumberFormat="1" applyFont="1" applyFill="1" applyBorder="1"/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oneda" xfId="1" builtinId="4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11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34" formatCode="_-&quot;$&quot;* #,##0.00_-;\-&quot;$&quot;* #,##0.00_-;_-&quot;$&quot;* &quot;-&quot;??_-;_-@_-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Demanda real vs Demanda dinámica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TD!$D$25</c:f>
              <c:strCache>
                <c:ptCount val="1"/>
                <c:pt idx="0">
                  <c:v>Demanda real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TD!$A$26:$A$44</c:f>
              <c:numCache>
                <c:formatCode>m/d/yyyy</c:formatCode>
                <c:ptCount val="19"/>
                <c:pt idx="0">
                  <c:v>45954</c:v>
                </c:pt>
                <c:pt idx="1">
                  <c:v>45955</c:v>
                </c:pt>
                <c:pt idx="2">
                  <c:v>45956</c:v>
                </c:pt>
                <c:pt idx="3">
                  <c:v>45957</c:v>
                </c:pt>
                <c:pt idx="4">
                  <c:v>45958</c:v>
                </c:pt>
                <c:pt idx="5">
                  <c:v>45959</c:v>
                </c:pt>
                <c:pt idx="6">
                  <c:v>45960</c:v>
                </c:pt>
                <c:pt idx="7">
                  <c:v>45961</c:v>
                </c:pt>
                <c:pt idx="8">
                  <c:v>45962</c:v>
                </c:pt>
                <c:pt idx="9">
                  <c:v>45963</c:v>
                </c:pt>
                <c:pt idx="10">
                  <c:v>45964</c:v>
                </c:pt>
                <c:pt idx="11">
                  <c:v>45965</c:v>
                </c:pt>
                <c:pt idx="12">
                  <c:v>45966</c:v>
                </c:pt>
                <c:pt idx="13">
                  <c:v>45967</c:v>
                </c:pt>
                <c:pt idx="14">
                  <c:v>45968</c:v>
                </c:pt>
                <c:pt idx="15">
                  <c:v>45969</c:v>
                </c:pt>
                <c:pt idx="16">
                  <c:v>45970</c:v>
                </c:pt>
                <c:pt idx="17">
                  <c:v>45971</c:v>
                </c:pt>
                <c:pt idx="18">
                  <c:v>45972</c:v>
                </c:pt>
              </c:numCache>
            </c:numRef>
          </c:xVal>
          <c:yVal>
            <c:numRef>
              <c:f>TD!$D$26:$D$44</c:f>
              <c:numCache>
                <c:formatCode>0</c:formatCode>
                <c:ptCount val="19"/>
                <c:pt idx="0">
                  <c:v>177</c:v>
                </c:pt>
                <c:pt idx="1">
                  <c:v>103</c:v>
                </c:pt>
                <c:pt idx="2">
                  <c:v>60</c:v>
                </c:pt>
                <c:pt idx="3">
                  <c:v>174</c:v>
                </c:pt>
                <c:pt idx="4">
                  <c:v>50</c:v>
                </c:pt>
                <c:pt idx="5">
                  <c:v>99</c:v>
                </c:pt>
                <c:pt idx="6">
                  <c:v>91</c:v>
                </c:pt>
                <c:pt idx="7">
                  <c:v>91</c:v>
                </c:pt>
                <c:pt idx="8">
                  <c:v>74</c:v>
                </c:pt>
                <c:pt idx="9">
                  <c:v>114</c:v>
                </c:pt>
                <c:pt idx="10">
                  <c:v>142</c:v>
                </c:pt>
                <c:pt idx="11">
                  <c:v>163</c:v>
                </c:pt>
                <c:pt idx="12">
                  <c:v>153</c:v>
                </c:pt>
                <c:pt idx="13">
                  <c:v>176</c:v>
                </c:pt>
                <c:pt idx="14">
                  <c:v>147</c:v>
                </c:pt>
                <c:pt idx="15">
                  <c:v>108</c:v>
                </c:pt>
                <c:pt idx="16">
                  <c:v>105</c:v>
                </c:pt>
                <c:pt idx="17">
                  <c:v>133</c:v>
                </c:pt>
                <c:pt idx="18">
                  <c:v>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CE-4DD7-90C6-354877920329}"/>
            </c:ext>
          </c:extLst>
        </c:ser>
        <c:ser>
          <c:idx val="1"/>
          <c:order val="1"/>
          <c:tx>
            <c:strRef>
              <c:f>TD!$E$25</c:f>
              <c:strCache>
                <c:ptCount val="1"/>
                <c:pt idx="0">
                  <c:v>Demanda dinámica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TD!$A$26:$A$44</c:f>
              <c:numCache>
                <c:formatCode>m/d/yyyy</c:formatCode>
                <c:ptCount val="19"/>
                <c:pt idx="0">
                  <c:v>45954</c:v>
                </c:pt>
                <c:pt idx="1">
                  <c:v>45955</c:v>
                </c:pt>
                <c:pt idx="2">
                  <c:v>45956</c:v>
                </c:pt>
                <c:pt idx="3">
                  <c:v>45957</c:v>
                </c:pt>
                <c:pt idx="4">
                  <c:v>45958</c:v>
                </c:pt>
                <c:pt idx="5">
                  <c:v>45959</c:v>
                </c:pt>
                <c:pt idx="6">
                  <c:v>45960</c:v>
                </c:pt>
                <c:pt idx="7">
                  <c:v>45961</c:v>
                </c:pt>
                <c:pt idx="8">
                  <c:v>45962</c:v>
                </c:pt>
                <c:pt idx="9">
                  <c:v>45963</c:v>
                </c:pt>
                <c:pt idx="10">
                  <c:v>45964</c:v>
                </c:pt>
                <c:pt idx="11">
                  <c:v>45965</c:v>
                </c:pt>
                <c:pt idx="12">
                  <c:v>45966</c:v>
                </c:pt>
                <c:pt idx="13">
                  <c:v>45967</c:v>
                </c:pt>
                <c:pt idx="14">
                  <c:v>45968</c:v>
                </c:pt>
                <c:pt idx="15">
                  <c:v>45969</c:v>
                </c:pt>
                <c:pt idx="16">
                  <c:v>45970</c:v>
                </c:pt>
                <c:pt idx="17">
                  <c:v>45971</c:v>
                </c:pt>
                <c:pt idx="18">
                  <c:v>45972</c:v>
                </c:pt>
              </c:numCache>
            </c:numRef>
          </c:xVal>
          <c:yVal>
            <c:numRef>
              <c:f>TD!$E$26:$E$44</c:f>
              <c:numCache>
                <c:formatCode>0</c:formatCode>
                <c:ptCount val="19"/>
                <c:pt idx="0">
                  <c:v>184.51017065335964</c:v>
                </c:pt>
                <c:pt idx="1">
                  <c:v>106.91668435706546</c:v>
                </c:pt>
                <c:pt idx="2">
                  <c:v>62.637812763853525</c:v>
                </c:pt>
                <c:pt idx="3">
                  <c:v>181.64578935477959</c:v>
                </c:pt>
                <c:pt idx="4">
                  <c:v>52.063258761548468</c:v>
                </c:pt>
                <c:pt idx="5">
                  <c:v>103.91231100312505</c:v>
                </c:pt>
                <c:pt idx="6">
                  <c:v>95.621052974728471</c:v>
                </c:pt>
                <c:pt idx="7">
                  <c:v>97.230780662156917</c:v>
                </c:pt>
                <c:pt idx="8">
                  <c:v>79.387720630230405</c:v>
                </c:pt>
                <c:pt idx="9">
                  <c:v>122.93426729723107</c:v>
                </c:pt>
                <c:pt idx="10">
                  <c:v>150.7416486934145</c:v>
                </c:pt>
                <c:pt idx="11">
                  <c:v>171.18204280154359</c:v>
                </c:pt>
                <c:pt idx="12">
                  <c:v>161.44601137583612</c:v>
                </c:pt>
                <c:pt idx="13">
                  <c:v>185.487960621474</c:v>
                </c:pt>
                <c:pt idx="14">
                  <c:v>154.39351171386821</c:v>
                </c:pt>
                <c:pt idx="15">
                  <c:v>113.88254814774261</c:v>
                </c:pt>
                <c:pt idx="16">
                  <c:v>112.40995080883989</c:v>
                </c:pt>
                <c:pt idx="17">
                  <c:v>141.74421969838448</c:v>
                </c:pt>
                <c:pt idx="18">
                  <c:v>138.82681171330819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CE-4DD7-90C6-354877920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397663"/>
        <c:axId val="1546396831"/>
      </c:scatterChart>
      <c:valAx>
        <c:axId val="15463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6396831"/>
        <c:crosses val="autoZero"/>
        <c:crossBetween val="midCat"/>
      </c:valAx>
      <c:valAx>
        <c:axId val="154639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639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Comparación de la 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TD!$B$25</c:f>
              <c:strCache>
                <c:ptCount val="1"/>
                <c:pt idx="0">
                  <c:v>$ Venta real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TD!$A$26:$A$44</c:f>
              <c:numCache>
                <c:formatCode>m/d/yyyy</c:formatCode>
                <c:ptCount val="19"/>
                <c:pt idx="0">
                  <c:v>45954</c:v>
                </c:pt>
                <c:pt idx="1">
                  <c:v>45955</c:v>
                </c:pt>
                <c:pt idx="2">
                  <c:v>45956</c:v>
                </c:pt>
                <c:pt idx="3">
                  <c:v>45957</c:v>
                </c:pt>
                <c:pt idx="4">
                  <c:v>45958</c:v>
                </c:pt>
                <c:pt idx="5">
                  <c:v>45959</c:v>
                </c:pt>
                <c:pt idx="6">
                  <c:v>45960</c:v>
                </c:pt>
                <c:pt idx="7">
                  <c:v>45961</c:v>
                </c:pt>
                <c:pt idx="8">
                  <c:v>45962</c:v>
                </c:pt>
                <c:pt idx="9">
                  <c:v>45963</c:v>
                </c:pt>
                <c:pt idx="10">
                  <c:v>45964</c:v>
                </c:pt>
                <c:pt idx="11">
                  <c:v>45965</c:v>
                </c:pt>
                <c:pt idx="12">
                  <c:v>45966</c:v>
                </c:pt>
                <c:pt idx="13">
                  <c:v>45967</c:v>
                </c:pt>
                <c:pt idx="14">
                  <c:v>45968</c:v>
                </c:pt>
                <c:pt idx="15">
                  <c:v>45969</c:v>
                </c:pt>
                <c:pt idx="16">
                  <c:v>45970</c:v>
                </c:pt>
                <c:pt idx="17">
                  <c:v>45971</c:v>
                </c:pt>
                <c:pt idx="18">
                  <c:v>45972</c:v>
                </c:pt>
              </c:numCache>
            </c:numRef>
          </c:cat>
          <c:val>
            <c:numRef>
              <c:f>TD!$B$26:$B$44</c:f>
              <c:numCache>
                <c:formatCode>_("$"* #,##0.00_);_("$"* \(#,##0.00\);_("$"* "-"??_);_(@_)</c:formatCode>
                <c:ptCount val="19"/>
                <c:pt idx="0">
                  <c:v>197860.74000000008</c:v>
                </c:pt>
                <c:pt idx="1">
                  <c:v>109268.30999999985</c:v>
                </c:pt>
                <c:pt idx="2">
                  <c:v>63304.550000000047</c:v>
                </c:pt>
                <c:pt idx="3">
                  <c:v>180020.50999999995</c:v>
                </c:pt>
                <c:pt idx="4">
                  <c:v>53042.85000000002</c:v>
                </c:pt>
                <c:pt idx="5">
                  <c:v>102194.1500000001</c:v>
                </c:pt>
                <c:pt idx="6">
                  <c:v>98161.89999999998</c:v>
                </c:pt>
                <c:pt idx="7">
                  <c:v>97565.379999999932</c:v>
                </c:pt>
                <c:pt idx="8">
                  <c:v>78948.27</c:v>
                </c:pt>
                <c:pt idx="9">
                  <c:v>119389.34000000001</c:v>
                </c:pt>
                <c:pt idx="10">
                  <c:v>152819.68000000011</c:v>
                </c:pt>
                <c:pt idx="11">
                  <c:v>178490.76000000021</c:v>
                </c:pt>
                <c:pt idx="12">
                  <c:v>158863.05000000013</c:v>
                </c:pt>
                <c:pt idx="13">
                  <c:v>188025.32000000021</c:v>
                </c:pt>
                <c:pt idx="14">
                  <c:v>163659.86000000016</c:v>
                </c:pt>
                <c:pt idx="15">
                  <c:v>115400.53000000012</c:v>
                </c:pt>
                <c:pt idx="16">
                  <c:v>116862.46000000015</c:v>
                </c:pt>
                <c:pt idx="17">
                  <c:v>148456.44000000021</c:v>
                </c:pt>
                <c:pt idx="18">
                  <c:v>145712.21000000014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D6-4128-B34E-D1A7096924A3}"/>
            </c:ext>
          </c:extLst>
        </c:ser>
        <c:ser>
          <c:idx val="2"/>
          <c:order val="1"/>
          <c:tx>
            <c:strRef>
              <c:f>TD!$F$25</c:f>
              <c:strCache>
                <c:ptCount val="1"/>
                <c:pt idx="0">
                  <c:v>Venta dinámica simulada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TD!$A$26:$A$44</c:f>
              <c:numCache>
                <c:formatCode>m/d/yyyy</c:formatCode>
                <c:ptCount val="19"/>
                <c:pt idx="0">
                  <c:v>45954</c:v>
                </c:pt>
                <c:pt idx="1">
                  <c:v>45955</c:v>
                </c:pt>
                <c:pt idx="2">
                  <c:v>45956</c:v>
                </c:pt>
                <c:pt idx="3">
                  <c:v>45957</c:v>
                </c:pt>
                <c:pt idx="4">
                  <c:v>45958</c:v>
                </c:pt>
                <c:pt idx="5">
                  <c:v>45959</c:v>
                </c:pt>
                <c:pt idx="6">
                  <c:v>45960</c:v>
                </c:pt>
                <c:pt idx="7">
                  <c:v>45961</c:v>
                </c:pt>
                <c:pt idx="8">
                  <c:v>45962</c:v>
                </c:pt>
                <c:pt idx="9">
                  <c:v>45963</c:v>
                </c:pt>
                <c:pt idx="10">
                  <c:v>45964</c:v>
                </c:pt>
                <c:pt idx="11">
                  <c:v>45965</c:v>
                </c:pt>
                <c:pt idx="12">
                  <c:v>45966</c:v>
                </c:pt>
                <c:pt idx="13">
                  <c:v>45967</c:v>
                </c:pt>
                <c:pt idx="14">
                  <c:v>45968</c:v>
                </c:pt>
                <c:pt idx="15">
                  <c:v>45969</c:v>
                </c:pt>
                <c:pt idx="16">
                  <c:v>45970</c:v>
                </c:pt>
                <c:pt idx="17">
                  <c:v>45971</c:v>
                </c:pt>
                <c:pt idx="18">
                  <c:v>45972</c:v>
                </c:pt>
              </c:numCache>
            </c:numRef>
          </c:cat>
          <c:val>
            <c:numRef>
              <c:f>TD!$F$26:$F$44</c:f>
              <c:numCache>
                <c:formatCode>_("$"* #,##0.00_);_("$"* \(#,##0.00\);_("$"* "-"??_);_(@_)</c:formatCode>
                <c:ptCount val="19"/>
                <c:pt idx="0">
                  <c:v>199773.43573079744</c:v>
                </c:pt>
                <c:pt idx="1">
                  <c:v>110228.50650698019</c:v>
                </c:pt>
                <c:pt idx="2">
                  <c:v>63935.459451611358</c:v>
                </c:pt>
                <c:pt idx="3">
                  <c:v>181813.86390699868</c:v>
                </c:pt>
                <c:pt idx="4">
                  <c:v>53543.417208139297</c:v>
                </c:pt>
                <c:pt idx="5">
                  <c:v>103322.42495480429</c:v>
                </c:pt>
                <c:pt idx="6">
                  <c:v>99266.736966990225</c:v>
                </c:pt>
                <c:pt idx="7">
                  <c:v>98958.496841615241</c:v>
                </c:pt>
                <c:pt idx="8">
                  <c:v>80128.493888273297</c:v>
                </c:pt>
                <c:pt idx="9">
                  <c:v>121271.95876180404</c:v>
                </c:pt>
                <c:pt idx="10">
                  <c:v>154829.71974354365</c:v>
                </c:pt>
                <c:pt idx="11">
                  <c:v>180480.48333507037</c:v>
                </c:pt>
                <c:pt idx="12">
                  <c:v>160778.06807386942</c:v>
                </c:pt>
                <c:pt idx="13">
                  <c:v>190248.46697446945</c:v>
                </c:pt>
                <c:pt idx="14">
                  <c:v>165487.26319330855</c:v>
                </c:pt>
                <c:pt idx="15">
                  <c:v>116776.53567914519</c:v>
                </c:pt>
                <c:pt idx="16">
                  <c:v>118569.48082768428</c:v>
                </c:pt>
                <c:pt idx="17">
                  <c:v>150511.57927243531</c:v>
                </c:pt>
                <c:pt idx="18" formatCode="General">
                  <c:v>147377.28125292331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D6-4128-B34E-D1A709692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767120"/>
        <c:axId val="1905776272"/>
      </c:lineChart>
      <c:dateAx>
        <c:axId val="19057671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5776272"/>
        <c:crosses val="autoZero"/>
        <c:auto val="1"/>
        <c:lblOffset val="100"/>
        <c:baseTimeUnit val="days"/>
      </c:dateAx>
      <c:valAx>
        <c:axId val="1905776272"/>
        <c:scaling>
          <c:orientation val="minMax"/>
          <c:min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576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 real</a:t>
            </a:r>
            <a:r>
              <a:rPr lang="es-MX" baseline="0"/>
              <a:t> vs venta dinámica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TD!$B$25</c:f>
              <c:strCache>
                <c:ptCount val="1"/>
                <c:pt idx="0">
                  <c:v>$ Venta 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TD!$A$26:$A$44</c:f>
              <c:numCache>
                <c:formatCode>m/d/yyyy</c:formatCode>
                <c:ptCount val="19"/>
                <c:pt idx="0">
                  <c:v>45954</c:v>
                </c:pt>
                <c:pt idx="1">
                  <c:v>45955</c:v>
                </c:pt>
                <c:pt idx="2">
                  <c:v>45956</c:v>
                </c:pt>
                <c:pt idx="3">
                  <c:v>45957</c:v>
                </c:pt>
                <c:pt idx="4">
                  <c:v>45958</c:v>
                </c:pt>
                <c:pt idx="5">
                  <c:v>45959</c:v>
                </c:pt>
                <c:pt idx="6">
                  <c:v>45960</c:v>
                </c:pt>
                <c:pt idx="7">
                  <c:v>45961</c:v>
                </c:pt>
                <c:pt idx="8">
                  <c:v>45962</c:v>
                </c:pt>
                <c:pt idx="9">
                  <c:v>45963</c:v>
                </c:pt>
                <c:pt idx="10">
                  <c:v>45964</c:v>
                </c:pt>
                <c:pt idx="11">
                  <c:v>45965</c:v>
                </c:pt>
                <c:pt idx="12">
                  <c:v>45966</c:v>
                </c:pt>
                <c:pt idx="13">
                  <c:v>45967</c:v>
                </c:pt>
                <c:pt idx="14">
                  <c:v>45968</c:v>
                </c:pt>
                <c:pt idx="15">
                  <c:v>45969</c:v>
                </c:pt>
                <c:pt idx="16">
                  <c:v>45970</c:v>
                </c:pt>
                <c:pt idx="17">
                  <c:v>45971</c:v>
                </c:pt>
                <c:pt idx="18">
                  <c:v>45972</c:v>
                </c:pt>
              </c:numCache>
            </c:numRef>
          </c:xVal>
          <c:yVal>
            <c:numRef>
              <c:f>TD!$B$26:$B$44</c:f>
              <c:numCache>
                <c:formatCode>_("$"* #,##0.00_);_("$"* \(#,##0.00\);_("$"* "-"??_);_(@_)</c:formatCode>
                <c:ptCount val="19"/>
                <c:pt idx="0">
                  <c:v>197860.74000000008</c:v>
                </c:pt>
                <c:pt idx="1">
                  <c:v>109268.30999999985</c:v>
                </c:pt>
                <c:pt idx="2">
                  <c:v>63304.550000000047</c:v>
                </c:pt>
                <c:pt idx="3">
                  <c:v>180020.50999999995</c:v>
                </c:pt>
                <c:pt idx="4">
                  <c:v>53042.85000000002</c:v>
                </c:pt>
                <c:pt idx="5">
                  <c:v>102194.1500000001</c:v>
                </c:pt>
                <c:pt idx="6">
                  <c:v>98161.89999999998</c:v>
                </c:pt>
                <c:pt idx="7">
                  <c:v>97565.379999999932</c:v>
                </c:pt>
                <c:pt idx="8">
                  <c:v>78948.27</c:v>
                </c:pt>
                <c:pt idx="9">
                  <c:v>119389.34000000001</c:v>
                </c:pt>
                <c:pt idx="10">
                  <c:v>152819.68000000011</c:v>
                </c:pt>
                <c:pt idx="11">
                  <c:v>178490.76000000021</c:v>
                </c:pt>
                <c:pt idx="12">
                  <c:v>158863.05000000013</c:v>
                </c:pt>
                <c:pt idx="13">
                  <c:v>188025.32000000021</c:v>
                </c:pt>
                <c:pt idx="14">
                  <c:v>163659.86000000016</c:v>
                </c:pt>
                <c:pt idx="15">
                  <c:v>115400.53000000012</c:v>
                </c:pt>
                <c:pt idx="16">
                  <c:v>116862.46000000015</c:v>
                </c:pt>
                <c:pt idx="17">
                  <c:v>148456.44000000021</c:v>
                </c:pt>
                <c:pt idx="18">
                  <c:v>145712.21000000014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FE-4855-B6D6-C4AF5855EB45}"/>
            </c:ext>
          </c:extLst>
        </c:ser>
        <c:ser>
          <c:idx val="1"/>
          <c:order val="1"/>
          <c:tx>
            <c:strRef>
              <c:f>TD!$C$25</c:f>
              <c:strCache>
                <c:ptCount val="1"/>
                <c:pt idx="0">
                  <c:v>$ Venta dinámica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TD!$A$26:$A$44</c:f>
              <c:numCache>
                <c:formatCode>m/d/yyyy</c:formatCode>
                <c:ptCount val="19"/>
                <c:pt idx="0">
                  <c:v>45954</c:v>
                </c:pt>
                <c:pt idx="1">
                  <c:v>45955</c:v>
                </c:pt>
                <c:pt idx="2">
                  <c:v>45956</c:v>
                </c:pt>
                <c:pt idx="3">
                  <c:v>45957</c:v>
                </c:pt>
                <c:pt idx="4">
                  <c:v>45958</c:v>
                </c:pt>
                <c:pt idx="5">
                  <c:v>45959</c:v>
                </c:pt>
                <c:pt idx="6">
                  <c:v>45960</c:v>
                </c:pt>
                <c:pt idx="7">
                  <c:v>45961</c:v>
                </c:pt>
                <c:pt idx="8">
                  <c:v>45962</c:v>
                </c:pt>
                <c:pt idx="9">
                  <c:v>45963</c:v>
                </c:pt>
                <c:pt idx="10">
                  <c:v>45964</c:v>
                </c:pt>
                <c:pt idx="11">
                  <c:v>45965</c:v>
                </c:pt>
                <c:pt idx="12">
                  <c:v>45966</c:v>
                </c:pt>
                <c:pt idx="13">
                  <c:v>45967</c:v>
                </c:pt>
                <c:pt idx="14">
                  <c:v>45968</c:v>
                </c:pt>
                <c:pt idx="15">
                  <c:v>45969</c:v>
                </c:pt>
                <c:pt idx="16">
                  <c:v>45970</c:v>
                </c:pt>
                <c:pt idx="17">
                  <c:v>45971</c:v>
                </c:pt>
                <c:pt idx="18">
                  <c:v>45972</c:v>
                </c:pt>
              </c:numCache>
            </c:numRef>
          </c:xVal>
          <c:yVal>
            <c:numRef>
              <c:f>TD!$C$26:$C$44</c:f>
              <c:numCache>
                <c:formatCode>_("$"* #,##0.00_);_("$"* \(#,##0.00\);_("$"* "-"??_);_(@_)</c:formatCode>
                <c:ptCount val="19"/>
                <c:pt idx="0">
                  <c:v>191642</c:v>
                </c:pt>
                <c:pt idx="1">
                  <c:v>106190.5</c:v>
                </c:pt>
                <c:pt idx="2">
                  <c:v>61243</c:v>
                </c:pt>
                <c:pt idx="3">
                  <c:v>174161</c:v>
                </c:pt>
                <c:pt idx="4">
                  <c:v>51421.5</c:v>
                </c:pt>
                <c:pt idx="5">
                  <c:v>98438</c:v>
                </c:pt>
                <c:pt idx="6">
                  <c:v>94469.5</c:v>
                </c:pt>
                <c:pt idx="7">
                  <c:v>92617</c:v>
                </c:pt>
                <c:pt idx="8">
                  <c:v>74690.5</c:v>
                </c:pt>
                <c:pt idx="9">
                  <c:v>112458.5</c:v>
                </c:pt>
                <c:pt idx="10">
                  <c:v>145851</c:v>
                </c:pt>
                <c:pt idx="11">
                  <c:v>171854</c:v>
                </c:pt>
                <c:pt idx="12">
                  <c:v>152367</c:v>
                </c:pt>
                <c:pt idx="13">
                  <c:v>180517</c:v>
                </c:pt>
                <c:pt idx="14">
                  <c:v>157562.5</c:v>
                </c:pt>
                <c:pt idx="15">
                  <c:v>110744.5</c:v>
                </c:pt>
                <c:pt idx="16">
                  <c:v>110753.5</c:v>
                </c:pt>
                <c:pt idx="17">
                  <c:v>141226.5</c:v>
                </c:pt>
                <c:pt idx="18">
                  <c:v>140130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FE-4855-B6D6-C4AF5855E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071135"/>
        <c:axId val="1066071551"/>
      </c:scatterChart>
      <c:valAx>
        <c:axId val="106607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6071551"/>
        <c:crosses val="autoZero"/>
        <c:crossBetween val="midCat"/>
      </c:valAx>
      <c:valAx>
        <c:axId val="106607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6071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784747</xdr:colOff>
      <xdr:row>43</xdr:row>
      <xdr:rowOff>64825</xdr:rowOff>
    </xdr:from>
    <xdr:to>
      <xdr:col>12</xdr:col>
      <xdr:colOff>812043</xdr:colOff>
      <xdr:row>61</xdr:row>
      <xdr:rowOff>75062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788157</xdr:colOff>
      <xdr:row>23</xdr:row>
      <xdr:rowOff>81886</xdr:rowOff>
    </xdr:from>
    <xdr:to>
      <xdr:col>12</xdr:col>
      <xdr:colOff>1030404</xdr:colOff>
      <xdr:row>41</xdr:row>
      <xdr:rowOff>129653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341193</xdr:colOff>
      <xdr:row>46</xdr:row>
      <xdr:rowOff>51178</xdr:rowOff>
    </xdr:from>
    <xdr:to>
      <xdr:col>5</xdr:col>
      <xdr:colOff>825690</xdr:colOff>
      <xdr:row>62</xdr:row>
      <xdr:rowOff>143301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sus Ivan Coss Calderon" refreshedDate="45973.597542708332" createdVersion="6" refreshedVersion="6" minRefreshableVersion="3" recordCount="2310">
  <cacheSource type="worksheet">
    <worksheetSource name="Tabla1"/>
  </cacheSource>
  <cacheFields count="18">
    <cacheField name="FECHA_OPERACION" numFmtId="14">
      <sharedItems containsSemiMixedTypes="0" containsNonDate="0" containsDate="1" containsString="0" minDate="2025-10-24T00:00:00" maxDate="2025-11-13T00:00:00" count="20"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</sharedItems>
    </cacheField>
    <cacheField name="NOMBRE_PASAJERO" numFmtId="0">
      <sharedItems/>
    </cacheField>
    <cacheField name="NUM_ASIENTO" numFmtId="0">
      <sharedItems containsSemiMixedTypes="0" containsString="0" containsNumber="1" containsInteger="1" minValue="1" maxValue="36"/>
    </cacheField>
    <cacheField name="CAPACIDAD_ASIENTOS_TRAMO" numFmtId="0">
      <sharedItems containsSemiMixedTypes="0" containsString="0" containsNumber="1" containsInteger="1" minValue="27" maxValue="36"/>
    </cacheField>
    <cacheField name="HORA_SALIDA_CORRIDA" numFmtId="22">
      <sharedItems containsSemiMixedTypes="0" containsNonDate="0" containsDate="1" containsString="0" minDate="1899-12-31T02:00:00" maxDate="1899-12-31T23:59:00"/>
    </cacheField>
    <cacheField name="EMAIL" numFmtId="0">
      <sharedItems/>
    </cacheField>
    <cacheField name="Cluster" numFmtId="0">
      <sharedItems containsSemiMixedTypes="0" containsString="0" containsNumber="1" containsInteger="1" minValue="0" maxValue="5" count="6">
        <n v="0"/>
        <n v="3"/>
        <n v="4"/>
        <n v="5"/>
        <n v="2"/>
        <n v="1"/>
      </sharedItems>
    </cacheField>
    <cacheField name="TARIFA DINAMICA" numFmtId="0">
      <sharedItems containsSemiMixedTypes="0" containsString="0" containsNumber="1" minValue="1078.5189" maxValue="1081.7528"/>
    </cacheField>
    <cacheField name="%_Tarifa Personalizada" numFmtId="0">
      <sharedItems containsSemiMixedTypes="0" containsString="0" containsNumber="1" minValue="0" maxValue="10"/>
    </cacheField>
    <cacheField name="TARIFA_BASE_TRAMO" numFmtId="0">
      <sharedItems containsSemiMixedTypes="0" containsString="0" containsNumber="1" minValue="1163.79" maxValue="1163.79"/>
    </cacheField>
    <cacheField name="Delta_Q" numFmtId="0">
      <sharedItems containsSemiMixedTypes="0" containsString="0" containsNumber="1" minValue="0" maxValue="7.8322667998831603"/>
    </cacheField>
    <cacheField name="VENTA_TOTAL" numFmtId="0">
      <sharedItems containsSemiMixedTypes="0" containsString="0" containsNumber="1" minValue="601.29" maxValue="1237.07"/>
    </cacheField>
    <cacheField name="TIPO_PASAJERO" numFmtId="0">
      <sharedItems/>
    </cacheField>
    <cacheField name="BOLETOS_VEND" numFmtId="0">
      <sharedItems containsSemiMixedTypes="0" containsString="0" containsNumber="1" containsInteger="1" minValue="1" maxValue="1"/>
    </cacheField>
    <cacheField name="Precio final con IVA" numFmtId="0">
      <sharedItems containsSemiMixedTypes="0" containsString="0" containsNumber="1" containsInteger="1" minValue="1251" maxValue="1363"/>
    </cacheField>
    <cacheField name="Precio final sin IVA" numFmtId="0">
      <sharedItems containsSemiMixedTypes="0" containsString="0" containsNumber="1" containsInteger="1" minValue="1079" maxValue="1190"/>
    </cacheField>
    <cacheField name="Descuento" numFmtId="0">
      <sharedItems containsSemiMixedTypes="0" containsString="0" containsNumber="1" minValue="0" maxValue="0.5"/>
    </cacheField>
    <cacheField name="Precio a consumidor" numFmtId="0">
      <sharedItems containsSemiMixedTypes="0" containsString="0" containsNumber="1" minValue="539.5" maxValue="1186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10">
  <r>
    <x v="0"/>
    <s v="PEDRO CHAVEZ SANDOVAL"/>
    <n v="10"/>
    <n v="36"/>
    <d v="1899-12-31T02:00:00"/>
    <s v="LIZMIR8@OUTLOOK.COM"/>
    <x v="0"/>
    <n v="1081.4202"/>
    <n v="2.5"/>
    <n v="1163.79"/>
    <n v="1.9580666999707901"/>
    <n v="609.91"/>
    <s v="NI"/>
    <n v="1"/>
    <n v="1281"/>
    <n v="1108"/>
    <n v="0.5"/>
    <n v="554"/>
  </r>
  <r>
    <x v="0"/>
    <s v="ALICIA ROLDAN GARCIA"/>
    <n v="8"/>
    <n v="36"/>
    <d v="1899-12-31T02:00:00"/>
    <s v="alicia.roldan.garcia@ejemplo.com"/>
    <x v="1"/>
    <n v="1081.4553000000001"/>
    <n v="10"/>
    <n v="1163.79"/>
    <n v="7.8322667998831603"/>
    <n v="609.91"/>
    <s v="NI"/>
    <n v="1"/>
    <n v="1363"/>
    <n v="1190"/>
    <n v="0.5"/>
    <n v="595"/>
  </r>
  <r>
    <x v="0"/>
    <s v="GLORIA MIRANDA DURAN"/>
    <n v="9"/>
    <n v="36"/>
    <d v="1899-12-31T02:00:00"/>
    <s v="gloria.miranda.duran@ejemplo.com"/>
    <x v="1"/>
    <n v="1081.4374"/>
    <n v="10"/>
    <n v="1163.79"/>
    <n v="7.8322667998831603"/>
    <n v="609.91"/>
    <s v="NI"/>
    <n v="1"/>
    <n v="1363"/>
    <n v="1190"/>
    <n v="0.5"/>
    <n v="595"/>
  </r>
  <r>
    <x v="0"/>
    <s v="MARCELO MIRANDA"/>
    <n v="11"/>
    <n v="36"/>
    <d v="1899-12-31T02:00:00"/>
    <s v="marcelo.miranda@ejemplo.com"/>
    <x v="2"/>
    <n v="1081.4014999999999"/>
    <n v="7"/>
    <n v="1163.79"/>
    <n v="5.4825867599182097"/>
    <n v="1219.83"/>
    <s v="AD"/>
    <n v="1"/>
    <n v="1330"/>
    <n v="1157"/>
    <n v="0"/>
    <n v="1157"/>
  </r>
  <r>
    <x v="0"/>
    <s v="IGNACIO MIRANDA"/>
    <n v="12"/>
    <n v="36"/>
    <d v="1899-12-31T02:00:00"/>
    <s v="ignacio.miranda@ejemplo.com"/>
    <x v="2"/>
    <n v="1081.3833999999999"/>
    <n v="7"/>
    <n v="1163.79"/>
    <n v="5.4825867599182097"/>
    <n v="1219.83"/>
    <s v="AD"/>
    <n v="1"/>
    <n v="1330"/>
    <n v="1157"/>
    <n v="0"/>
    <n v="1157"/>
  </r>
  <r>
    <x v="0"/>
    <s v="ALEXIS MARCELO"/>
    <n v="22"/>
    <n v="36"/>
    <d v="1899-12-31T02:00:00"/>
    <s v="alexis.marcelo@ejemplo.com"/>
    <x v="2"/>
    <n v="1081.0712000000001"/>
    <n v="7"/>
    <n v="1163.79"/>
    <n v="5.4825867599182097"/>
    <n v="1219.83"/>
    <s v="AD"/>
    <n v="1"/>
    <n v="1330"/>
    <n v="1157"/>
    <n v="0"/>
    <n v="1157"/>
  </r>
  <r>
    <x v="0"/>
    <s v="MARIA BARBARA MIRANDA"/>
    <n v="23"/>
    <n v="36"/>
    <d v="1899-12-31T02:00:00"/>
    <s v="maria.barbara.miranda@ejemplo.com"/>
    <x v="2"/>
    <n v="1081.0531000000001"/>
    <n v="7"/>
    <n v="1163.79"/>
    <n v="5.4825867599182097"/>
    <n v="1219.83"/>
    <s v="AD"/>
    <n v="1"/>
    <n v="1330"/>
    <n v="1157"/>
    <n v="0"/>
    <n v="1157"/>
  </r>
  <r>
    <x v="0"/>
    <s v="RAFAEL MARCELO"/>
    <n v="25"/>
    <n v="36"/>
    <d v="1899-12-31T02:00:00"/>
    <s v="rafael.marcelo@ejemplo.com"/>
    <x v="2"/>
    <n v="1081.0171"/>
    <n v="7"/>
    <n v="1163.79"/>
    <n v="5.4825867599182097"/>
    <n v="1219.83"/>
    <s v="AD"/>
    <n v="1"/>
    <n v="1330"/>
    <n v="1157"/>
    <n v="0"/>
    <n v="1157"/>
  </r>
  <r>
    <x v="0"/>
    <s v="DIANA MARCELO"/>
    <n v="26"/>
    <n v="36"/>
    <d v="1899-12-31T02:00:00"/>
    <s v="diana.marcelo@ejemplo.com"/>
    <x v="2"/>
    <n v="1080.9992999999999"/>
    <n v="7"/>
    <n v="1163.79"/>
    <n v="5.4825867599182097"/>
    <n v="1219.83"/>
    <s v="AD"/>
    <n v="1"/>
    <n v="1330"/>
    <n v="1157"/>
    <n v="0"/>
    <n v="1157"/>
  </r>
  <r>
    <x v="0"/>
    <s v="XIMENA MARCELO"/>
    <n v="28"/>
    <n v="36"/>
    <d v="1899-12-31T02:00:00"/>
    <s v="ximena.marcelo@ejemplo.com"/>
    <x v="2"/>
    <n v="1080.9632999999999"/>
    <n v="7"/>
    <n v="1163.79"/>
    <n v="5.4825867599182097"/>
    <n v="1219.83"/>
    <s v="AD"/>
    <n v="1"/>
    <n v="1330"/>
    <n v="1157"/>
    <n v="0"/>
    <n v="1157"/>
  </r>
  <r>
    <x v="0"/>
    <s v="LUIS COTTO"/>
    <n v="32"/>
    <n v="36"/>
    <d v="1899-12-31T02:00:00"/>
    <s v="luis.cotto@ejemplo.com"/>
    <x v="2"/>
    <n v="1080.8914"/>
    <n v="7"/>
    <n v="1163.79"/>
    <n v="5.4825867599182097"/>
    <n v="1219.83"/>
    <s v="AD"/>
    <n v="1"/>
    <n v="1329"/>
    <n v="1157"/>
    <n v="0"/>
    <n v="1157"/>
  </r>
  <r>
    <x v="0"/>
    <s v="EMMANUEL  MONROY FONSECA"/>
    <n v="30"/>
    <n v="36"/>
    <d v="1899-12-31T02:00:00"/>
    <s v="emmanuel..monroy.fonseca@ejemplo.com"/>
    <x v="0"/>
    <n v="1080.9272000000001"/>
    <n v="2.5"/>
    <n v="1163.79"/>
    <n v="1.9580666999707901"/>
    <n v="975.86"/>
    <s v="PE"/>
    <n v="1"/>
    <n v="1281"/>
    <n v="1108"/>
    <n v="0"/>
    <n v="1108"/>
  </r>
  <r>
    <x v="0"/>
    <s v="VICTOR MANUEL MONROY NORIEGA"/>
    <n v="31"/>
    <n v="36"/>
    <d v="1899-12-31T02:00:00"/>
    <s v="victor.manuel.monroy.noriega@ejemplo.com"/>
    <x v="0"/>
    <n v="1080.9094"/>
    <n v="2.5"/>
    <n v="1163.79"/>
    <n v="1.9580666999707901"/>
    <n v="975.86"/>
    <s v="PE"/>
    <n v="1"/>
    <n v="1281"/>
    <n v="1108"/>
    <n v="0"/>
    <n v="1108"/>
  </r>
  <r>
    <x v="0"/>
    <s v="AHTZIRI LOPEZ RODRIGUEZ"/>
    <n v="27"/>
    <n v="36"/>
    <d v="1899-12-31T02:00:00"/>
    <s v="ahtziri.lopez.rodriguez@ejemplo.com"/>
    <x v="2"/>
    <n v="1080.9811999999999"/>
    <n v="7"/>
    <n v="1163.79"/>
    <n v="5.4825867599182097"/>
    <n v="1219.83"/>
    <s v="AD"/>
    <n v="1"/>
    <n v="1330"/>
    <n v="1157"/>
    <n v="0"/>
    <n v="1157"/>
  </r>
  <r>
    <x v="0"/>
    <s v="EDUARDO GARCIA GARCIA"/>
    <n v="14"/>
    <n v="36"/>
    <d v="1899-12-31T02:00:00"/>
    <s v="eduardo.garcia.garcia@ejemplo.com"/>
    <x v="2"/>
    <n v="1081.3474000000001"/>
    <n v="7"/>
    <n v="1163.79"/>
    <n v="5.4825867599182097"/>
    <n v="1219.83"/>
    <s v="AD"/>
    <n v="1"/>
    <n v="1330"/>
    <n v="1157"/>
    <n v="0"/>
    <n v="1157"/>
  </r>
  <r>
    <x v="0"/>
    <s v="JUAN CARLOS DE SANTIAGO SANCHEZ"/>
    <n v="29"/>
    <n v="36"/>
    <d v="1899-12-31T02:00:00"/>
    <s v="juan.carlos.de.santiago.sanchez@ejemplo.com"/>
    <x v="2"/>
    <n v="1080.9453000000001"/>
    <n v="7"/>
    <n v="1163.79"/>
    <n v="5.4825867599182097"/>
    <n v="1219.83"/>
    <s v="AD"/>
    <n v="1"/>
    <n v="1330"/>
    <n v="1157"/>
    <n v="0"/>
    <n v="1157"/>
  </r>
  <r>
    <x v="0"/>
    <s v="JOSE JUAN ZEFERINO DIAZ"/>
    <n v="18"/>
    <n v="36"/>
    <d v="1899-12-31T06:00:00"/>
    <s v="jose.juan.zeferino.diaz@ejemplo.com"/>
    <x v="3"/>
    <n v="1081.2722000000001"/>
    <n v="0"/>
    <n v="1163.79"/>
    <n v="0"/>
    <n v="975.86"/>
    <s v="PE"/>
    <n v="1"/>
    <n v="1254"/>
    <n v="1081"/>
    <n v="0"/>
    <n v="1081"/>
  </r>
  <r>
    <x v="0"/>
    <s v="ARIADNE DUARTE"/>
    <n v="10"/>
    <n v="36"/>
    <d v="1899-12-31T06:00:00"/>
    <s v="MIRANDAGDL@OUTLOOK.COM"/>
    <x v="3"/>
    <n v="1081.4268"/>
    <n v="0"/>
    <n v="1163.79"/>
    <n v="0"/>
    <n v="1158.79"/>
    <s v="AD"/>
    <n v="1"/>
    <n v="1254"/>
    <n v="1081"/>
    <n v="0"/>
    <n v="1081"/>
  </r>
  <r>
    <x v="0"/>
    <s v="ARIADNE DUARTE"/>
    <n v="10"/>
    <n v="36"/>
    <d v="1899-12-31T06:00:00"/>
    <s v="MIRANDAGDL@OUTLOOK.COM"/>
    <x v="3"/>
    <n v="1081.4268"/>
    <n v="0"/>
    <n v="1163.79"/>
    <n v="0"/>
    <n v="1158.79"/>
    <s v="AD"/>
    <n v="1"/>
    <n v="1254"/>
    <n v="1081"/>
    <n v="0"/>
    <n v="1081"/>
  </r>
  <r>
    <x v="0"/>
    <s v="SALVADOR ISAAC ISLAS"/>
    <n v="4"/>
    <n v="36"/>
    <d v="1899-12-31T06:00:00"/>
    <s v="MIRANDAGDL@OUTLOOK.COM"/>
    <x v="3"/>
    <n v="1081.4021"/>
    <n v="0"/>
    <n v="1163.79"/>
    <n v="0"/>
    <n v="1158.79"/>
    <s v="AD"/>
    <n v="1"/>
    <n v="1254"/>
    <n v="1081"/>
    <n v="0"/>
    <n v="1081"/>
  </r>
  <r>
    <x v="0"/>
    <s v="SALVADOR ISAAC ISLAS"/>
    <n v="4"/>
    <n v="36"/>
    <d v="1899-12-31T06:00:00"/>
    <s v="MIRANDAGDL@OUTLOOK.COM"/>
    <x v="3"/>
    <n v="1081.4021"/>
    <n v="0"/>
    <n v="1163.79"/>
    <n v="0"/>
    <n v="1158.79"/>
    <s v="AD"/>
    <n v="1"/>
    <n v="1254"/>
    <n v="1081"/>
    <n v="0"/>
    <n v="1081"/>
  </r>
  <r>
    <x v="0"/>
    <s v="MARTHA LETICIA PRADES ALCALA"/>
    <n v="35"/>
    <n v="36"/>
    <d v="1899-12-31T06:00:00"/>
    <s v="martha.leticia.prades.alcala@ejemplo.com"/>
    <x v="4"/>
    <n v="1080.8324"/>
    <n v="5"/>
    <n v="1163.79"/>
    <n v="3.9161333999415802"/>
    <n v="601.29"/>
    <s v="IN"/>
    <n v="1"/>
    <n v="1308"/>
    <n v="1135"/>
    <n v="0.5"/>
    <n v="567.5"/>
  </r>
  <r>
    <x v="0"/>
    <s v="JUAN MATA OTERO"/>
    <n v="16"/>
    <n v="36"/>
    <d v="1899-12-31T06:00:00"/>
    <s v="juan.mata.otero@ejemplo.com"/>
    <x v="3"/>
    <n v="1081.3063"/>
    <n v="0"/>
    <n v="1163.79"/>
    <n v="0"/>
    <n v="975.86"/>
    <s v="PE"/>
    <n v="1"/>
    <n v="1254"/>
    <n v="1081"/>
    <n v="0"/>
    <n v="1081"/>
  </r>
  <r>
    <x v="0"/>
    <s v="URIEL GONZALEZ REYES"/>
    <n v="9"/>
    <n v="36"/>
    <d v="1899-12-31T23:10:00"/>
    <s v="uriel.gonzalez.reyes@ejemplo.com"/>
    <x v="1"/>
    <n v="1081.2012"/>
    <n v="10"/>
    <n v="1163.79"/>
    <n v="7.8322667998831603"/>
    <n v="609.91"/>
    <s v="NI"/>
    <n v="1"/>
    <n v="1362"/>
    <n v="1189"/>
    <n v="0.5"/>
    <n v="594.5"/>
  </r>
  <r>
    <x v="0"/>
    <s v="RUTH  FLORES"/>
    <n v="8"/>
    <n v="36"/>
    <d v="1899-12-31T23:10:00"/>
    <s v="ruth..flores@ejemplo.com"/>
    <x v="5"/>
    <n v="1081.2194"/>
    <n v="8.5"/>
    <n v="1163.79"/>
    <n v="6.6574267799006801"/>
    <n v="1219.83"/>
    <s v="AD"/>
    <n v="1"/>
    <n v="1346"/>
    <n v="1173"/>
    <n v="0"/>
    <n v="1173"/>
  </r>
  <r>
    <x v="0"/>
    <s v="MITSHUE ROBLES"/>
    <n v="7"/>
    <n v="36"/>
    <d v="1899-12-31T23:30:00"/>
    <s v="mitshue.robles@ejemplo.com"/>
    <x v="2"/>
    <n v="1081.1703"/>
    <n v="7"/>
    <n v="1163.79"/>
    <n v="5.4825867599182097"/>
    <n v="1202.5899999999999"/>
    <s v="AD"/>
    <n v="1"/>
    <n v="1330"/>
    <n v="1157"/>
    <n v="0"/>
    <n v="1157"/>
  </r>
  <r>
    <x v="0"/>
    <s v="SONIIAESCOBAR"/>
    <n v="14"/>
    <n v="36"/>
    <d v="1899-12-31T11:00:00"/>
    <s v="soniiaescobar@ejemplo.com"/>
    <x v="5"/>
    <n v="1081.3502000000001"/>
    <n v="8.5"/>
    <n v="1163.79"/>
    <n v="6.6574267799006801"/>
    <n v="1219.83"/>
    <s v="AD"/>
    <n v="1"/>
    <n v="1346"/>
    <n v="1173"/>
    <n v="0"/>
    <n v="1173"/>
  </r>
  <r>
    <x v="0"/>
    <s v="LETICIARAMIREZ ESCOBAR"/>
    <n v="15"/>
    <n v="36"/>
    <d v="1899-12-31T11:00:00"/>
    <s v="leticiaramirez.escobar@ejemplo.com"/>
    <x v="5"/>
    <n v="1081.3322000000001"/>
    <n v="8.5"/>
    <n v="1163.79"/>
    <n v="6.6574267799006801"/>
    <n v="1219.83"/>
    <s v="AD"/>
    <n v="1"/>
    <n v="1346"/>
    <n v="1173"/>
    <n v="0"/>
    <n v="1173"/>
  </r>
  <r>
    <x v="0"/>
    <s v="DULCE MARIA CORTEZ AVILA"/>
    <n v="3"/>
    <n v="36"/>
    <d v="1899-12-31T11:00:00"/>
    <s v="dulce.maria.cortez.avila@ejemplo.com"/>
    <x v="5"/>
    <n v="1081.5346999999999"/>
    <n v="8.5"/>
    <n v="1163.79"/>
    <n v="6.6574267799006801"/>
    <n v="1219.83"/>
    <s v="AD"/>
    <n v="1"/>
    <n v="1347"/>
    <n v="1173"/>
    <n v="0"/>
    <n v="1173"/>
  </r>
  <r>
    <x v="0"/>
    <s v="MANUEL LUNA RODRÃGUEZ"/>
    <n v="31"/>
    <n v="36"/>
    <d v="1899-12-31T11:00:00"/>
    <s v="LUNAROD9292@GMAIL.COM"/>
    <x v="3"/>
    <n v="1080.9103"/>
    <n v="0"/>
    <n v="1163.79"/>
    <n v="0"/>
    <n v="609.91"/>
    <s v="OD"/>
    <n v="1"/>
    <n v="1254"/>
    <n v="1081"/>
    <n v="0.5"/>
    <n v="540.5"/>
  </r>
  <r>
    <x v="0"/>
    <s v="JUAN  DAVID  FUENTES  MONSALVE"/>
    <n v="26"/>
    <n v="36"/>
    <d v="1899-12-31T11:00:00"/>
    <s v="juan..david..fuentes..monsalve@ejemplo.com"/>
    <x v="5"/>
    <n v="1080.9931999999999"/>
    <n v="8.5"/>
    <n v="1163.79"/>
    <n v="6.6574267799006801"/>
    <n v="1219.83"/>
    <s v="AD"/>
    <n v="1"/>
    <n v="1346"/>
    <n v="1173"/>
    <n v="0"/>
    <n v="1173"/>
  </r>
  <r>
    <x v="0"/>
    <s v="JESSICA FIEGUEROA"/>
    <n v="33"/>
    <n v="36"/>
    <d v="1899-12-31T11:00:00"/>
    <s v="jessica.fiegueroa@ejemplo.com"/>
    <x v="5"/>
    <n v="1080.8744999999999"/>
    <n v="8.5"/>
    <n v="1163.79"/>
    <n v="6.6574267799006801"/>
    <n v="1219.83"/>
    <s v="AD"/>
    <n v="1"/>
    <n v="1346"/>
    <n v="1173"/>
    <n v="0"/>
    <n v="1173"/>
  </r>
  <r>
    <x v="0"/>
    <s v="MAURICIO BARBOSA PÃ‰REZ"/>
    <n v="10"/>
    <n v="36"/>
    <d v="1899-12-31T06:00:00"/>
    <s v="VICTORIA@FPT.COM.MX"/>
    <x v="0"/>
    <n v="1081.5741"/>
    <n v="2.5"/>
    <n v="1163.79"/>
    <n v="1.9580666999707901"/>
    <n v="1158.79"/>
    <s v="AD"/>
    <n v="1"/>
    <n v="1282"/>
    <n v="1109"/>
    <n v="0"/>
    <n v="1109"/>
  </r>
  <r>
    <x v="0"/>
    <s v="GUSTAVO LOZANO"/>
    <n v="29"/>
    <n v="36"/>
    <d v="1899-12-31T11:00:00"/>
    <s v="gustavo.lozano@ejemplo.com"/>
    <x v="5"/>
    <n v="1080.9392"/>
    <n v="8.5"/>
    <n v="1163.79"/>
    <n v="6.6574267799006801"/>
    <n v="1219.83"/>
    <s v="AD"/>
    <n v="1"/>
    <n v="1346"/>
    <n v="1173"/>
    <n v="0"/>
    <n v="1173"/>
  </r>
  <r>
    <x v="0"/>
    <s v="JUAN RICARDO MEDINA"/>
    <n v="8"/>
    <n v="36"/>
    <d v="1899-12-31T11:00:00"/>
    <s v="juan.ricardo.medina@ejemplo.com"/>
    <x v="5"/>
    <n v="1081.4438"/>
    <n v="8.5"/>
    <n v="1163.79"/>
    <n v="6.6574267799006801"/>
    <n v="1202.5899999999999"/>
    <s v="AD"/>
    <n v="1"/>
    <n v="1346"/>
    <n v="1173"/>
    <n v="0"/>
    <n v="1173"/>
  </r>
  <r>
    <x v="0"/>
    <s v="CYNTHIA PADILLA"/>
    <n v="22"/>
    <n v="36"/>
    <d v="1899-12-31T11:00:00"/>
    <s v="cynthia.padilla@ejemplo.com"/>
    <x v="5"/>
    <n v="1081.0651"/>
    <n v="8.5"/>
    <n v="1163.79"/>
    <n v="6.6574267799006801"/>
    <n v="1219.83"/>
    <s v="AD"/>
    <n v="1"/>
    <n v="1346"/>
    <n v="1173"/>
    <n v="0"/>
    <n v="1173"/>
  </r>
  <r>
    <x v="0"/>
    <s v="JUAN ANTONIO LOZANO"/>
    <n v="25"/>
    <n v="36"/>
    <d v="1899-12-31T11:00:00"/>
    <s v="juan.antonio.lozano@ejemplo.com"/>
    <x v="5"/>
    <n v="1081.0111999999999"/>
    <n v="8.5"/>
    <n v="1163.79"/>
    <n v="6.6574267799006801"/>
    <n v="1219.83"/>
    <s v="AD"/>
    <n v="1"/>
    <n v="1346"/>
    <n v="1173"/>
    <n v="0"/>
    <n v="1173"/>
  </r>
  <r>
    <x v="0"/>
    <s v="VÃCTOR HUGO HERRERA CASTILLO"/>
    <n v="27"/>
    <n v="36"/>
    <d v="1899-12-31T23:59:00"/>
    <s v="LUIS.CASTILLO117MX@GMAIL.COM"/>
    <x v="0"/>
    <n v="1080.7554"/>
    <n v="2.5"/>
    <n v="1163.79"/>
    <n v="1.9580666999707901"/>
    <n v="1158.79"/>
    <s v="AD"/>
    <n v="1"/>
    <n v="1281"/>
    <n v="1108"/>
    <n v="0"/>
    <n v="1108"/>
  </r>
  <r>
    <x v="0"/>
    <s v="CESAR EDUARDO MORENO RODRIGUEZ"/>
    <n v="36"/>
    <n v="36"/>
    <d v="1899-12-31T23:10:00"/>
    <s v="HIERVAMALA18@GMAIL.COM"/>
    <x v="3"/>
    <n v="1080.5926999999999"/>
    <n v="0"/>
    <n v="1163.79"/>
    <n v="0"/>
    <n v="1158.79"/>
    <s v="AD"/>
    <n v="1"/>
    <n v="1253"/>
    <n v="1081"/>
    <n v="0"/>
    <n v="1081"/>
  </r>
  <r>
    <x v="0"/>
    <s v="YOULIANG WUU WU"/>
    <n v="3"/>
    <n v="36"/>
    <d v="1899-12-31T23:59:00"/>
    <s v="ETNPASES@GMAIL.COM"/>
    <x v="2"/>
    <n v="1079.2737"/>
    <n v="7"/>
    <n v="1163.79"/>
    <n v="5.4825867599182097"/>
    <n v="1202.5899999999999"/>
    <s v="AD"/>
    <n v="1"/>
    <n v="1328"/>
    <n v="1155"/>
    <n v="0"/>
    <n v="1155"/>
  </r>
  <r>
    <x v="0"/>
    <s v="NATHALIE CRISTINA CASTILLO GARCÃA"/>
    <n v="2"/>
    <n v="36"/>
    <d v="1899-12-31T23:59:00"/>
    <s v="TALISSAILORMOON125@GMAIL.COM"/>
    <x v="2"/>
    <n v="1081.3262999999999"/>
    <n v="7"/>
    <n v="1163.79"/>
    <n v="5.4825867599182097"/>
    <n v="1097.8399999999999"/>
    <s v="AD"/>
    <n v="1"/>
    <n v="1330"/>
    <n v="1157"/>
    <n v="0"/>
    <n v="1157"/>
  </r>
  <r>
    <x v="0"/>
    <s v="ALICIA  RAMIREZ RAMIREZ"/>
    <n v="30"/>
    <n v="36"/>
    <d v="1899-12-31T11:00:00"/>
    <s v="alicia..ramirez.ramirez@ejemplo.com"/>
    <x v="1"/>
    <n v="1081.1075000000001"/>
    <n v="10"/>
    <n v="1163.79"/>
    <n v="7.8322667998831603"/>
    <n v="601.29"/>
    <s v="IN"/>
    <n v="1"/>
    <n v="1362"/>
    <n v="1189"/>
    <n v="0.5"/>
    <n v="594.5"/>
  </r>
  <r>
    <x v="0"/>
    <s v="JESUS ALFREDO HERRERO ORTEGA"/>
    <n v="31"/>
    <n v="36"/>
    <d v="1899-12-31T11:00:00"/>
    <s v="jesus.alfredo.herrero.ortega@ejemplo.com"/>
    <x v="1"/>
    <n v="1081.0895"/>
    <n v="10"/>
    <n v="1163.79"/>
    <n v="7.8322667998831603"/>
    <n v="601.29"/>
    <s v="IN"/>
    <n v="1"/>
    <n v="1362"/>
    <n v="1189"/>
    <n v="0.5"/>
    <n v="594.5"/>
  </r>
  <r>
    <x v="0"/>
    <s v="FERNANDA VAZQUEZ MARQUEZ"/>
    <n v="3"/>
    <n v="36"/>
    <d v="1899-12-31T06:00:00"/>
    <s v="NICOLASVDBA@GMAIL.COM"/>
    <x v="0"/>
    <n v="1081.5374999999999"/>
    <n v="2.5"/>
    <n v="1163.79"/>
    <n v="1.9580666999707901"/>
    <n v="1158.79"/>
    <s v="AD"/>
    <n v="1"/>
    <n v="1282"/>
    <n v="1109"/>
    <n v="0"/>
    <n v="1109"/>
  </r>
  <r>
    <x v="0"/>
    <s v="FERNANDA VAZQUEZ MARQUEZ"/>
    <n v="3"/>
    <n v="36"/>
    <d v="1899-12-31T06:00:00"/>
    <s v="NICOLAS.VD.BRINK@GMAIL.COM"/>
    <x v="0"/>
    <n v="1081.5374999999999"/>
    <n v="2.5"/>
    <n v="1163.79"/>
    <n v="1.9580666999707901"/>
    <n v="1158.79"/>
    <s v="AD"/>
    <n v="1"/>
    <n v="1282"/>
    <n v="1109"/>
    <n v="0"/>
    <n v="1109"/>
  </r>
  <r>
    <x v="0"/>
    <s v="NICOLAS VAN DEN BRINK ARTEAGA"/>
    <n v="2"/>
    <n v="36"/>
    <d v="1899-12-31T06:00:00"/>
    <s v="NICOLASVDBA@GMAIL.COM"/>
    <x v="0"/>
    <n v="1081.5554999999999"/>
    <n v="2.5"/>
    <n v="1163.79"/>
    <n v="1.9580666999707901"/>
    <n v="1158.79"/>
    <s v="AD"/>
    <n v="1"/>
    <n v="1282"/>
    <n v="1109"/>
    <n v="0"/>
    <n v="1109"/>
  </r>
  <r>
    <x v="0"/>
    <s v="NICOLAS VAN DEN BRINK ARTEAGA"/>
    <n v="2"/>
    <n v="36"/>
    <d v="1899-12-31T06:00:00"/>
    <s v="NICOLAS.VD.BRINK@GMAIL.COM"/>
    <x v="0"/>
    <n v="1081.5554999999999"/>
    <n v="2.5"/>
    <n v="1163.79"/>
    <n v="1.9580666999707901"/>
    <n v="1158.79"/>
    <s v="AD"/>
    <n v="1"/>
    <n v="1282"/>
    <n v="1109"/>
    <n v="0"/>
    <n v="1109"/>
  </r>
  <r>
    <x v="0"/>
    <s v="MARTHA SILVIA MARTINEZ LEDEZMA"/>
    <n v="13"/>
    <n v="36"/>
    <d v="1899-12-31T11:00:00"/>
    <s v="LUISRESERVARTEMX@GMAIL.COM"/>
    <x v="0"/>
    <n v="1081.2987000000001"/>
    <n v="2.5"/>
    <n v="1163.79"/>
    <n v="1.9580666999707901"/>
    <n v="1142.5"/>
    <s v="AD"/>
    <n v="1"/>
    <n v="1281"/>
    <n v="1108"/>
    <n v="0"/>
    <n v="1108"/>
  </r>
  <r>
    <x v="0"/>
    <s v="LILIAN IÃ‘IGUEZ"/>
    <n v="13"/>
    <n v="36"/>
    <d v="1899-12-31T23:30:00"/>
    <s v="LILIANISALAZAR97@GMAIL.COM"/>
    <x v="3"/>
    <n v="1081.1379999999999"/>
    <n v="0"/>
    <n v="1163.79"/>
    <n v="0"/>
    <n v="1158.79"/>
    <s v="AD"/>
    <n v="1"/>
    <n v="1254"/>
    <n v="1081"/>
    <n v="0"/>
    <n v="1081"/>
  </r>
  <r>
    <x v="0"/>
    <s v="ARTURO GUTIERREZ BENITEZ"/>
    <n v="17"/>
    <n v="36"/>
    <d v="1899-12-31T23:30:00"/>
    <s v="IICEGAPZ@GMAIL.COM"/>
    <x v="3"/>
    <n v="1081.0654"/>
    <n v="0"/>
    <n v="1163.79"/>
    <n v="0"/>
    <n v="1158.79"/>
    <s v="AD"/>
    <n v="1"/>
    <n v="1254"/>
    <n v="1081"/>
    <n v="0"/>
    <n v="1081"/>
  </r>
  <r>
    <x v="0"/>
    <s v="JESUS MONDRAGON IBARRA"/>
    <n v="17"/>
    <n v="36"/>
    <d v="1899-12-31T06:00:00"/>
    <s v="jesus.mondragon.ibarra@ejemplo.com"/>
    <x v="4"/>
    <n v="1081.4332999999999"/>
    <n v="5"/>
    <n v="1163.79"/>
    <n v="3.9161333999415802"/>
    <n v="609.91"/>
    <s v="IN"/>
    <n v="1"/>
    <n v="1309"/>
    <n v="1136"/>
    <n v="0.5"/>
    <n v="568"/>
  </r>
  <r>
    <x v="0"/>
    <s v="BRIAN ANTONIO CRUZ RODRIGUEZ"/>
    <n v="26"/>
    <n v="36"/>
    <d v="1899-12-31T23:59:00"/>
    <s v="RODRIGORODRIGUEZ21694@GMAIL.COM"/>
    <x v="3"/>
    <n v="1080.771"/>
    <n v="0"/>
    <n v="1163.79"/>
    <n v="0"/>
    <n v="1158.79"/>
    <s v="AD"/>
    <n v="1"/>
    <n v="1254"/>
    <n v="1081"/>
    <n v="0"/>
    <n v="1081"/>
  </r>
  <r>
    <x v="0"/>
    <s v="ALEJANDRO SARDANETA RENDON"/>
    <n v="32"/>
    <n v="36"/>
    <d v="1899-12-31T23:10:00"/>
    <s v="CHARLYGOOD_19@HOTMAIL.COM"/>
    <x v="3"/>
    <n v="1080.6622"/>
    <n v="0"/>
    <n v="1163.79"/>
    <n v="0"/>
    <n v="1158.79"/>
    <s v="AD"/>
    <n v="1"/>
    <n v="1254"/>
    <n v="1081"/>
    <n v="0"/>
    <n v="1081"/>
  </r>
  <r>
    <x v="0"/>
    <s v="ELVIRA DELGADILLO GARCIA"/>
    <n v="17"/>
    <n v="36"/>
    <d v="1899-12-31T23:20:00"/>
    <s v="OLICARRILLOD@GMAIL.COM"/>
    <x v="0"/>
    <n v="1081.0547999999999"/>
    <n v="2.5"/>
    <n v="1163.79"/>
    <n v="1.9580666999707901"/>
    <n v="1158.79"/>
    <s v="AD"/>
    <n v="1"/>
    <n v="1281"/>
    <n v="1108"/>
    <n v="0"/>
    <n v="1108"/>
  </r>
  <r>
    <x v="0"/>
    <s v="MARCELA SUATES TORALES"/>
    <n v="14"/>
    <n v="36"/>
    <d v="1899-12-31T23:59:00"/>
    <s v="marcela.suates.torales@ejemplo.com"/>
    <x v="0"/>
    <n v="1081.1088"/>
    <n v="2.5"/>
    <n v="1163.79"/>
    <n v="1.9580666999707901"/>
    <n v="1158.79"/>
    <s v="AD"/>
    <n v="1"/>
    <n v="1281"/>
    <n v="1108"/>
    <n v="0"/>
    <n v="1108"/>
  </r>
  <r>
    <x v="0"/>
    <s v="MARGARITO TELLEZ CRUZ"/>
    <n v="15"/>
    <n v="36"/>
    <d v="1899-12-31T23:59:00"/>
    <s v="margarito.tellez.cruz@ejemplo.com"/>
    <x v="0"/>
    <n v="1081.0907999999999"/>
    <n v="2.5"/>
    <n v="1163.79"/>
    <n v="1.9580666999707901"/>
    <n v="1158.79"/>
    <s v="AD"/>
    <n v="1"/>
    <n v="1281"/>
    <n v="1108"/>
    <n v="0"/>
    <n v="1108"/>
  </r>
  <r>
    <x v="0"/>
    <s v="LUIS DAVID VÃZQUEZ GONZÃLEZ"/>
    <n v="10"/>
    <n v="36"/>
    <d v="1899-12-31T23:30:00"/>
    <s v="LUISDAVID1971@HOTMAIL.COM"/>
    <x v="3"/>
    <n v="1081.1904"/>
    <n v="0"/>
    <n v="1163.79"/>
    <n v="0"/>
    <n v="1158.79"/>
    <s v="AD"/>
    <n v="1"/>
    <n v="1254"/>
    <n v="1081"/>
    <n v="0"/>
    <n v="1081"/>
  </r>
  <r>
    <x v="0"/>
    <s v="DAVID ROSAS RANGEL"/>
    <n v="32"/>
    <n v="36"/>
    <d v="1899-12-31T06:00:00"/>
    <s v="DANIMORALES89@ME.COM"/>
    <x v="0"/>
    <n v="1080.8255999999999"/>
    <n v="2.5"/>
    <n v="1163.79"/>
    <n v="1.9580666999707901"/>
    <n v="1142.5"/>
    <s v="AD"/>
    <n v="1"/>
    <n v="1281"/>
    <n v="1108"/>
    <n v="0"/>
    <n v="1108"/>
  </r>
  <r>
    <x v="0"/>
    <s v="JORGE ARTURO VÃZQUEZ ORTEGA"/>
    <n v="17"/>
    <n v="36"/>
    <d v="1899-12-31T23:59:00"/>
    <s v="ADMINISTRACION@CADEE.COM.MX"/>
    <x v="3"/>
    <n v="1081.0636"/>
    <n v="0"/>
    <n v="1163.79"/>
    <n v="0"/>
    <n v="1158.79"/>
    <s v="AD"/>
    <n v="1"/>
    <n v="1254"/>
    <n v="1081"/>
    <n v="0"/>
    <n v="1081"/>
  </r>
  <r>
    <x v="0"/>
    <s v="ERIK EDUARDO VILLAGRANA CERVANTES"/>
    <n v="16"/>
    <n v="36"/>
    <d v="1899-12-31T23:30:00"/>
    <s v="ERIKVILLAGRANACERVANTES@GMAIL.COM"/>
    <x v="3"/>
    <n v="1081.0817"/>
    <n v="0"/>
    <n v="1163.79"/>
    <n v="0"/>
    <n v="1158.79"/>
    <s v="AD"/>
    <n v="1"/>
    <n v="1254"/>
    <n v="1081"/>
    <n v="0"/>
    <n v="1081"/>
  </r>
  <r>
    <x v="0"/>
    <s v="RAFAEL BLAS CHORA"/>
    <n v="1"/>
    <n v="36"/>
    <d v="1899-12-31T23:59:00"/>
    <s v="rafael.blas.chora@ejemplo.com"/>
    <x v="5"/>
    <n v="1081.3389"/>
    <n v="8.5"/>
    <n v="1163.79"/>
    <n v="6.6574267799006801"/>
    <n v="1082.33"/>
    <s v="AD"/>
    <n v="1"/>
    <n v="1346"/>
    <n v="1173"/>
    <n v="0"/>
    <n v="1173"/>
  </r>
  <r>
    <x v="0"/>
    <s v="AMADO GONZALEZ URIBE"/>
    <n v="23"/>
    <n v="36"/>
    <d v="1899-12-31T23:59:00"/>
    <s v="AGONZALEZ@SUPPLIESINC.NET"/>
    <x v="0"/>
    <n v="1080.8136"/>
    <n v="2.5"/>
    <n v="1163.79"/>
    <n v="1.9580666999707901"/>
    <n v="1158.79"/>
    <s v="AD"/>
    <n v="1"/>
    <n v="1281"/>
    <n v="1108"/>
    <n v="0"/>
    <n v="1108"/>
  </r>
  <r>
    <x v="0"/>
    <s v="RAUL PEREZ RAMIREZ"/>
    <n v="22"/>
    <n v="36"/>
    <d v="1899-12-31T23:59:00"/>
    <s v="AGONZALEZ@SUPPLIESINC.NET"/>
    <x v="0"/>
    <n v="1080.8315"/>
    <n v="2.5"/>
    <n v="1163.79"/>
    <n v="1.9580666999707901"/>
    <n v="1158.79"/>
    <s v="AD"/>
    <n v="1"/>
    <n v="1281"/>
    <n v="1108"/>
    <n v="0"/>
    <n v="1108"/>
  </r>
  <r>
    <x v="0"/>
    <s v="CARLOS IVAN BARRAGAN JUAREZ"/>
    <n v="13"/>
    <n v="36"/>
    <d v="1899-12-31T06:00:00"/>
    <s v="JORGE.BARRAGANG170193@GMAIL.COM"/>
    <x v="0"/>
    <n v="1081.2987000000001"/>
    <n v="2.5"/>
    <n v="1163.79"/>
    <n v="1.9580666999707901"/>
    <n v="1142.5"/>
    <s v="AD"/>
    <n v="1"/>
    <n v="1281"/>
    <n v="1108"/>
    <n v="0"/>
    <n v="1108"/>
  </r>
  <r>
    <x v="0"/>
    <s v="JORGE BARRAGAN GONZALEZ"/>
    <n v="15"/>
    <n v="36"/>
    <d v="1899-12-31T06:00:00"/>
    <s v="JORGE.BARRAGANG170193@GMAIL.COM"/>
    <x v="0"/>
    <n v="1081.2629999999999"/>
    <n v="2.5"/>
    <n v="1163.79"/>
    <n v="1.9580666999707901"/>
    <n v="1142.5"/>
    <s v="AD"/>
    <n v="1"/>
    <n v="1281"/>
    <n v="1108"/>
    <n v="0"/>
    <n v="1108"/>
  </r>
  <r>
    <x v="0"/>
    <s v="JULIO CESAR DUARTE ALCANTARA"/>
    <n v="14"/>
    <n v="36"/>
    <d v="1899-12-31T06:00:00"/>
    <s v="JORGE.BARRAGANG170193@GMAIL.COM"/>
    <x v="0"/>
    <n v="1081.2809"/>
    <n v="2.5"/>
    <n v="1163.79"/>
    <n v="1.9580666999707901"/>
    <n v="1142.5"/>
    <s v="AD"/>
    <n v="1"/>
    <n v="1281"/>
    <n v="1108"/>
    <n v="0"/>
    <n v="1108"/>
  </r>
  <r>
    <x v="0"/>
    <s v="JOSE MANUEL LOPEZ OREA"/>
    <n v="10"/>
    <n v="35"/>
    <d v="1899-12-31T23:10:00"/>
    <s v="jose.manuel.lopez.orea@ejemplo.com"/>
    <x v="2"/>
    <n v="1080.8056999999999"/>
    <n v="7"/>
    <n v="1163.79"/>
    <n v="5.4825867599182097"/>
    <n v="1097.8399999999999"/>
    <s v="AD"/>
    <n v="1"/>
    <n v="1329"/>
    <n v="1156"/>
    <n v="0"/>
    <n v="1156"/>
  </r>
  <r>
    <x v="0"/>
    <s v="JAVIER CASTRO SANCHEZ"/>
    <n v="36"/>
    <n v="36"/>
    <d v="1899-12-31T23:59:00"/>
    <s v="javier.castro.sanchez@ejemplo.com"/>
    <x v="3"/>
    <n v="1080.5894000000001"/>
    <n v="0"/>
    <n v="1163.79"/>
    <n v="0"/>
    <n v="975.86"/>
    <s v="PE"/>
    <n v="1"/>
    <n v="1253"/>
    <n v="1081"/>
    <n v="0"/>
    <n v="1081"/>
  </r>
  <r>
    <x v="0"/>
    <s v="HORACIO MONZALVO RODRIGUEZ"/>
    <n v="4"/>
    <n v="36"/>
    <d v="1899-12-31T23:30:00"/>
    <s v="HORACIO.MONZALBO.RODRIGUEZ@C-CAF.COM"/>
    <x v="3"/>
    <n v="1081.1641999999999"/>
    <n v="0"/>
    <n v="1163.79"/>
    <n v="0"/>
    <n v="1158.79"/>
    <s v="AD"/>
    <n v="1"/>
    <n v="1254"/>
    <n v="1081"/>
    <n v="0"/>
    <n v="1081"/>
  </r>
  <r>
    <x v="0"/>
    <s v="ANGEL MARTIN MARTINEZ GARCIA"/>
    <n v="5"/>
    <n v="36"/>
    <d v="1899-12-31T23:10:00"/>
    <s v="ALEHTRANSPORTES@HOTMAIL.COM"/>
    <x v="2"/>
    <n v="1081.2787000000001"/>
    <n v="7"/>
    <n v="1163.79"/>
    <n v="5.4825867599182097"/>
    <n v="1158.79"/>
    <s v="AD"/>
    <n v="1"/>
    <n v="1330"/>
    <n v="1157"/>
    <n v="0"/>
    <n v="1157"/>
  </r>
  <r>
    <x v="0"/>
    <s v="HECTOR SANTACRUZ"/>
    <n v="23"/>
    <n v="36"/>
    <d v="1899-12-31T02:00:00"/>
    <s v="hector.santacruz@ejemplo.com"/>
    <x v="2"/>
    <n v="1081.1926000000001"/>
    <n v="7"/>
    <n v="1163.79"/>
    <n v="5.4825867599182097"/>
    <n v="1219.83"/>
    <s v="AD"/>
    <n v="1"/>
    <n v="1330"/>
    <n v="1157"/>
    <n v="0"/>
    <n v="1157"/>
  </r>
  <r>
    <x v="0"/>
    <s v="EDGAR VALDIVIA"/>
    <n v="23"/>
    <n v="36"/>
    <d v="1899-12-31T23:10:00"/>
    <s v="EDGAR.VALDIVIA62@GMAIL.COM"/>
    <x v="3"/>
    <n v="1080.8225"/>
    <n v="0"/>
    <n v="1163.79"/>
    <n v="0"/>
    <n v="1158.79"/>
    <s v="AD"/>
    <n v="1"/>
    <n v="1254"/>
    <n v="1081"/>
    <n v="0"/>
    <n v="1081"/>
  </r>
  <r>
    <x v="0"/>
    <s v="VERÃ“NICA JUÃREZ"/>
    <n v="22"/>
    <n v="36"/>
    <d v="1899-12-31T23:10:00"/>
    <s v="EDGAR.VALDIVIA62@GMAIL.COM"/>
    <x v="3"/>
    <n v="1080.8405"/>
    <n v="0"/>
    <n v="1163.79"/>
    <n v="0"/>
    <n v="1158.79"/>
    <s v="AD"/>
    <n v="1"/>
    <n v="1254"/>
    <n v="1081"/>
    <n v="0"/>
    <n v="1081"/>
  </r>
  <r>
    <x v="0"/>
    <s v="JOSE CHI"/>
    <n v="7"/>
    <n v="36"/>
    <d v="1899-12-31T23:59:00"/>
    <s v="JCHIPRU26@GMAIL.COM"/>
    <x v="2"/>
    <n v="1081.2418"/>
    <n v="7"/>
    <n v="1163.79"/>
    <n v="5.4825867599182097"/>
    <n v="1158.79"/>
    <s v="AD"/>
    <n v="1"/>
    <n v="1330"/>
    <n v="1157"/>
    <n v="0"/>
    <n v="1157"/>
  </r>
  <r>
    <x v="0"/>
    <s v="HÃ‰CTOR AQUILES CRUZ PONCE DE LEON"/>
    <n v="1"/>
    <n v="36"/>
    <d v="1899-12-31T23:59:00"/>
    <s v="HECTORAQUILES288@GMAIL.COM"/>
    <x v="3"/>
    <n v="1081.3497"/>
    <n v="0"/>
    <n v="1163.79"/>
    <n v="0"/>
    <n v="1158.79"/>
    <s v="AD"/>
    <n v="1"/>
    <n v="1254"/>
    <n v="1081"/>
    <n v="0"/>
    <n v="1081"/>
  </r>
  <r>
    <x v="0"/>
    <s v="EDUARDO ROSAS LOPEZ"/>
    <n v="22"/>
    <n v="36"/>
    <d v="1899-12-31T23:59:00"/>
    <s v="eduardo.rosas.lopez@ejemplo.com"/>
    <x v="5"/>
    <n v="1080.9304"/>
    <n v="8.5"/>
    <n v="1163.79"/>
    <n v="6.6574267799006801"/>
    <n v="1082.33"/>
    <s v="AD"/>
    <n v="1"/>
    <n v="1346"/>
    <n v="1173"/>
    <n v="0"/>
    <n v="1173"/>
  </r>
  <r>
    <x v="0"/>
    <s v="MARIA GUADALUPE DEL TORO GONZALEZ"/>
    <n v="23"/>
    <n v="36"/>
    <d v="1899-12-31T23:59:00"/>
    <s v="maria.guadalupe.del.toro.gonzalez@ejemplo.com"/>
    <x v="2"/>
    <n v="1080.9123999999999"/>
    <n v="7"/>
    <n v="1163.79"/>
    <n v="5.4825867599182097"/>
    <n v="1082.33"/>
    <s v="AD"/>
    <n v="1"/>
    <n v="1330"/>
    <n v="1157"/>
    <n v="0"/>
    <n v="1157"/>
  </r>
  <r>
    <x v="0"/>
    <s v="MARIA GUADALUPE ROSAS DEL TORO"/>
    <n v="24"/>
    <n v="36"/>
    <d v="1899-12-31T23:59:00"/>
    <s v="maria.guadalupe.rosas.del.toro@ejemplo.com"/>
    <x v="2"/>
    <n v="1080.8677"/>
    <n v="7"/>
    <n v="1163.79"/>
    <n v="5.4825867599182097"/>
    <n v="1082.33"/>
    <s v="AD"/>
    <n v="1"/>
    <n v="1329"/>
    <n v="1157"/>
    <n v="0"/>
    <n v="1157"/>
  </r>
  <r>
    <x v="0"/>
    <s v="ASTRID ROSAS DEL TORO"/>
    <n v="25"/>
    <n v="36"/>
    <d v="1899-12-31T23:59:00"/>
    <s v="astrid.rosas.del.toro@ejemplo.com"/>
    <x v="2"/>
    <n v="1080.8227999999999"/>
    <n v="7"/>
    <n v="1163.79"/>
    <n v="5.4825867599182097"/>
    <n v="1082.33"/>
    <s v="AD"/>
    <n v="1"/>
    <n v="1329"/>
    <n v="1156"/>
    <n v="0"/>
    <n v="1156"/>
  </r>
  <r>
    <x v="0"/>
    <s v="JOSE ALFREDO MORENO GONZALEZ"/>
    <n v="26"/>
    <n v="36"/>
    <d v="1899-12-31T23:59:00"/>
    <s v="jose.alfredo.moreno.gonzalez@ejemplo.com"/>
    <x v="2"/>
    <n v="1080.7781"/>
    <n v="7"/>
    <n v="1163.79"/>
    <n v="5.4825867599182097"/>
    <n v="1082.33"/>
    <s v="AD"/>
    <n v="1"/>
    <n v="1329"/>
    <n v="1156"/>
    <n v="0"/>
    <n v="1156"/>
  </r>
  <r>
    <x v="0"/>
    <s v="YOLANDA LOPEZ OJEDA"/>
    <n v="27"/>
    <n v="36"/>
    <d v="1899-12-31T23:59:00"/>
    <s v="yolanda.lopez.ojeda@ejemplo.com"/>
    <x v="2"/>
    <n v="1080.7331999999999"/>
    <n v="7"/>
    <n v="1163.79"/>
    <n v="5.4825867599182097"/>
    <n v="1082.33"/>
    <s v="AD"/>
    <n v="1"/>
    <n v="1329"/>
    <n v="1156"/>
    <n v="0"/>
    <n v="1156"/>
  </r>
  <r>
    <x v="0"/>
    <s v="MIRIAM LIZBETH DELA HOYA MORENO"/>
    <n v="28"/>
    <n v="36"/>
    <d v="1899-12-31T23:59:00"/>
    <s v="miriam.lizbeth.dela.hoya.moreno@ejemplo.com"/>
    <x v="2"/>
    <n v="1080.6885"/>
    <n v="7"/>
    <n v="1163.79"/>
    <n v="5.4825867599182097"/>
    <n v="1082.33"/>
    <s v="AD"/>
    <n v="1"/>
    <n v="1329"/>
    <n v="1156"/>
    <n v="0"/>
    <n v="1156"/>
  </r>
  <r>
    <x v="0"/>
    <s v="MIA GUADALUPE ALONSO TORRES"/>
    <n v="29"/>
    <n v="36"/>
    <d v="1899-12-31T23:59:00"/>
    <s v="mia.guadalupe.alonso.torres@ejemplo.com"/>
    <x v="2"/>
    <n v="1080.6437000000001"/>
    <n v="7"/>
    <n v="1163.79"/>
    <n v="5.4825867599182097"/>
    <n v="1082.33"/>
    <s v="AD"/>
    <n v="1"/>
    <n v="1329"/>
    <n v="1156"/>
    <n v="0"/>
    <n v="1156"/>
  </r>
  <r>
    <x v="0"/>
    <s v="NILO BARRADAS"/>
    <n v="17"/>
    <n v="36"/>
    <d v="1899-12-31T06:00:00"/>
    <s v="NILOBARRADAS@GMAIL.COM"/>
    <x v="0"/>
    <n v="1081.2253000000001"/>
    <n v="2.5"/>
    <n v="1163.79"/>
    <n v="1.9580666999707901"/>
    <n v="1142.5"/>
    <s v="AD"/>
    <n v="1"/>
    <n v="1281"/>
    <n v="1108"/>
    <n v="0"/>
    <n v="1108"/>
  </r>
  <r>
    <x v="0"/>
    <s v="JOSE FEDERICO BASULTO QUEZADA"/>
    <n v="7"/>
    <n v="36"/>
    <d v="1899-12-31T23:10:00"/>
    <s v="DIRECCION@BPQ.MX"/>
    <x v="3"/>
    <n v="1081.2411999999999"/>
    <n v="0"/>
    <n v="1163.79"/>
    <n v="0"/>
    <n v="1158.79"/>
    <s v="AD"/>
    <n v="1"/>
    <n v="1254"/>
    <n v="1081"/>
    <n v="0"/>
    <n v="1081"/>
  </r>
  <r>
    <x v="0"/>
    <s v="EDGAR CHAPARRO"/>
    <n v="21"/>
    <n v="36"/>
    <d v="1899-12-31T23:59:00"/>
    <s v="EDGAR@PRIMARIO.MX"/>
    <x v="3"/>
    <n v="1080.9893999999999"/>
    <n v="0"/>
    <n v="1163.79"/>
    <n v="0"/>
    <n v="1158.79"/>
    <s v="AD"/>
    <n v="1"/>
    <n v="1254"/>
    <n v="1081"/>
    <n v="0"/>
    <n v="1081"/>
  </r>
  <r>
    <x v="0"/>
    <s v="ANGEL ULISSES GONZÃLEZ HERNÃNDEZ"/>
    <n v="6"/>
    <n v="36"/>
    <d v="1899-12-31T06:00:00"/>
    <s v="LAURAATANACIO754@GMAIL.COM"/>
    <x v="0"/>
    <n v="1081.4223999999999"/>
    <n v="2.5"/>
    <n v="1163.79"/>
    <n v="1.9580666999707901"/>
    <n v="1142.5"/>
    <s v="AD"/>
    <n v="1"/>
    <n v="1281"/>
    <n v="1108"/>
    <n v="0"/>
    <n v="1108"/>
  </r>
  <r>
    <x v="0"/>
    <s v="ANGEL ULISSES GONZÃLEZ HERNÃNDEZ"/>
    <n v="6"/>
    <n v="36"/>
    <d v="1899-12-31T06:00:00"/>
    <s v="LAURAATANACIO754@GANIL.COM"/>
    <x v="0"/>
    <n v="1081.4223999999999"/>
    <n v="2.5"/>
    <n v="1163.79"/>
    <n v="1.9580666999707901"/>
    <n v="1142.5"/>
    <s v="AD"/>
    <n v="1"/>
    <n v="1281"/>
    <n v="1108"/>
    <n v="0"/>
    <n v="1108"/>
  </r>
  <r>
    <x v="0"/>
    <s v="ANGEL ULISSES GONZÃLEZ HERNÃNDEZ"/>
    <n v="6"/>
    <n v="36"/>
    <d v="1899-12-31T06:00:00"/>
    <s v="LAURAATANACIO754@GMAIL.COM"/>
    <x v="0"/>
    <n v="1081.4223999999999"/>
    <n v="2.5"/>
    <n v="1163.79"/>
    <n v="1.9580666999707901"/>
    <n v="1142.5"/>
    <s v="AD"/>
    <n v="1"/>
    <n v="1281"/>
    <n v="1108"/>
    <n v="0"/>
    <n v="1108"/>
  </r>
  <r>
    <x v="0"/>
    <s v="ANGEL ULISSES GONZÃLEZ HERNÃNDEZ"/>
    <n v="6"/>
    <n v="36"/>
    <d v="1899-12-31T06:00:00"/>
    <s v="LAURAATANACIO754@GMAIL.COM"/>
    <x v="0"/>
    <n v="1081.4223999999999"/>
    <n v="2.5"/>
    <n v="1163.79"/>
    <n v="1.9580666999707901"/>
    <n v="1142.5"/>
    <s v="AD"/>
    <n v="1"/>
    <n v="1281"/>
    <n v="1108"/>
    <n v="0"/>
    <n v="1108"/>
  </r>
  <r>
    <x v="0"/>
    <s v="BRANDON MAURICIO GARCÃA OLIVA"/>
    <n v="5"/>
    <n v="36"/>
    <d v="1899-12-31T06:00:00"/>
    <s v="LAURAATANACIO754@GMAIL.COM"/>
    <x v="0"/>
    <n v="1081.4402"/>
    <n v="2.5"/>
    <n v="1163.79"/>
    <n v="1.9580666999707901"/>
    <n v="1142.5"/>
    <s v="AD"/>
    <n v="1"/>
    <n v="1282"/>
    <n v="1108"/>
    <n v="0"/>
    <n v="1108"/>
  </r>
  <r>
    <x v="0"/>
    <s v="BRANDON MAURICIO GARCÃA OLIVA"/>
    <n v="5"/>
    <n v="36"/>
    <d v="1899-12-31T06:00:00"/>
    <s v="LAURAATANACIO754@GANIL.COM"/>
    <x v="0"/>
    <n v="1081.4402"/>
    <n v="2.5"/>
    <n v="1163.79"/>
    <n v="1.9580666999707901"/>
    <n v="1142.5"/>
    <s v="AD"/>
    <n v="1"/>
    <n v="1282"/>
    <n v="1108"/>
    <n v="0"/>
    <n v="1108"/>
  </r>
  <r>
    <x v="0"/>
    <s v="BRANDON MAURICIO GARCÃA OLIVA"/>
    <n v="5"/>
    <n v="36"/>
    <d v="1899-12-31T06:00:00"/>
    <s v="LAURAATANACIO754@GMAIL.COM"/>
    <x v="0"/>
    <n v="1081.4402"/>
    <n v="2.5"/>
    <n v="1163.79"/>
    <n v="1.9580666999707901"/>
    <n v="1142.5"/>
    <s v="AD"/>
    <n v="1"/>
    <n v="1282"/>
    <n v="1108"/>
    <n v="0"/>
    <n v="1108"/>
  </r>
  <r>
    <x v="0"/>
    <s v="BRANDON MAURICIO GARCÃA OLIVA"/>
    <n v="5"/>
    <n v="36"/>
    <d v="1899-12-31T06:00:00"/>
    <s v="LAURAATANACIO754@GMAIL.COM"/>
    <x v="0"/>
    <n v="1081.4402"/>
    <n v="2.5"/>
    <n v="1163.79"/>
    <n v="1.9580666999707901"/>
    <n v="1142.5"/>
    <s v="AD"/>
    <n v="1"/>
    <n v="1282"/>
    <n v="1108"/>
    <n v="0"/>
    <n v="1108"/>
  </r>
  <r>
    <x v="0"/>
    <s v="MARIO YOSMAR MEJÃA VELÃZQUEZ"/>
    <n v="3"/>
    <n v="36"/>
    <d v="1899-12-31T06:00:00"/>
    <s v="LAURAATANACIO754@GMAIL.COM"/>
    <x v="0"/>
    <n v="1081.4764"/>
    <n v="2.5"/>
    <n v="1163.79"/>
    <n v="1.9580666999707901"/>
    <n v="1142.5"/>
    <s v="AD"/>
    <n v="1"/>
    <n v="1282"/>
    <n v="1109"/>
    <n v="0"/>
    <n v="1109"/>
  </r>
  <r>
    <x v="0"/>
    <s v="MARIO YOSMAR MEJÃA VELÃZQUEZ"/>
    <n v="3"/>
    <n v="36"/>
    <d v="1899-12-31T06:00:00"/>
    <s v="LAURAATANACIO754@GANIL.COM"/>
    <x v="0"/>
    <n v="1081.4764"/>
    <n v="2.5"/>
    <n v="1163.79"/>
    <n v="1.9580666999707901"/>
    <n v="1142.5"/>
    <s v="AD"/>
    <n v="1"/>
    <n v="1282"/>
    <n v="1109"/>
    <n v="0"/>
    <n v="1109"/>
  </r>
  <r>
    <x v="0"/>
    <s v="MARIO YOSMAR MEJÃA VELÃZQUEZ"/>
    <n v="3"/>
    <n v="36"/>
    <d v="1899-12-31T06:00:00"/>
    <s v="LAURAATANACIO754@GMAIL.COM"/>
    <x v="0"/>
    <n v="1081.4764"/>
    <n v="2.5"/>
    <n v="1163.79"/>
    <n v="1.9580666999707901"/>
    <n v="1142.5"/>
    <s v="AD"/>
    <n v="1"/>
    <n v="1282"/>
    <n v="1109"/>
    <n v="0"/>
    <n v="1109"/>
  </r>
  <r>
    <x v="0"/>
    <s v="MARIO YOSMAR MEJÃA VELÃZQUEZ"/>
    <n v="3"/>
    <n v="36"/>
    <d v="1899-12-31T06:00:00"/>
    <s v="LAURAATANACIO754@GMAIL.COM"/>
    <x v="0"/>
    <n v="1081.4764"/>
    <n v="2.5"/>
    <n v="1163.79"/>
    <n v="1.9580666999707901"/>
    <n v="1142.5"/>
    <s v="AD"/>
    <n v="1"/>
    <n v="1282"/>
    <n v="1109"/>
    <n v="0"/>
    <n v="1109"/>
  </r>
  <r>
    <x v="0"/>
    <s v="SERGIO SOLANO GALLARDO"/>
    <n v="2"/>
    <n v="36"/>
    <d v="1899-12-31T06:00:00"/>
    <s v="LAURAATANACIO754@GMAIL.COM"/>
    <x v="0"/>
    <n v="1081.4943000000001"/>
    <n v="2.5"/>
    <n v="1163.79"/>
    <n v="1.9580666999707901"/>
    <n v="1142.5"/>
    <s v="AD"/>
    <n v="1"/>
    <n v="1282"/>
    <n v="1109"/>
    <n v="0"/>
    <n v="1109"/>
  </r>
  <r>
    <x v="0"/>
    <s v="SERGIO SOLANO GALLARDO"/>
    <n v="2"/>
    <n v="36"/>
    <d v="1899-12-31T06:00:00"/>
    <s v="LAURAATANACIO754@GANIL.COM"/>
    <x v="0"/>
    <n v="1081.4943000000001"/>
    <n v="2.5"/>
    <n v="1163.79"/>
    <n v="1.9580666999707901"/>
    <n v="1142.5"/>
    <s v="AD"/>
    <n v="1"/>
    <n v="1282"/>
    <n v="1109"/>
    <n v="0"/>
    <n v="1109"/>
  </r>
  <r>
    <x v="0"/>
    <s v="SERGIO SOLANO GALLARDO"/>
    <n v="2"/>
    <n v="36"/>
    <d v="1899-12-31T06:00:00"/>
    <s v="LAURAATANACIO754@GMAIL.COM"/>
    <x v="0"/>
    <n v="1081.4943000000001"/>
    <n v="2.5"/>
    <n v="1163.79"/>
    <n v="1.9580666999707901"/>
    <n v="1142.5"/>
    <s v="AD"/>
    <n v="1"/>
    <n v="1282"/>
    <n v="1109"/>
    <n v="0"/>
    <n v="1109"/>
  </r>
  <r>
    <x v="0"/>
    <s v="SERGIO SOLANO GALLARDO"/>
    <n v="2"/>
    <n v="36"/>
    <d v="1899-12-31T06:00:00"/>
    <s v="LAURAATANACIO754@GMAIL.COM"/>
    <x v="0"/>
    <n v="1081.4943000000001"/>
    <n v="2.5"/>
    <n v="1163.79"/>
    <n v="1.9580666999707901"/>
    <n v="1142.5"/>
    <s v="AD"/>
    <n v="1"/>
    <n v="1282"/>
    <n v="1109"/>
    <n v="0"/>
    <n v="1109"/>
  </r>
  <r>
    <x v="0"/>
    <s v="JAIME RUILOBA"/>
    <n v="36"/>
    <n v="36"/>
    <d v="1899-12-31T23:59:00"/>
    <s v="RUILOBAJAI@YAHOO.COM.MX"/>
    <x v="0"/>
    <n v="1078.5336"/>
    <n v="2.5"/>
    <n v="1163.79"/>
    <n v="1.9580666999707901"/>
    <n v="601.29"/>
    <s v="OD"/>
    <n v="1"/>
    <n v="1278"/>
    <n v="1105"/>
    <n v="0.5"/>
    <n v="552.5"/>
  </r>
  <r>
    <x v="0"/>
    <s v="ANGEL ALEJANDRO MARTINEZ PEREZ"/>
    <n v="14"/>
    <n v="36"/>
    <d v="1899-12-31T23:30:00"/>
    <s v="ANGEL.MARTINEZ06@GMAIL.COM"/>
    <x v="3"/>
    <n v="1081.1153999999999"/>
    <n v="0"/>
    <n v="1163.79"/>
    <n v="0"/>
    <n v="1158.79"/>
    <s v="AD"/>
    <n v="1"/>
    <n v="1254"/>
    <n v="1081"/>
    <n v="0"/>
    <n v="1081"/>
  </r>
  <r>
    <x v="0"/>
    <s v="JOSE MANUEL BENITEZ PEREZ"/>
    <n v="27"/>
    <n v="36"/>
    <d v="1899-12-31T23:30:00"/>
    <s v="MANUBENITEZP@GMAIL.COM"/>
    <x v="2"/>
    <n v="1080.7385999999999"/>
    <n v="7"/>
    <n v="1163.79"/>
    <n v="5.4825867599182097"/>
    <n v="1097.8399999999999"/>
    <s v="AD"/>
    <n v="1"/>
    <n v="1329"/>
    <n v="1156"/>
    <n v="0"/>
    <n v="1156"/>
  </r>
  <r>
    <x v="0"/>
    <s v="ESTEBAN MORENO GONZALEZ"/>
    <n v="17"/>
    <n v="36"/>
    <d v="1899-12-31T23:30:00"/>
    <s v="ESTEMORENO.19@HOTMAIL.COM"/>
    <x v="2"/>
    <n v="1081.2537"/>
    <n v="7"/>
    <n v="1163.79"/>
    <n v="5.4825867599182097"/>
    <n v="1034.48"/>
    <s v="AD"/>
    <n v="1"/>
    <n v="1330"/>
    <n v="1157"/>
    <n v="0"/>
    <n v="1157"/>
  </r>
  <r>
    <x v="0"/>
    <s v="JAIR DE JESUS FERREIRA CARDENAS"/>
    <n v="24"/>
    <n v="36"/>
    <d v="1899-12-31T23:59:00"/>
    <s v="OALCARAZ@NEKTAR.COM.MX"/>
    <x v="3"/>
    <n v="1080.8021000000001"/>
    <n v="0"/>
    <n v="1163.79"/>
    <n v="0"/>
    <n v="1158.79"/>
    <s v="AD"/>
    <n v="1"/>
    <n v="1254"/>
    <n v="1081"/>
    <n v="0"/>
    <n v="1081"/>
  </r>
  <r>
    <x v="0"/>
    <s v="VICENTE TELLEZ MORALES"/>
    <n v="12"/>
    <n v="36"/>
    <d v="1899-12-31T23:30:00"/>
    <s v="07JARED99@GMAIL.COM"/>
    <x v="3"/>
    <n v="1081.1496999999999"/>
    <n v="0"/>
    <n v="1163.79"/>
    <n v="0"/>
    <n v="1158.79"/>
    <s v="AD"/>
    <n v="1"/>
    <n v="1254"/>
    <n v="1081"/>
    <n v="0"/>
    <n v="1081"/>
  </r>
  <r>
    <x v="0"/>
    <s v="GUILLERMO GONZÃLEZ MEDELLÃN"/>
    <n v="18"/>
    <n v="36"/>
    <d v="1899-12-31T23:59:00"/>
    <s v="GUILLERMOGONZALEZ638@GMAIL.COM"/>
    <x v="3"/>
    <n v="1081.0418999999999"/>
    <n v="0"/>
    <n v="1163.79"/>
    <n v="0"/>
    <n v="1158.79"/>
    <s v="AD"/>
    <n v="1"/>
    <n v="1254"/>
    <n v="1081"/>
    <n v="0"/>
    <n v="1081"/>
  </r>
  <r>
    <x v="0"/>
    <s v="JORGE RUIZ LOPEZ"/>
    <n v="17"/>
    <n v="36"/>
    <d v="1899-12-31T23:30:00"/>
    <s v="JRLHISTORIA@HOTMAIL.COM"/>
    <x v="0"/>
    <n v="1081.0501999999999"/>
    <n v="2.5"/>
    <n v="1163.79"/>
    <n v="1.9580666999707901"/>
    <n v="1158.79"/>
    <s v="AD"/>
    <n v="1"/>
    <n v="1281"/>
    <n v="1108"/>
    <n v="0"/>
    <n v="1108"/>
  </r>
  <r>
    <x v="0"/>
    <s v="LUIS BRISEÃ‘O"/>
    <n v="28"/>
    <n v="36"/>
    <d v="1899-12-31T11:00:00"/>
    <s v="TOSCAIN82@GMAIL.COM"/>
    <x v="0"/>
    <n v="1080.8903"/>
    <n v="2.5"/>
    <n v="1163.79"/>
    <n v="1.9580666999707901"/>
    <n v="1219.83"/>
    <s v="AD"/>
    <n v="1"/>
    <n v="1281"/>
    <n v="1108"/>
    <n v="0"/>
    <n v="1108"/>
  </r>
  <r>
    <x v="0"/>
    <s v="ALMA MARTINEZ"/>
    <n v="24"/>
    <n v="36"/>
    <d v="1899-12-31T06:00:00"/>
    <s v="alma.martinez@ejemplo.com"/>
    <x v="0"/>
    <n v="1081.1822999999999"/>
    <n v="2.5"/>
    <n v="1163.79"/>
    <n v="1.9580666999707901"/>
    <n v="1158.79"/>
    <s v="AD"/>
    <n v="1"/>
    <n v="1281"/>
    <n v="1108"/>
    <n v="0"/>
    <n v="1108"/>
  </r>
  <r>
    <x v="0"/>
    <s v="EDWARD JAVIER REYES ZAPATA"/>
    <n v="15"/>
    <n v="36"/>
    <d v="1899-12-31T02:00:00"/>
    <s v="MARISO.GALLARDO@LOESTRA.COM"/>
    <x v="0"/>
    <n v="1081.2609"/>
    <n v="2.5"/>
    <n v="1163.79"/>
    <n v="1.9580666999707901"/>
    <n v="1142.5"/>
    <s v="AD"/>
    <n v="1"/>
    <n v="1281"/>
    <n v="1108"/>
    <n v="0"/>
    <n v="1108"/>
  </r>
  <r>
    <x v="0"/>
    <s v="EMILIO RAMIRO PORRAS VELASCO"/>
    <n v="5"/>
    <n v="36"/>
    <d v="1899-12-31T23:59:00"/>
    <s v="GDLHMRE@GMAIL.COM"/>
    <x v="5"/>
    <n v="1081.2629999999999"/>
    <n v="8.5"/>
    <n v="1163.79"/>
    <n v="6.6574267799006801"/>
    <n v="1219.83"/>
    <s v="AD"/>
    <n v="1"/>
    <n v="1346"/>
    <n v="1173"/>
    <n v="0"/>
    <n v="1173"/>
  </r>
  <r>
    <x v="0"/>
    <s v="ADRIAN RODRIGO ROJAS DELGADILLO"/>
    <n v="6"/>
    <n v="36"/>
    <d v="1899-12-31T23:59:00"/>
    <s v="ADRIANR.ROJAS@HOTMAIL.COM"/>
    <x v="0"/>
    <n v="1081.2472"/>
    <n v="2.5"/>
    <n v="1163.79"/>
    <n v="1.9580666999707901"/>
    <n v="1158.79"/>
    <s v="AD"/>
    <n v="1"/>
    <n v="1281"/>
    <n v="1108"/>
    <n v="0"/>
    <n v="1108"/>
  </r>
  <r>
    <x v="0"/>
    <s v="ADRIAN RODRIGO ROJAS DELGADILLO"/>
    <n v="6"/>
    <n v="36"/>
    <d v="1899-12-31T23:59:00"/>
    <s v="ALELI.ROJAS@HOTMAIL.COM"/>
    <x v="0"/>
    <n v="1081.2472"/>
    <n v="2.5"/>
    <n v="1163.79"/>
    <n v="1.9580666999707901"/>
    <n v="1158.79"/>
    <s v="AD"/>
    <n v="1"/>
    <n v="1281"/>
    <n v="1108"/>
    <n v="0"/>
    <n v="1108"/>
  </r>
  <r>
    <x v="0"/>
    <s v="ANDREA ALELI ROJAS GUALAJARA"/>
    <n v="5"/>
    <n v="36"/>
    <d v="1899-12-31T23:59:00"/>
    <s v="ADRIANR.ROJAS@HOTMAIL.COM"/>
    <x v="0"/>
    <n v="1081.2651000000001"/>
    <n v="2.5"/>
    <n v="1163.79"/>
    <n v="1.9580666999707901"/>
    <n v="1158.79"/>
    <s v="AD"/>
    <n v="1"/>
    <n v="1281"/>
    <n v="1108"/>
    <n v="0"/>
    <n v="1108"/>
  </r>
  <r>
    <x v="0"/>
    <s v="ANDREA ALELI ROJAS GUALAJARA"/>
    <n v="5"/>
    <n v="36"/>
    <d v="1899-12-31T23:59:00"/>
    <s v="ALELI.ROJAS@HOTMAIL.COM"/>
    <x v="0"/>
    <n v="1081.2651000000001"/>
    <n v="2.5"/>
    <n v="1163.79"/>
    <n v="1.9580666999707901"/>
    <n v="1158.79"/>
    <s v="AD"/>
    <n v="1"/>
    <n v="1281"/>
    <n v="1108"/>
    <n v="0"/>
    <n v="1108"/>
  </r>
  <r>
    <x v="0"/>
    <s v="ALICIA  RAMIREZ RAMIREZ"/>
    <n v="33"/>
    <n v="36"/>
    <d v="1899-12-31T11:00:00"/>
    <s v="alicia..ramirez.ramirez@ejemplo.com"/>
    <x v="1"/>
    <n v="1081.0415"/>
    <n v="10"/>
    <n v="1163.79"/>
    <n v="7.8322667998831603"/>
    <n v="601.29"/>
    <s v="NI"/>
    <n v="1"/>
    <n v="1362"/>
    <n v="1189"/>
    <n v="0.5"/>
    <n v="594.5"/>
  </r>
  <r>
    <x v="0"/>
    <s v="JESUS ALFREDO HERRERO ORTEGA"/>
    <n v="34"/>
    <n v="36"/>
    <d v="1899-12-31T11:00:00"/>
    <s v="jesus.alfredo.herrero.ortega@ejemplo.com"/>
    <x v="1"/>
    <n v="1081.0234"/>
    <n v="10"/>
    <n v="1163.79"/>
    <n v="7.8322667998831603"/>
    <n v="601.29"/>
    <s v="NI"/>
    <n v="1"/>
    <n v="1362"/>
    <n v="1189"/>
    <n v="0.5"/>
    <n v="594.5"/>
  </r>
  <r>
    <x v="0"/>
    <s v="ANA JOSELYN JUAREZ CHAVEZ"/>
    <n v="10"/>
    <n v="36"/>
    <d v="1899-12-31T06:00:00"/>
    <s v="ALANRUIZ574@GMAIL.COM"/>
    <x v="0"/>
    <n v="1081.3479"/>
    <n v="2.5"/>
    <n v="1163.79"/>
    <n v="1.9580666999707901"/>
    <n v="1142.5"/>
    <s v="AD"/>
    <n v="1"/>
    <n v="1281"/>
    <n v="1108"/>
    <n v="0"/>
    <n v="1108"/>
  </r>
  <r>
    <x v="0"/>
    <s v="EDGAR RUIZ RUIZ"/>
    <n v="22"/>
    <n v="35"/>
    <d v="1899-12-31T11:00:00"/>
    <s v="IMELDACARRERA@CENTRODETECNOLOGIAS.MX"/>
    <x v="0"/>
    <n v="1081.1863000000001"/>
    <n v="2.5"/>
    <n v="1163.79"/>
    <n v="1.9580666999707901"/>
    <n v="1158.79"/>
    <s v="AD"/>
    <n v="1"/>
    <n v="1281"/>
    <n v="1108"/>
    <n v="0"/>
    <n v="1108"/>
  </r>
  <r>
    <x v="0"/>
    <s v="EDGAR RUIZ RUIZ"/>
    <n v="22"/>
    <n v="35"/>
    <d v="1899-12-31T11:00:00"/>
    <s v="IMELDACARRERA@CENTRODETECNOLOGIAS.MX"/>
    <x v="0"/>
    <n v="1081.1863000000001"/>
    <n v="2.5"/>
    <n v="1163.79"/>
    <n v="1.9580666999707901"/>
    <n v="1158.79"/>
    <s v="AD"/>
    <n v="1"/>
    <n v="1281"/>
    <n v="1108"/>
    <n v="0"/>
    <n v="1108"/>
  </r>
  <r>
    <x v="0"/>
    <s v="EDGAR RUIZ RUIZ"/>
    <n v="22"/>
    <n v="35"/>
    <d v="1899-12-31T11:00:00"/>
    <s v="IMELDACARRERA@CENTRODETECNOLOGIAS.MX"/>
    <x v="0"/>
    <n v="1081.1863000000001"/>
    <n v="2.5"/>
    <n v="1163.79"/>
    <n v="1.9580666999707901"/>
    <n v="1158.79"/>
    <s v="AD"/>
    <n v="1"/>
    <n v="1281"/>
    <n v="1108"/>
    <n v="0"/>
    <n v="1108"/>
  </r>
  <r>
    <x v="0"/>
    <s v="EDGAR RUIZ RUIZ"/>
    <n v="22"/>
    <n v="35"/>
    <d v="1899-12-31T11:00:00"/>
    <s v="IMELDACARRERA@CENTRODETECNOLOGIAS.MX"/>
    <x v="0"/>
    <n v="1081.1863000000001"/>
    <n v="2.5"/>
    <n v="1163.79"/>
    <n v="1.9580666999707901"/>
    <n v="1158.79"/>
    <s v="AD"/>
    <n v="1"/>
    <n v="1281"/>
    <n v="1108"/>
    <n v="0"/>
    <n v="1108"/>
  </r>
  <r>
    <x v="0"/>
    <s v="EDGAR RUIZ RUIZ"/>
    <n v="22"/>
    <n v="35"/>
    <d v="1899-12-31T11:00:00"/>
    <s v="IMELDACARRERA@CENTRODETECNOLOGIAS.MX"/>
    <x v="0"/>
    <n v="1081.1863000000001"/>
    <n v="2.5"/>
    <n v="1163.79"/>
    <n v="1.9580666999707901"/>
    <n v="1158.79"/>
    <s v="AD"/>
    <n v="1"/>
    <n v="1281"/>
    <n v="1108"/>
    <n v="0"/>
    <n v="1108"/>
  </r>
  <r>
    <x v="0"/>
    <s v="FRANCISCO DE JESUS JIMAREZ ZAPATA"/>
    <n v="14"/>
    <n v="35"/>
    <d v="1899-12-31T11:00:00"/>
    <s v="IMELDACARRERA@CENTRODETECNOLOGIAS.MX"/>
    <x v="0"/>
    <n v="1081.3302000000001"/>
    <n v="2.5"/>
    <n v="1163.79"/>
    <n v="1.9580666999707901"/>
    <n v="1158.79"/>
    <s v="AD"/>
    <n v="1"/>
    <n v="1281"/>
    <n v="1108"/>
    <n v="0"/>
    <n v="1108"/>
  </r>
  <r>
    <x v="0"/>
    <s v="FRANCISCO DE JESUS JIMAREZ ZAPATA"/>
    <n v="14"/>
    <n v="35"/>
    <d v="1899-12-31T11:00:00"/>
    <s v="IMELDACARRERA@CENTRODETECNOLOGIAS.MX"/>
    <x v="0"/>
    <n v="1081.3302000000001"/>
    <n v="2.5"/>
    <n v="1163.79"/>
    <n v="1.9580666999707901"/>
    <n v="1158.79"/>
    <s v="AD"/>
    <n v="1"/>
    <n v="1281"/>
    <n v="1108"/>
    <n v="0"/>
    <n v="1108"/>
  </r>
  <r>
    <x v="0"/>
    <s v="FRANCISCO DE JESUS JIMAREZ ZAPATA"/>
    <n v="14"/>
    <n v="35"/>
    <d v="1899-12-31T11:00:00"/>
    <s v="IMELDACARRERA@CENTRODETECNOLOGIAS.MX"/>
    <x v="0"/>
    <n v="1081.3302000000001"/>
    <n v="2.5"/>
    <n v="1163.79"/>
    <n v="1.9580666999707901"/>
    <n v="1158.79"/>
    <s v="AD"/>
    <n v="1"/>
    <n v="1281"/>
    <n v="1108"/>
    <n v="0"/>
    <n v="1108"/>
  </r>
  <r>
    <x v="0"/>
    <s v="FRANCISCO DE JESUS JIMAREZ ZAPATA"/>
    <n v="14"/>
    <n v="35"/>
    <d v="1899-12-31T11:00:00"/>
    <s v="IMELDACARRERA@CENTRODETECNOLOGIAS.MX"/>
    <x v="0"/>
    <n v="1081.3302000000001"/>
    <n v="2.5"/>
    <n v="1163.79"/>
    <n v="1.9580666999707901"/>
    <n v="1158.79"/>
    <s v="AD"/>
    <n v="1"/>
    <n v="1281"/>
    <n v="1108"/>
    <n v="0"/>
    <n v="1108"/>
  </r>
  <r>
    <x v="0"/>
    <s v="FRANCISCO DE JESUS JIMAREZ ZAPATA"/>
    <n v="14"/>
    <n v="35"/>
    <d v="1899-12-31T11:00:00"/>
    <s v="IMELDACARRERA@CENTRODETECNOLOGIAS.MX"/>
    <x v="0"/>
    <n v="1081.3302000000001"/>
    <n v="2.5"/>
    <n v="1163.79"/>
    <n v="1.9580666999707901"/>
    <n v="1158.79"/>
    <s v="AD"/>
    <n v="1"/>
    <n v="1281"/>
    <n v="1108"/>
    <n v="0"/>
    <n v="1108"/>
  </r>
  <r>
    <x v="0"/>
    <s v="HUGO RAFAEL CONTRERAS MARTINEZ"/>
    <n v="7"/>
    <n v="35"/>
    <d v="1899-12-31T11:00:00"/>
    <s v="IMELDACARRERA@CENTRODETECNOLOGIAS.MX"/>
    <x v="0"/>
    <n v="1081.3235"/>
    <n v="2.5"/>
    <n v="1163.79"/>
    <n v="1.9580666999707901"/>
    <n v="1158.79"/>
    <s v="AD"/>
    <n v="1"/>
    <n v="1281"/>
    <n v="1108"/>
    <n v="0"/>
    <n v="1108"/>
  </r>
  <r>
    <x v="0"/>
    <s v="HUGO RAFAEL CONTRERAS MARTINEZ"/>
    <n v="7"/>
    <n v="35"/>
    <d v="1899-12-31T11:00:00"/>
    <s v="IMELDACARRERA@CENTRODETECNOLOGIAS.MX"/>
    <x v="0"/>
    <n v="1081.3235"/>
    <n v="2.5"/>
    <n v="1163.79"/>
    <n v="1.9580666999707901"/>
    <n v="1158.79"/>
    <s v="AD"/>
    <n v="1"/>
    <n v="1281"/>
    <n v="1108"/>
    <n v="0"/>
    <n v="1108"/>
  </r>
  <r>
    <x v="0"/>
    <s v="HUGO RAFAEL CONTRERAS MARTINEZ"/>
    <n v="7"/>
    <n v="35"/>
    <d v="1899-12-31T11:00:00"/>
    <s v="IMELDACARRERA@CENTRODETECNOLOGIAS.MX"/>
    <x v="0"/>
    <n v="1081.3235"/>
    <n v="2.5"/>
    <n v="1163.79"/>
    <n v="1.9580666999707901"/>
    <n v="1158.79"/>
    <s v="AD"/>
    <n v="1"/>
    <n v="1281"/>
    <n v="1108"/>
    <n v="0"/>
    <n v="1108"/>
  </r>
  <r>
    <x v="0"/>
    <s v="HUGO RAFAEL CONTRERAS MARTINEZ"/>
    <n v="7"/>
    <n v="35"/>
    <d v="1899-12-31T11:00:00"/>
    <s v="IMELDACARRERA@CENTRODETECNOLOGIAS.MX"/>
    <x v="0"/>
    <n v="1081.3235"/>
    <n v="2.5"/>
    <n v="1163.79"/>
    <n v="1.9580666999707901"/>
    <n v="1158.79"/>
    <s v="AD"/>
    <n v="1"/>
    <n v="1281"/>
    <n v="1108"/>
    <n v="0"/>
    <n v="1108"/>
  </r>
  <r>
    <x v="0"/>
    <s v="HUGO RAFAEL CONTRERAS MARTINEZ"/>
    <n v="7"/>
    <n v="35"/>
    <d v="1899-12-31T11:00:00"/>
    <s v="IMELDACARRERA@CENTRODETECNOLOGIAS.MX"/>
    <x v="0"/>
    <n v="1081.3235"/>
    <n v="2.5"/>
    <n v="1163.79"/>
    <n v="1.9580666999707901"/>
    <n v="1158.79"/>
    <s v="AD"/>
    <n v="1"/>
    <n v="1281"/>
    <n v="1108"/>
    <n v="0"/>
    <n v="1108"/>
  </r>
  <r>
    <x v="0"/>
    <s v="JUAN MANUEL VELAZCO TENORIO"/>
    <n v="15"/>
    <n v="35"/>
    <d v="1899-12-31T11:00:00"/>
    <s v="IMELDACARRERA@CENTRODETECNOLOGIAS.MX"/>
    <x v="0"/>
    <n v="1081.3123000000001"/>
    <n v="2.5"/>
    <n v="1163.79"/>
    <n v="1.9580666999707901"/>
    <n v="1158.79"/>
    <s v="AD"/>
    <n v="1"/>
    <n v="1281"/>
    <n v="1108"/>
    <n v="0"/>
    <n v="1108"/>
  </r>
  <r>
    <x v="0"/>
    <s v="JUAN MANUEL VELAZCO TENORIO"/>
    <n v="15"/>
    <n v="35"/>
    <d v="1899-12-31T11:00:00"/>
    <s v="IMELDACARRERA@CENTRODETECNOLOGIAS.MX"/>
    <x v="0"/>
    <n v="1081.3123000000001"/>
    <n v="2.5"/>
    <n v="1163.79"/>
    <n v="1.9580666999707901"/>
    <n v="1158.79"/>
    <s v="AD"/>
    <n v="1"/>
    <n v="1281"/>
    <n v="1108"/>
    <n v="0"/>
    <n v="1108"/>
  </r>
  <r>
    <x v="0"/>
    <s v="JUAN MANUEL VELAZCO TENORIO"/>
    <n v="15"/>
    <n v="35"/>
    <d v="1899-12-31T11:00:00"/>
    <s v="IMELDACARRERA@CENTRODETECNOLOGIAS.MX"/>
    <x v="0"/>
    <n v="1081.3123000000001"/>
    <n v="2.5"/>
    <n v="1163.79"/>
    <n v="1.9580666999707901"/>
    <n v="1158.79"/>
    <s v="AD"/>
    <n v="1"/>
    <n v="1281"/>
    <n v="1108"/>
    <n v="0"/>
    <n v="1108"/>
  </r>
  <r>
    <x v="0"/>
    <s v="JUAN MANUEL VELAZCO TENORIO"/>
    <n v="15"/>
    <n v="35"/>
    <d v="1899-12-31T11:00:00"/>
    <s v="IMELDACARRERA@CENTRODETECNOLOGIAS.MX"/>
    <x v="0"/>
    <n v="1081.3123000000001"/>
    <n v="2.5"/>
    <n v="1163.79"/>
    <n v="1.9580666999707901"/>
    <n v="1158.79"/>
    <s v="AD"/>
    <n v="1"/>
    <n v="1281"/>
    <n v="1108"/>
    <n v="0"/>
    <n v="1108"/>
  </r>
  <r>
    <x v="0"/>
    <s v="JUAN MANUEL VELAZCO TENORIO"/>
    <n v="15"/>
    <n v="35"/>
    <d v="1899-12-31T11:00:00"/>
    <s v="IMELDACARRERA@CENTRODETECNOLOGIAS.MX"/>
    <x v="0"/>
    <n v="1081.3123000000001"/>
    <n v="2.5"/>
    <n v="1163.79"/>
    <n v="1.9580666999707901"/>
    <n v="1158.79"/>
    <s v="AD"/>
    <n v="1"/>
    <n v="1281"/>
    <n v="1108"/>
    <n v="0"/>
    <n v="1108"/>
  </r>
  <r>
    <x v="0"/>
    <s v="MARA DEL CARMEN LOPEZ PEREZ"/>
    <n v="11"/>
    <n v="35"/>
    <d v="1899-12-31T11:00:00"/>
    <s v="IMELDACARRERA@CENTRODETECNOLOGIAS.MX"/>
    <x v="0"/>
    <n v="1081.3842"/>
    <n v="2.5"/>
    <n v="1163.79"/>
    <n v="1.9580666999707901"/>
    <n v="1158.79"/>
    <s v="AD"/>
    <n v="1"/>
    <n v="1281"/>
    <n v="1108"/>
    <n v="0"/>
    <n v="1108"/>
  </r>
  <r>
    <x v="0"/>
    <s v="MARA DEL CARMEN LOPEZ PEREZ"/>
    <n v="11"/>
    <n v="35"/>
    <d v="1899-12-31T11:00:00"/>
    <s v="IMELDACARRERA@CENTRODETECNOLOGIAS.MX"/>
    <x v="0"/>
    <n v="1081.3842"/>
    <n v="2.5"/>
    <n v="1163.79"/>
    <n v="1.9580666999707901"/>
    <n v="1158.79"/>
    <s v="AD"/>
    <n v="1"/>
    <n v="1281"/>
    <n v="1108"/>
    <n v="0"/>
    <n v="1108"/>
  </r>
  <r>
    <x v="0"/>
    <s v="MARA DEL CARMEN LOPEZ PEREZ"/>
    <n v="11"/>
    <n v="35"/>
    <d v="1899-12-31T11:00:00"/>
    <s v="IMELDACARRERA@CENTRODETECNOLOGIAS.MX"/>
    <x v="0"/>
    <n v="1081.3842"/>
    <n v="2.5"/>
    <n v="1163.79"/>
    <n v="1.9580666999707901"/>
    <n v="1158.79"/>
    <s v="AD"/>
    <n v="1"/>
    <n v="1281"/>
    <n v="1108"/>
    <n v="0"/>
    <n v="1108"/>
  </r>
  <r>
    <x v="0"/>
    <s v="MARA DEL CARMEN LOPEZ PEREZ"/>
    <n v="11"/>
    <n v="35"/>
    <d v="1899-12-31T11:00:00"/>
    <s v="IMELDACARRERA@CENTRODETECNOLOGIAS.MX"/>
    <x v="0"/>
    <n v="1081.3842"/>
    <n v="2.5"/>
    <n v="1163.79"/>
    <n v="1.9580666999707901"/>
    <n v="1158.79"/>
    <s v="AD"/>
    <n v="1"/>
    <n v="1281"/>
    <n v="1108"/>
    <n v="0"/>
    <n v="1108"/>
  </r>
  <r>
    <x v="0"/>
    <s v="MARA DEL CARMEN LOPEZ PEREZ"/>
    <n v="11"/>
    <n v="35"/>
    <d v="1899-12-31T11:00:00"/>
    <s v="IMELDACARRERA@CENTRODETECNOLOGIAS.MX"/>
    <x v="0"/>
    <n v="1081.3842"/>
    <n v="2.5"/>
    <n v="1163.79"/>
    <n v="1.9580666999707901"/>
    <n v="1158.79"/>
    <s v="AD"/>
    <n v="1"/>
    <n v="1281"/>
    <n v="1108"/>
    <n v="0"/>
    <n v="1108"/>
  </r>
  <r>
    <x v="0"/>
    <s v="MARIA EUGENIA DIMAS MIRANDA"/>
    <n v="12"/>
    <n v="35"/>
    <d v="1899-12-31T11:00:00"/>
    <s v="IMELDACARRERA@CENTRODETECNOLOGIAS.MX"/>
    <x v="0"/>
    <n v="1081.3661"/>
    <n v="2.5"/>
    <n v="1163.79"/>
    <n v="1.9580666999707901"/>
    <n v="1158.79"/>
    <s v="AD"/>
    <n v="1"/>
    <n v="1281"/>
    <n v="1108"/>
    <n v="0"/>
    <n v="1108"/>
  </r>
  <r>
    <x v="0"/>
    <s v="MARIA EUGENIA DIMAS MIRANDA"/>
    <n v="12"/>
    <n v="35"/>
    <d v="1899-12-31T11:00:00"/>
    <s v="IMELDACARRERA@CENTRODETECNOLOGIAS.MX"/>
    <x v="0"/>
    <n v="1081.3661"/>
    <n v="2.5"/>
    <n v="1163.79"/>
    <n v="1.9580666999707901"/>
    <n v="1158.79"/>
    <s v="AD"/>
    <n v="1"/>
    <n v="1281"/>
    <n v="1108"/>
    <n v="0"/>
    <n v="1108"/>
  </r>
  <r>
    <x v="0"/>
    <s v="MARIA EUGENIA DIMAS MIRANDA"/>
    <n v="12"/>
    <n v="35"/>
    <d v="1899-12-31T11:00:00"/>
    <s v="IMELDACARRERA@CENTRODETECNOLOGIAS.MX"/>
    <x v="0"/>
    <n v="1081.3661"/>
    <n v="2.5"/>
    <n v="1163.79"/>
    <n v="1.9580666999707901"/>
    <n v="1158.79"/>
    <s v="AD"/>
    <n v="1"/>
    <n v="1281"/>
    <n v="1108"/>
    <n v="0"/>
    <n v="1108"/>
  </r>
  <r>
    <x v="0"/>
    <s v="MARIA EUGENIA DIMAS MIRANDA"/>
    <n v="12"/>
    <n v="35"/>
    <d v="1899-12-31T11:00:00"/>
    <s v="IMELDACARRERA@CENTRODETECNOLOGIAS.MX"/>
    <x v="0"/>
    <n v="1081.3661"/>
    <n v="2.5"/>
    <n v="1163.79"/>
    <n v="1.9580666999707901"/>
    <n v="1158.79"/>
    <s v="AD"/>
    <n v="1"/>
    <n v="1281"/>
    <n v="1108"/>
    <n v="0"/>
    <n v="1108"/>
  </r>
  <r>
    <x v="0"/>
    <s v="MARIA EUGENIA DIMAS MIRANDA"/>
    <n v="12"/>
    <n v="35"/>
    <d v="1899-12-31T11:00:00"/>
    <s v="IMELDACARRERA@CENTRODETECNOLOGIAS.MX"/>
    <x v="0"/>
    <n v="1081.3661"/>
    <n v="2.5"/>
    <n v="1163.79"/>
    <n v="1.9580666999707901"/>
    <n v="1158.79"/>
    <s v="AD"/>
    <n v="1"/>
    <n v="1281"/>
    <n v="1108"/>
    <n v="0"/>
    <n v="1108"/>
  </r>
  <r>
    <x v="0"/>
    <s v="RICARDO RIVAS ROQUE"/>
    <n v="23"/>
    <n v="35"/>
    <d v="1899-12-31T11:00:00"/>
    <s v="IMELDACARRERA@CENTRODETECNOLOGIAS.MX"/>
    <x v="0"/>
    <n v="1081.1686"/>
    <n v="2.5"/>
    <n v="1163.79"/>
    <n v="1.9580666999707901"/>
    <n v="1158.79"/>
    <s v="AD"/>
    <n v="1"/>
    <n v="1281"/>
    <n v="1108"/>
    <n v="0"/>
    <n v="1108"/>
  </r>
  <r>
    <x v="0"/>
    <s v="RICARDO RIVAS ROQUE"/>
    <n v="23"/>
    <n v="35"/>
    <d v="1899-12-31T11:00:00"/>
    <s v="IMELDACARRERA@CENTRODETECNOLOGIAS.MX"/>
    <x v="0"/>
    <n v="1081.1686"/>
    <n v="2.5"/>
    <n v="1163.79"/>
    <n v="1.9580666999707901"/>
    <n v="1158.79"/>
    <s v="AD"/>
    <n v="1"/>
    <n v="1281"/>
    <n v="1108"/>
    <n v="0"/>
    <n v="1108"/>
  </r>
  <r>
    <x v="0"/>
    <s v="RICARDO RIVAS ROQUE"/>
    <n v="23"/>
    <n v="35"/>
    <d v="1899-12-31T11:00:00"/>
    <s v="IMELDACARRERA@CENTRODETECNOLOGIAS.MX"/>
    <x v="0"/>
    <n v="1081.1686"/>
    <n v="2.5"/>
    <n v="1163.79"/>
    <n v="1.9580666999707901"/>
    <n v="1158.79"/>
    <s v="AD"/>
    <n v="1"/>
    <n v="1281"/>
    <n v="1108"/>
    <n v="0"/>
    <n v="1108"/>
  </r>
  <r>
    <x v="0"/>
    <s v="RICARDO RIVAS ROQUE"/>
    <n v="23"/>
    <n v="35"/>
    <d v="1899-12-31T11:00:00"/>
    <s v="IMELDACARRERA@CENTRODETECNOLOGIAS.MX"/>
    <x v="0"/>
    <n v="1081.1686"/>
    <n v="2.5"/>
    <n v="1163.79"/>
    <n v="1.9580666999707901"/>
    <n v="1158.79"/>
    <s v="AD"/>
    <n v="1"/>
    <n v="1281"/>
    <n v="1108"/>
    <n v="0"/>
    <n v="1108"/>
  </r>
  <r>
    <x v="0"/>
    <s v="RICARDO RIVAS ROQUE"/>
    <n v="23"/>
    <n v="35"/>
    <d v="1899-12-31T11:00:00"/>
    <s v="IMELDACARRERA@CENTRODETECNOLOGIAS.MX"/>
    <x v="0"/>
    <n v="1081.1686"/>
    <n v="2.5"/>
    <n v="1163.79"/>
    <n v="1.9580666999707901"/>
    <n v="1158.79"/>
    <s v="AD"/>
    <n v="1"/>
    <n v="1281"/>
    <n v="1108"/>
    <n v="0"/>
    <n v="1108"/>
  </r>
  <r>
    <x v="0"/>
    <s v="EDGAR FELIX LANDIN MORALES"/>
    <n v="17"/>
    <n v="36"/>
    <d v="1899-12-31T23:10:00"/>
    <s v="DESPINO@ARA.COM.MX"/>
    <x v="0"/>
    <n v="1081.2252000000001"/>
    <n v="2.5"/>
    <n v="1163.79"/>
    <n v="1.9580666999707901"/>
    <n v="1142.5"/>
    <s v="AD"/>
    <n v="1"/>
    <n v="1281"/>
    <n v="1108"/>
    <n v="0"/>
    <n v="1108"/>
  </r>
  <r>
    <x v="0"/>
    <s v="AIDA RODRÃGUEZ KURI"/>
    <n v="21"/>
    <n v="36"/>
    <d v="1899-12-31T23:30:00"/>
    <s v="AIDARK2011@GMAIL.COM"/>
    <x v="2"/>
    <n v="1080.9863"/>
    <n v="7"/>
    <n v="1163.79"/>
    <n v="5.4825867599182097"/>
    <n v="1158.79"/>
    <s v="AD"/>
    <n v="1"/>
    <n v="1330"/>
    <n v="1157"/>
    <n v="0"/>
    <n v="1157"/>
  </r>
  <r>
    <x v="0"/>
    <s v="BRENTY FORTUNA"/>
    <n v="24"/>
    <n v="36"/>
    <d v="1899-12-31T23:30:00"/>
    <s v="brenty.fortuna@ejemplo.com"/>
    <x v="3"/>
    <n v="1080.8022000000001"/>
    <n v="0"/>
    <n v="1163.79"/>
    <n v="0"/>
    <n v="975.86"/>
    <s v="PE"/>
    <n v="1"/>
    <n v="1254"/>
    <n v="1081"/>
    <n v="0"/>
    <n v="1081"/>
  </r>
  <r>
    <x v="0"/>
    <s v="GERARDO GONZALEZ"/>
    <n v="27"/>
    <n v="36"/>
    <d v="1899-12-31T23:30:00"/>
    <s v="gerardo.gonzalez@ejemplo.com"/>
    <x v="5"/>
    <n v="1080.7483999999999"/>
    <n v="8.5"/>
    <n v="1163.79"/>
    <n v="6.6574267799006801"/>
    <n v="1219.83"/>
    <s v="AD"/>
    <n v="1"/>
    <n v="1346"/>
    <n v="1173"/>
    <n v="0"/>
    <n v="1173"/>
  </r>
  <r>
    <x v="0"/>
    <s v="KEVIN OSVALDO MALDONADO GONZALEZ"/>
    <n v="25"/>
    <n v="36"/>
    <d v="1899-12-31T23:10:00"/>
    <s v="kevin.osvaldo.maldonado.gonzalez@ejemplo.com"/>
    <x v="5"/>
    <n v="1080.7843"/>
    <n v="8.5"/>
    <n v="1163.79"/>
    <n v="6.6574267799006801"/>
    <n v="1219.83"/>
    <s v="AD"/>
    <n v="1"/>
    <n v="1346"/>
    <n v="1173"/>
    <n v="0"/>
    <n v="1173"/>
  </r>
  <r>
    <x v="0"/>
    <s v="DIANA PATRICIA OLGUIN HERNANDEZ"/>
    <n v="5"/>
    <n v="36"/>
    <d v="1899-12-31T23:30:00"/>
    <s v="diana.patricia.olguin.hernandez@ejemplo.com"/>
    <x v="5"/>
    <n v="1081.2620999999999"/>
    <n v="8.5"/>
    <n v="1163.79"/>
    <n v="6.6574267799006801"/>
    <n v="1219.83"/>
    <s v="AD"/>
    <n v="1"/>
    <n v="1346"/>
    <n v="1173"/>
    <n v="0"/>
    <n v="1173"/>
  </r>
  <r>
    <x v="0"/>
    <s v="MARIA GUADALUPE HERNANDEZ MONROY"/>
    <n v="6"/>
    <n v="36"/>
    <d v="1899-12-31T23:30:00"/>
    <s v="maria.guadalupe.hernandez.monroy@ejemplo.com"/>
    <x v="5"/>
    <n v="1081.2440999999999"/>
    <n v="8.5"/>
    <n v="1163.79"/>
    <n v="6.6574267799006801"/>
    <n v="1219.83"/>
    <s v="AD"/>
    <n v="1"/>
    <n v="1346"/>
    <n v="1173"/>
    <n v="0"/>
    <n v="1173"/>
  </r>
  <r>
    <x v="0"/>
    <s v="SILVERIO VELZQUEZ"/>
    <n v="8"/>
    <n v="36"/>
    <d v="1899-12-31T23:30:00"/>
    <s v="silverio.velzquez@ejemplo.com"/>
    <x v="5"/>
    <n v="1081.2080000000001"/>
    <n v="8.5"/>
    <n v="1163.79"/>
    <n v="6.6574267799006801"/>
    <n v="1219.83"/>
    <s v="AD"/>
    <n v="1"/>
    <n v="1346"/>
    <n v="1173"/>
    <n v="0"/>
    <n v="1173"/>
  </r>
  <r>
    <x v="0"/>
    <s v="MARIA DEL CARMEN JIMENEZ NUÃ‘O"/>
    <n v="4"/>
    <n v="36"/>
    <d v="1899-12-31T06:00:00"/>
    <s v="MOYAHUIN73@GMAIL.COM"/>
    <x v="0"/>
    <n v="1081.3217999999999"/>
    <n v="2.5"/>
    <n v="1163.79"/>
    <n v="1.9580666999707901"/>
    <n v="1142.5"/>
    <s v="AD"/>
    <n v="1"/>
    <n v="1281"/>
    <n v="1108"/>
    <n v="0"/>
    <n v="1108"/>
  </r>
  <r>
    <x v="0"/>
    <s v="FAUSTO EMMANUEL ARELLANO JIMÃ‰NEZ"/>
    <n v="18"/>
    <n v="36"/>
    <d v="1899-12-31T23:10:00"/>
    <s v="FAUSTOE.ARELLANO@HOTMAIL.COM"/>
    <x v="0"/>
    <n v="1080.9733000000001"/>
    <n v="2.5"/>
    <n v="1163.79"/>
    <n v="1.9580666999707901"/>
    <n v="1142.5"/>
    <s v="AD"/>
    <n v="1"/>
    <n v="1281"/>
    <n v="1108"/>
    <n v="0"/>
    <n v="1108"/>
  </r>
  <r>
    <x v="0"/>
    <s v="GABRIELA UGALDE"/>
    <n v="20"/>
    <n v="36"/>
    <d v="1899-12-31T23:30:00"/>
    <s v="gabriela.ugalde@ejemplo.com"/>
    <x v="5"/>
    <n v="1080.9924000000001"/>
    <n v="8.5"/>
    <n v="1163.79"/>
    <n v="6.6574267799006801"/>
    <n v="1219.83"/>
    <s v="AD"/>
    <n v="1"/>
    <n v="1346"/>
    <n v="1173"/>
    <n v="0"/>
    <n v="1173"/>
  </r>
  <r>
    <x v="0"/>
    <s v="JESUS ORTIZ"/>
    <n v="12"/>
    <n v="36"/>
    <d v="1899-12-31T23:59:00"/>
    <s v="ONEPLUS9PRO1420@GMAIL.COM"/>
    <x v="3"/>
    <n v="1081.1473000000001"/>
    <n v="0"/>
    <n v="1163.79"/>
    <n v="0"/>
    <n v="1158.79"/>
    <s v="AD"/>
    <n v="1"/>
    <n v="1254"/>
    <n v="1081"/>
    <n v="0"/>
    <n v="1081"/>
  </r>
  <r>
    <x v="0"/>
    <s v="ANA KAREN OLIVARES DÃVILA"/>
    <n v="12"/>
    <n v="36"/>
    <d v="1899-12-31T02:00:00"/>
    <s v="ana.karen.olivares.dÃ¡vila@ejemplo.com"/>
    <x v="0"/>
    <n v="1081.3125"/>
    <n v="2.5"/>
    <n v="1163.79"/>
    <n v="1.9580666999707901"/>
    <n v="1142.5"/>
    <s v="AD"/>
    <n v="1"/>
    <n v="1281"/>
    <n v="1108"/>
    <n v="0"/>
    <n v="1108"/>
  </r>
  <r>
    <x v="0"/>
    <s v="JONATHAN VARELA ERIVES"/>
    <n v="11"/>
    <n v="36"/>
    <d v="1899-12-31T02:00:00"/>
    <s v="jonathan.varela.erives@ejemplo.com"/>
    <x v="0"/>
    <n v="1081.3304000000001"/>
    <n v="2.5"/>
    <n v="1163.79"/>
    <n v="1.9580666999707901"/>
    <n v="1142.5"/>
    <s v="AD"/>
    <n v="1"/>
    <n v="1281"/>
    <n v="1108"/>
    <n v="0"/>
    <n v="1108"/>
  </r>
  <r>
    <x v="0"/>
    <s v="ISRAEL CRUZ"/>
    <n v="26"/>
    <n v="36"/>
    <d v="1899-12-31T23:30:00"/>
    <s v="israel.cruz@ejemplo.com"/>
    <x v="5"/>
    <n v="1080.7659000000001"/>
    <n v="8.5"/>
    <n v="1163.79"/>
    <n v="6.6574267799006801"/>
    <n v="1219.83"/>
    <s v="AD"/>
    <n v="1"/>
    <n v="1346"/>
    <n v="1173"/>
    <n v="0"/>
    <n v="1173"/>
  </r>
  <r>
    <x v="0"/>
    <s v="JAIR DE JESUS FERREIRA CARDENAS"/>
    <n v="16"/>
    <n v="36"/>
    <d v="1899-12-31T02:00:00"/>
    <s v="OALCARAZ@NEKTAR.COM.MX"/>
    <x v="3"/>
    <n v="1081.2281"/>
    <n v="0"/>
    <n v="1163.79"/>
    <n v="0"/>
    <n v="1158.79"/>
    <s v="AD"/>
    <n v="1"/>
    <n v="1254"/>
    <n v="1081"/>
    <n v="0"/>
    <n v="1081"/>
  </r>
  <r>
    <x v="0"/>
    <s v="ALEJANDRO EFRAIN JIMENEZ ZAMORA"/>
    <n v="10"/>
    <n v="36"/>
    <d v="1899-12-31T02:00:00"/>
    <s v="EMILIO.SAINZ.2010@GMAIL.COM"/>
    <x v="3"/>
    <n v="1081.3484000000001"/>
    <n v="0"/>
    <n v="1163.79"/>
    <n v="0"/>
    <n v="1142.5"/>
    <s v="AD"/>
    <n v="1"/>
    <n v="1254"/>
    <n v="1081"/>
    <n v="0"/>
    <n v="1081"/>
  </r>
  <r>
    <x v="0"/>
    <s v="ALEJANDRO EFRAIN JIMENEZ ZAMORA"/>
    <n v="10"/>
    <n v="36"/>
    <d v="1899-12-31T02:00:00"/>
    <s v="EMILIO.SAINZ.2010@GMAIL.COM"/>
    <x v="3"/>
    <n v="1081.3484000000001"/>
    <n v="0"/>
    <n v="1163.79"/>
    <n v="0"/>
    <n v="1142.5"/>
    <s v="AD"/>
    <n v="1"/>
    <n v="1254"/>
    <n v="1081"/>
    <n v="0"/>
    <n v="1081"/>
  </r>
  <r>
    <x v="0"/>
    <s v="EMILIO SAINZ CURIEL"/>
    <n v="7"/>
    <n v="36"/>
    <d v="1899-12-31T02:00:00"/>
    <s v="EMILIO.SAINZ.2010@GMAIL.COM"/>
    <x v="3"/>
    <n v="1081.4023"/>
    <n v="0"/>
    <n v="1163.79"/>
    <n v="0"/>
    <n v="1142.5"/>
    <s v="AD"/>
    <n v="1"/>
    <n v="1254"/>
    <n v="1081"/>
    <n v="0"/>
    <n v="1081"/>
  </r>
  <r>
    <x v="0"/>
    <s v="EMILIO SAINZ CURIEL"/>
    <n v="7"/>
    <n v="36"/>
    <d v="1899-12-31T02:00:00"/>
    <s v="EMILIO.SAINZ.2010@GMAIL.COM"/>
    <x v="3"/>
    <n v="1081.4023"/>
    <n v="0"/>
    <n v="1163.79"/>
    <n v="0"/>
    <n v="1142.5"/>
    <s v="AD"/>
    <n v="1"/>
    <n v="1254"/>
    <n v="1081"/>
    <n v="0"/>
    <n v="1081"/>
  </r>
  <r>
    <x v="0"/>
    <s v="ANTONIO ALVAREZ"/>
    <n v="20"/>
    <n v="36"/>
    <d v="1899-12-31T23:59:00"/>
    <s v="antonio.alvarez@ejemplo.com"/>
    <x v="5"/>
    <n v="1080.9924000000001"/>
    <n v="8.5"/>
    <n v="1163.79"/>
    <n v="6.6574267799006801"/>
    <n v="1219.83"/>
    <s v="AD"/>
    <n v="1"/>
    <n v="1346"/>
    <n v="1173"/>
    <n v="0"/>
    <n v="1173"/>
  </r>
  <r>
    <x v="1"/>
    <s v="JOSE ANTONIO OCEGUERA"/>
    <n v="11"/>
    <n v="36"/>
    <d v="1899-12-31T23:59:00"/>
    <s v="jose.antonio.oceguera@ejemplo.com"/>
    <x v="5"/>
    <n v="1081.1537000000001"/>
    <n v="8.5"/>
    <n v="1163.79"/>
    <n v="6.6574267799006801"/>
    <n v="1202.5899999999999"/>
    <s v="AD"/>
    <n v="1"/>
    <n v="1346"/>
    <n v="1173"/>
    <n v="0"/>
    <n v="1173"/>
  </r>
  <r>
    <x v="1"/>
    <s v="ISAAC OMAR RODRIGUEZ"/>
    <n v="14"/>
    <n v="36"/>
    <d v="1899-12-31T23:59:00"/>
    <s v="isaac.omar.rodriguez@ejemplo.com"/>
    <x v="5"/>
    <n v="1081.0997"/>
    <n v="8.5"/>
    <n v="1163.79"/>
    <n v="6.6574267799006801"/>
    <n v="1202.5899999999999"/>
    <s v="AD"/>
    <n v="1"/>
    <n v="1346"/>
    <n v="1173"/>
    <n v="0"/>
    <n v="1173"/>
  </r>
  <r>
    <x v="1"/>
    <s v="DANIEL GUTIERREZ"/>
    <n v="15"/>
    <n v="36"/>
    <d v="1899-12-31T23:59:00"/>
    <s v="daniel.gutierrez@ejemplo.com"/>
    <x v="5"/>
    <n v="1081.0817"/>
    <n v="8.5"/>
    <n v="1163.79"/>
    <n v="6.6574267799006801"/>
    <n v="1202.5899999999999"/>
    <s v="AD"/>
    <n v="1"/>
    <n v="1346"/>
    <n v="1173"/>
    <n v="0"/>
    <n v="1173"/>
  </r>
  <r>
    <x v="1"/>
    <s v="CE4SASR OMAR EUFRACIO MORALES"/>
    <n v="24"/>
    <n v="36"/>
    <d v="1899-12-31T02:00:00"/>
    <s v="ce4sasr.omar.eufracio.morales@ejemplo.com"/>
    <x v="2"/>
    <n v="1080.9507000000001"/>
    <n v="7"/>
    <n v="1163.79"/>
    <n v="5.4825867599182097"/>
    <n v="1202.5899999999999"/>
    <s v="AD"/>
    <n v="1"/>
    <n v="1330"/>
    <n v="1157"/>
    <n v="0"/>
    <n v="1157"/>
  </r>
  <r>
    <x v="1"/>
    <s v="ARTURO CHAVARRIA"/>
    <n v="17"/>
    <n v="36"/>
    <d v="1899-12-31T02:00:00"/>
    <s v="arturo.chavarria@ejemplo.com"/>
    <x v="4"/>
    <n v="1081.2092"/>
    <n v="5"/>
    <n v="1163.79"/>
    <n v="3.9161333999415802"/>
    <n v="601.29"/>
    <s v="IN"/>
    <n v="1"/>
    <n v="1308"/>
    <n v="1135"/>
    <n v="0.5"/>
    <n v="567.5"/>
  </r>
  <r>
    <x v="1"/>
    <s v="FELIX LOPEZ GOMEZ"/>
    <n v="32"/>
    <n v="36"/>
    <d v="1899-12-31T02:00:00"/>
    <s v="felix.lopez.gomez@ejemplo.com"/>
    <x v="0"/>
    <n v="1080.8069"/>
    <n v="2.5"/>
    <n v="1163.79"/>
    <n v="1.9580666999707901"/>
    <n v="962.07"/>
    <s v="PE"/>
    <n v="1"/>
    <n v="1281"/>
    <n v="1108"/>
    <n v="0"/>
    <n v="1108"/>
  </r>
  <r>
    <x v="1"/>
    <s v="BRAYAN ALCARA"/>
    <n v="19"/>
    <n v="36"/>
    <d v="1899-12-31T02:00:00"/>
    <s v="brayan.alcara@ejemplo.com"/>
    <x v="2"/>
    <n v="1081.1732"/>
    <n v="7"/>
    <n v="1163.79"/>
    <n v="5.4825867599182097"/>
    <n v="1202.5899999999999"/>
    <s v="AD"/>
    <n v="1"/>
    <n v="1330"/>
    <n v="1157"/>
    <n v="0"/>
    <n v="1157"/>
  </r>
  <r>
    <x v="1"/>
    <s v="JUAN MARTINEZ"/>
    <n v="20"/>
    <n v="36"/>
    <d v="1899-12-31T02:00:00"/>
    <s v="juan.martinez@ejemplo.com"/>
    <x v="2"/>
    <n v="1081.1552999999999"/>
    <n v="7"/>
    <n v="1163.79"/>
    <n v="5.4825867599182097"/>
    <n v="1202.5899999999999"/>
    <s v="AD"/>
    <n v="1"/>
    <n v="1330"/>
    <n v="1157"/>
    <n v="0"/>
    <n v="1157"/>
  </r>
  <r>
    <x v="1"/>
    <s v="CRISTIAN ULISES CALLEJA PEREZ"/>
    <n v="3"/>
    <n v="36"/>
    <d v="1899-12-31T02:00:00"/>
    <s v="cristian.ulises.calleja.perez@ejemplo.com"/>
    <x v="0"/>
    <n v="1081.4601"/>
    <n v="2.5"/>
    <n v="1163.79"/>
    <n v="1.9580666999707901"/>
    <n v="962.07"/>
    <s v="PE"/>
    <n v="1"/>
    <n v="1282"/>
    <n v="1108"/>
    <n v="0"/>
    <n v="1108"/>
  </r>
  <r>
    <x v="1"/>
    <s v="ISIS RIZO HUERTA"/>
    <n v="30"/>
    <n v="36"/>
    <d v="1899-12-31T02:00:00"/>
    <s v="isis.rizo.huerta@ejemplo.com"/>
    <x v="2"/>
    <n v="1080.8423"/>
    <n v="7"/>
    <n v="1163.79"/>
    <n v="5.4825867599182097"/>
    <n v="1202.5899999999999"/>
    <s v="AD"/>
    <n v="1"/>
    <n v="1329"/>
    <n v="1157"/>
    <n v="0"/>
    <n v="1157"/>
  </r>
  <r>
    <x v="1"/>
    <s v="ARNULFO JUAREZ DAUTO"/>
    <n v="31"/>
    <n v="36"/>
    <d v="1899-12-31T02:00:00"/>
    <s v="arnulfo.juarez.dauto@ejemplo.com"/>
    <x v="2"/>
    <n v="1080.8243"/>
    <n v="7"/>
    <n v="1163.79"/>
    <n v="5.4825867599182097"/>
    <n v="1202.5899999999999"/>
    <s v="AD"/>
    <n v="1"/>
    <n v="1329"/>
    <n v="1156"/>
    <n v="0"/>
    <n v="1156"/>
  </r>
  <r>
    <x v="1"/>
    <s v="GLORIA GARCIA QORTEGA"/>
    <n v="1"/>
    <n v="36"/>
    <d v="1899-12-31T02:00:00"/>
    <s v="gloria.garcia.qortega@ejemplo.com"/>
    <x v="2"/>
    <n v="1081.4960000000001"/>
    <n v="7"/>
    <n v="1163.79"/>
    <n v="5.4825867599182097"/>
    <n v="1202.5899999999999"/>
    <s v="AD"/>
    <n v="1"/>
    <n v="1330"/>
    <n v="1157"/>
    <n v="0"/>
    <n v="1157"/>
  </r>
  <r>
    <x v="1"/>
    <s v="JOSÃ‰ CRUZ AVILAN MURILLO"/>
    <n v="21"/>
    <n v="36"/>
    <d v="1899-12-31T11:00:00"/>
    <s v="CRUZAVILAN@HOTMAIL.COM"/>
    <x v="3"/>
    <n v="1081.1455000000001"/>
    <n v="0"/>
    <n v="1163.79"/>
    <n v="0"/>
    <n v="1142.5"/>
    <s v="AD"/>
    <n v="1"/>
    <n v="1254"/>
    <n v="1081"/>
    <n v="0"/>
    <n v="1081"/>
  </r>
  <r>
    <x v="1"/>
    <s v="MIGUEL ÃNGEL MENDOZA MARTÃNEZ"/>
    <n v="25"/>
    <n v="36"/>
    <d v="1899-12-31T06:00:00"/>
    <s v="MMIGUEL.MENDOZAM@GMAIL.COM"/>
    <x v="3"/>
    <n v="1080.9435000000001"/>
    <n v="0"/>
    <n v="1163.79"/>
    <n v="0"/>
    <n v="1142.5"/>
    <s v="AD"/>
    <n v="1"/>
    <n v="1254"/>
    <n v="1081"/>
    <n v="0"/>
    <n v="1081"/>
  </r>
  <r>
    <x v="1"/>
    <s v="JUAN BAEZ"/>
    <n v="18"/>
    <n v="36"/>
    <d v="1899-12-31T02:00:00"/>
    <s v="DRJUANBAEZ100@GMAIL.COM"/>
    <x v="4"/>
    <n v="1079.1596999999999"/>
    <n v="5"/>
    <n v="1163.79"/>
    <n v="3.9161333999415802"/>
    <n v="601.29"/>
    <s v="IN"/>
    <n v="1"/>
    <n v="1306"/>
    <n v="1133"/>
    <n v="0.5"/>
    <n v="566.5"/>
  </r>
  <r>
    <x v="1"/>
    <s v="MARIO CERVANTES"/>
    <n v="36"/>
    <n v="36"/>
    <d v="1899-12-31T02:00:00"/>
    <s v="MARIOCERVANTES007@HOTMAIL.COM"/>
    <x v="3"/>
    <n v="1080.7476999999999"/>
    <n v="0"/>
    <n v="1163.79"/>
    <n v="0"/>
    <n v="1142.5"/>
    <s v="AD"/>
    <n v="1"/>
    <n v="1254"/>
    <n v="1081"/>
    <n v="0"/>
    <n v="1081"/>
  </r>
  <r>
    <x v="1"/>
    <s v="ANA KAREN MONSERRAT HERNÃNDEZ ZUÃ‘IGA"/>
    <n v="16"/>
    <n v="36"/>
    <d v="1899-12-31T11:00:00"/>
    <s v="MONSEE.AH@GMAIL.COM"/>
    <x v="3"/>
    <n v="1081.2352000000001"/>
    <n v="0"/>
    <n v="1163.79"/>
    <n v="0"/>
    <n v="1142.5"/>
    <s v="AD"/>
    <n v="1"/>
    <n v="1254"/>
    <n v="1081"/>
    <n v="0"/>
    <n v="1081"/>
  </r>
  <r>
    <x v="1"/>
    <s v="PATRICIA LOPEZ"/>
    <n v="4"/>
    <n v="36"/>
    <d v="1899-12-31T02:00:00"/>
    <s v="PATYTUXLOP@HOTMAIL.COM"/>
    <x v="4"/>
    <n v="1079.2781"/>
    <n v="5"/>
    <n v="1163.79"/>
    <n v="3.9161333999415802"/>
    <n v="601.29"/>
    <s v="IN"/>
    <n v="1"/>
    <n v="1306"/>
    <n v="1133"/>
    <n v="0.5"/>
    <n v="566.5"/>
  </r>
  <r>
    <x v="1"/>
    <s v="MARIA ELENA MARTINEZ PAZ"/>
    <n v="35"/>
    <n v="36"/>
    <d v="1899-12-31T06:00:00"/>
    <s v="MARIAELENAMARTINEZPAZ28@GMAIL.COM"/>
    <x v="3"/>
    <n v="1078.7157999999999"/>
    <n v="0"/>
    <n v="1163.79"/>
    <n v="0"/>
    <n v="601.29"/>
    <s v="OD"/>
    <n v="1"/>
    <n v="1251"/>
    <n v="1079"/>
    <n v="0.5"/>
    <n v="539.5"/>
  </r>
  <r>
    <x v="1"/>
    <s v="PERLA PEREZ CLAVEL"/>
    <n v="16"/>
    <n v="36"/>
    <d v="1899-12-31T06:00:00"/>
    <s v="perla.perez.clavel@ejemplo.com"/>
    <x v="3"/>
    <n v="1081.2216000000001"/>
    <n v="0"/>
    <n v="1163.79"/>
    <n v="0"/>
    <n v="962.07"/>
    <s v="PE"/>
    <n v="1"/>
    <n v="1254"/>
    <n v="1081"/>
    <n v="0"/>
    <n v="1081"/>
  </r>
  <r>
    <x v="1"/>
    <s v="ALAN JOSUE TORRES PEREZ"/>
    <n v="13"/>
    <n v="36"/>
    <d v="1899-12-31T23:30:00"/>
    <s v="alan.josue.torres.perez@ejemplo.com"/>
    <x v="2"/>
    <n v="1081.1017999999999"/>
    <n v="7"/>
    <n v="1163.79"/>
    <n v="5.4825867599182097"/>
    <n v="1082.33"/>
    <s v="AD"/>
    <n v="1"/>
    <n v="1330"/>
    <n v="1157"/>
    <n v="0"/>
    <n v="1157"/>
  </r>
  <r>
    <x v="1"/>
    <s v="FERNANDO PACHECO"/>
    <n v="16"/>
    <n v="36"/>
    <d v="1899-12-31T06:00:00"/>
    <s v="fernando.pacheco@ejemplo.com"/>
    <x v="5"/>
    <n v="1081.2755999999999"/>
    <n v="8.5"/>
    <n v="1163.79"/>
    <n v="6.6574267799006801"/>
    <n v="1219.83"/>
    <s v="AD"/>
    <n v="1"/>
    <n v="1346"/>
    <n v="1173"/>
    <n v="0"/>
    <n v="1173"/>
  </r>
  <r>
    <x v="1"/>
    <s v="HÃ‰CTOR EDUARDO ZAMUDIO HERNÃNDEZ"/>
    <n v="4"/>
    <n v="36"/>
    <d v="1899-12-31T23:30:00"/>
    <s v="ELGUKI@GMAIL.COM"/>
    <x v="0"/>
    <n v="1081.1416999999999"/>
    <n v="2.5"/>
    <n v="1163.79"/>
    <n v="1.9580666999707901"/>
    <n v="1082.33"/>
    <s v="AD"/>
    <n v="1"/>
    <n v="1281"/>
    <n v="1108"/>
    <n v="0"/>
    <n v="1108"/>
  </r>
  <r>
    <x v="1"/>
    <s v="FABIOLA RODRIGUEZ"/>
    <n v="33"/>
    <n v="36"/>
    <d v="1899-12-31T23:59:00"/>
    <s v="fabiola.rodriguez@ejemplo.com"/>
    <x v="2"/>
    <n v="1080.6143"/>
    <n v="7"/>
    <n v="1163.79"/>
    <n v="5.4825867599182097"/>
    <n v="1219.83"/>
    <s v="AD"/>
    <n v="1"/>
    <n v="1329"/>
    <n v="1156"/>
    <n v="0"/>
    <n v="1156"/>
  </r>
  <r>
    <x v="1"/>
    <s v="OLIVIA RODRIGUEZ"/>
    <n v="34"/>
    <n v="36"/>
    <d v="1899-12-31T23:59:00"/>
    <s v="olivia.rodriguez@ejemplo.com"/>
    <x v="2"/>
    <n v="1080.5962"/>
    <n v="7"/>
    <n v="1163.79"/>
    <n v="5.4825867599182097"/>
    <n v="1219.83"/>
    <s v="AD"/>
    <n v="1"/>
    <n v="1329"/>
    <n v="1156"/>
    <n v="0"/>
    <n v="1156"/>
  </r>
  <r>
    <x v="1"/>
    <s v="JOVITA ADELA GALVAN BARRAGAN"/>
    <n v="1"/>
    <n v="36"/>
    <d v="1899-12-31T23:59:00"/>
    <s v="ANDREA_GUIZAR_31@HOTMAIL.COM"/>
    <x v="4"/>
    <n v="1081.271"/>
    <n v="5"/>
    <n v="1163.79"/>
    <n v="3.9161333999415802"/>
    <n v="601.29"/>
    <s v="IN"/>
    <n v="1"/>
    <n v="1308"/>
    <n v="1135"/>
    <n v="0.5"/>
    <n v="567.5"/>
  </r>
  <r>
    <x v="1"/>
    <s v="MANUEL COCA"/>
    <n v="8"/>
    <n v="36"/>
    <d v="1899-12-31T11:00:00"/>
    <s v="MCOCA1981@GMAIL.COM"/>
    <x v="2"/>
    <n v="1081.3595"/>
    <n v="7"/>
    <n v="1163.79"/>
    <n v="5.4825867599182097"/>
    <n v="1082.33"/>
    <s v="AD"/>
    <n v="1"/>
    <n v="1330"/>
    <n v="1157"/>
    <n v="0"/>
    <n v="1157"/>
  </r>
  <r>
    <x v="1"/>
    <s v="XIOMARA IZAGUIRRE FIGUEREDO"/>
    <n v="9"/>
    <n v="36"/>
    <d v="1899-12-31T11:00:00"/>
    <s v="MCOCA1981@GMAIL.COM"/>
    <x v="2"/>
    <n v="1081.3416999999999"/>
    <n v="7"/>
    <n v="1163.79"/>
    <n v="5.4825867599182097"/>
    <n v="1082.33"/>
    <s v="AD"/>
    <n v="1"/>
    <n v="1330"/>
    <n v="1157"/>
    <n v="0"/>
    <n v="1157"/>
  </r>
  <r>
    <x v="1"/>
    <s v="ROSENDO RICARDO RAMIREZ MORENO"/>
    <n v="5"/>
    <n v="36"/>
    <d v="1899-12-31T11:00:00"/>
    <s v="RICARDO_RAMIREZ1978@HOTMAIL.COM"/>
    <x v="3"/>
    <n v="1081.4251999999999"/>
    <n v="0"/>
    <n v="1163.79"/>
    <n v="0"/>
    <n v="1142.5"/>
    <s v="AD"/>
    <n v="1"/>
    <n v="1254"/>
    <n v="1081"/>
    <n v="0"/>
    <n v="1081"/>
  </r>
  <r>
    <x v="1"/>
    <s v="CLAUDIA MARIA AGUILAR BADILLO"/>
    <n v="1"/>
    <n v="36"/>
    <d v="1899-12-31T11:00:00"/>
    <s v="claudia.maria.aguilar.badillo@ejemplo.com"/>
    <x v="5"/>
    <n v="1081.4845"/>
    <n v="8.5"/>
    <n v="1163.79"/>
    <n v="6.6574267799006801"/>
    <n v="1082.33"/>
    <s v="AD"/>
    <n v="1"/>
    <n v="1346"/>
    <n v="1173"/>
    <n v="0"/>
    <n v="1173"/>
  </r>
  <r>
    <x v="1"/>
    <s v="MARLEN LUCERO MARTINES VELASCO"/>
    <n v="8"/>
    <n v="36"/>
    <d v="1899-12-31T23:59:00"/>
    <s v="MVELASCO.MTS@GMAIL.COM"/>
    <x v="0"/>
    <n v="1081.2009"/>
    <n v="2.5"/>
    <n v="1163.79"/>
    <n v="1.9580666999707901"/>
    <n v="1158.79"/>
    <s v="AD"/>
    <n v="1"/>
    <n v="1281"/>
    <n v="1108"/>
    <n v="0"/>
    <n v="1108"/>
  </r>
  <r>
    <x v="1"/>
    <s v="MARGARITA RAMIREZ"/>
    <n v="4"/>
    <n v="36"/>
    <d v="1899-12-31T11:00:00"/>
    <s v="margarita.ramirez@ejemplo.com"/>
    <x v="5"/>
    <n v="1081.3088"/>
    <n v="8.5"/>
    <n v="1163.79"/>
    <n v="6.6574267799006801"/>
    <n v="1202.5899999999999"/>
    <s v="AD"/>
    <n v="1"/>
    <n v="1346"/>
    <n v="1173"/>
    <n v="0"/>
    <n v="1173"/>
  </r>
  <r>
    <x v="1"/>
    <s v="LUIS SOSA PALACIOS"/>
    <n v="1"/>
    <n v="36"/>
    <d v="1899-12-31T06:00:00"/>
    <s v="luis.sosa.palacios@ejemplo.com"/>
    <x v="1"/>
    <n v="1081.5999999999999"/>
    <n v="10"/>
    <n v="1163.79"/>
    <n v="7.8322667998831603"/>
    <n v="601.29"/>
    <s v="NI"/>
    <n v="1"/>
    <n v="1363"/>
    <n v="1190"/>
    <n v="0.5"/>
    <n v="595"/>
  </r>
  <r>
    <x v="1"/>
    <s v="JOSÃ‰ CARLOS GARCÃA"/>
    <n v="28"/>
    <n v="36"/>
    <d v="1899-12-31T06:00:00"/>
    <s v="josÃ©.carlos.garcÃ­a@ejemplo.com"/>
    <x v="0"/>
    <n v="1080.9375"/>
    <n v="2.5"/>
    <n v="1163.79"/>
    <n v="1.9580666999707901"/>
    <n v="1158.79"/>
    <s v="AD"/>
    <n v="1"/>
    <n v="1281"/>
    <n v="1108"/>
    <n v="0"/>
    <n v="1108"/>
  </r>
  <r>
    <x v="1"/>
    <s v="AMANDA LOPEZ"/>
    <n v="19"/>
    <n v="36"/>
    <d v="1899-12-31T11:00:00"/>
    <s v="AMYCLPZ0418@GMAIL.COM"/>
    <x v="0"/>
    <n v="1081.4368999999999"/>
    <n v="2.5"/>
    <n v="1163.79"/>
    <n v="1.9580666999707901"/>
    <n v="1142.5"/>
    <s v="AD"/>
    <n v="1"/>
    <n v="1282"/>
    <n v="1108"/>
    <n v="0"/>
    <n v="1108"/>
  </r>
  <r>
    <x v="1"/>
    <s v="AMANDA LOPEZ"/>
    <n v="19"/>
    <n v="36"/>
    <d v="1899-12-31T11:00:00"/>
    <s v="AMYCLPZ0418@GMAIL.COM"/>
    <x v="0"/>
    <n v="1081.4368999999999"/>
    <n v="2.5"/>
    <n v="1163.79"/>
    <n v="1.9580666999707901"/>
    <n v="1142.5"/>
    <s v="AD"/>
    <n v="1"/>
    <n v="1282"/>
    <n v="1108"/>
    <n v="0"/>
    <n v="1108"/>
  </r>
  <r>
    <x v="1"/>
    <s v="GUSTAVO LOPEZ"/>
    <n v="20"/>
    <n v="36"/>
    <d v="1899-12-31T11:00:00"/>
    <s v="AMYCLPZ0418@GMAIL.COM"/>
    <x v="0"/>
    <n v="1081.4190000000001"/>
    <n v="2.5"/>
    <n v="1163.79"/>
    <n v="1.9580666999707901"/>
    <n v="1142.5"/>
    <s v="AD"/>
    <n v="1"/>
    <n v="1281"/>
    <n v="1108"/>
    <n v="0"/>
    <n v="1108"/>
  </r>
  <r>
    <x v="1"/>
    <s v="GUSTAVO LOPEZ"/>
    <n v="20"/>
    <n v="36"/>
    <d v="1899-12-31T11:00:00"/>
    <s v="AMYCLPZ0418@GMAIL.COM"/>
    <x v="0"/>
    <n v="1081.4190000000001"/>
    <n v="2.5"/>
    <n v="1163.79"/>
    <n v="1.9580666999707901"/>
    <n v="1142.5"/>
    <s v="AD"/>
    <n v="1"/>
    <n v="1281"/>
    <n v="1108"/>
    <n v="0"/>
    <n v="1108"/>
  </r>
  <r>
    <x v="1"/>
    <s v="RODOLFO JIMENEZ"/>
    <n v="35"/>
    <n v="36"/>
    <d v="1899-12-31T23:30:00"/>
    <s v="RODJM16@GMAIL.COM"/>
    <x v="0"/>
    <n v="1080.5824"/>
    <n v="2.5"/>
    <n v="1163.79"/>
    <n v="1.9580666999707901"/>
    <n v="1158.79"/>
    <s v="AD"/>
    <n v="1"/>
    <n v="1280"/>
    <n v="1108"/>
    <n v="0"/>
    <n v="1108"/>
  </r>
  <r>
    <x v="1"/>
    <s v="MARÃA XIMENA ANZOLA SUÃREZ"/>
    <n v="6"/>
    <n v="36"/>
    <d v="1899-12-31T23:30:00"/>
    <s v="MAURO.ANZOLA@GMAIL.COM"/>
    <x v="0"/>
    <n v="1081.2352000000001"/>
    <n v="2.5"/>
    <n v="1163.79"/>
    <n v="1.9580666999707901"/>
    <n v="1158.79"/>
    <s v="AD"/>
    <n v="1"/>
    <n v="1281"/>
    <n v="1108"/>
    <n v="0"/>
    <n v="1108"/>
  </r>
  <r>
    <x v="1"/>
    <s v="MARÃA XIMENA ANZOLA SUÃREZ"/>
    <n v="6"/>
    <n v="36"/>
    <d v="1899-12-31T23:30:00"/>
    <s v="MILENASUAREZB@GMAIL.COM"/>
    <x v="0"/>
    <n v="1081.2352000000001"/>
    <n v="2.5"/>
    <n v="1163.79"/>
    <n v="1.9580666999707901"/>
    <n v="1158.79"/>
    <s v="AD"/>
    <n v="1"/>
    <n v="1281"/>
    <n v="1108"/>
    <n v="0"/>
    <n v="1108"/>
  </r>
  <r>
    <x v="1"/>
    <s v="MAURO GERMAN ANZOLA SARMIENTO"/>
    <n v="5"/>
    <n v="36"/>
    <d v="1899-12-31T23:30:00"/>
    <s v="MAURO.ANZOLA@GMAIL.COM"/>
    <x v="0"/>
    <n v="1081.2535"/>
    <n v="2.5"/>
    <n v="1163.79"/>
    <n v="1.9580666999707901"/>
    <n v="1158.79"/>
    <s v="AD"/>
    <n v="1"/>
    <n v="1281"/>
    <n v="1108"/>
    <n v="0"/>
    <n v="1108"/>
  </r>
  <r>
    <x v="1"/>
    <s v="MAURO GERMAN ANZOLA SARMIENTO"/>
    <n v="5"/>
    <n v="36"/>
    <d v="1899-12-31T23:30:00"/>
    <s v="MILENASUAREZB@GMAIL.COM"/>
    <x v="0"/>
    <n v="1081.2535"/>
    <n v="2.5"/>
    <n v="1163.79"/>
    <n v="1.9580666999707901"/>
    <n v="1158.79"/>
    <s v="AD"/>
    <n v="1"/>
    <n v="1281"/>
    <n v="1108"/>
    <n v="0"/>
    <n v="1108"/>
  </r>
  <r>
    <x v="1"/>
    <s v="YENNY MILENA SUÃREZ BUSTOS"/>
    <n v="7"/>
    <n v="36"/>
    <d v="1899-12-31T23:30:00"/>
    <s v="MAURO.ANZOLA@GMAIL.COM"/>
    <x v="0"/>
    <n v="1081.2174"/>
    <n v="2.5"/>
    <n v="1163.79"/>
    <n v="1.9580666999707901"/>
    <n v="1158.79"/>
    <s v="AD"/>
    <n v="1"/>
    <n v="1281"/>
    <n v="1108"/>
    <n v="0"/>
    <n v="1108"/>
  </r>
  <r>
    <x v="1"/>
    <s v="YENNY MILENA SUÃREZ BUSTOS"/>
    <n v="7"/>
    <n v="36"/>
    <d v="1899-12-31T23:30:00"/>
    <s v="MILENASUAREZB@GMAIL.COM"/>
    <x v="0"/>
    <n v="1081.2174"/>
    <n v="2.5"/>
    <n v="1163.79"/>
    <n v="1.9580666999707901"/>
    <n v="1158.79"/>
    <s v="AD"/>
    <n v="1"/>
    <n v="1281"/>
    <n v="1108"/>
    <n v="0"/>
    <n v="1108"/>
  </r>
  <r>
    <x v="1"/>
    <s v="DARIO ULISES PEÃ‘A CASTRO"/>
    <n v="20"/>
    <n v="36"/>
    <d v="1899-12-31T06:00:00"/>
    <s v="GABO_FERRER@HOTMAIL.COM"/>
    <x v="0"/>
    <n v="1081.213"/>
    <n v="2.5"/>
    <n v="1163.79"/>
    <n v="1.9580666999707901"/>
    <n v="1158.79"/>
    <s v="AD"/>
    <n v="1"/>
    <n v="1281"/>
    <n v="1108"/>
    <n v="0"/>
    <n v="1108"/>
  </r>
  <r>
    <x v="1"/>
    <s v="ABRAHAM MARQUEZ GARCIA"/>
    <n v="11"/>
    <n v="36"/>
    <d v="1899-12-31T23:59:00"/>
    <s v="AUXILIAR@TECNOVAPOR.COM.MX"/>
    <x v="0"/>
    <n v="1081.1455000000001"/>
    <n v="2.5"/>
    <n v="1163.79"/>
    <n v="1.9580666999707901"/>
    <n v="1158.79"/>
    <s v="AD"/>
    <n v="1"/>
    <n v="1281"/>
    <n v="1108"/>
    <n v="0"/>
    <n v="1108"/>
  </r>
  <r>
    <x v="1"/>
    <s v="ABRAHAM MARQUEZ GARCIA"/>
    <n v="11"/>
    <n v="36"/>
    <d v="1899-12-31T23:59:00"/>
    <s v="AUXILIAR@TECNOVAPOR.COM.MX"/>
    <x v="0"/>
    <n v="1081.1455000000001"/>
    <n v="2.5"/>
    <n v="1163.79"/>
    <n v="1.9580666999707901"/>
    <n v="1158.79"/>
    <s v="AD"/>
    <n v="1"/>
    <n v="1281"/>
    <n v="1108"/>
    <n v="0"/>
    <n v="1108"/>
  </r>
  <r>
    <x v="1"/>
    <s v="SERGIO DIEGO MARQUEZ MUÃ‘OZ"/>
    <n v="12"/>
    <n v="36"/>
    <d v="1899-12-31T23:59:00"/>
    <s v="AUXILIAR@TECNOVAPOR.COM.MX"/>
    <x v="0"/>
    <n v="1081.1274000000001"/>
    <n v="2.5"/>
    <n v="1163.79"/>
    <n v="1.9580666999707901"/>
    <n v="1158.79"/>
    <s v="AD"/>
    <n v="1"/>
    <n v="1281"/>
    <n v="1108"/>
    <n v="0"/>
    <n v="1108"/>
  </r>
  <r>
    <x v="1"/>
    <s v="SERGIO DIEGO MARQUEZ MUÃ‘OZ"/>
    <n v="12"/>
    <n v="36"/>
    <d v="1899-12-31T23:59:00"/>
    <s v="AUXILIAR@TECNOVAPOR.COM.MX"/>
    <x v="0"/>
    <n v="1081.1274000000001"/>
    <n v="2.5"/>
    <n v="1163.79"/>
    <n v="1.9580666999707901"/>
    <n v="1158.79"/>
    <s v="AD"/>
    <n v="1"/>
    <n v="1281"/>
    <n v="1108"/>
    <n v="0"/>
    <n v="1108"/>
  </r>
  <r>
    <x v="1"/>
    <s v="MARCO ANTONIO MAYORGA AGUIRRE"/>
    <n v="21"/>
    <n v="35"/>
    <d v="1899-12-31T11:00:00"/>
    <s v="MAYORGAJACOBO06@GMAIL.COM"/>
    <x v="0"/>
    <n v="1081.0592999999999"/>
    <n v="2.5"/>
    <n v="1163.79"/>
    <n v="1.9580666999707901"/>
    <n v="1158.79"/>
    <s v="AD"/>
    <n v="1"/>
    <n v="1281"/>
    <n v="1108"/>
    <n v="0"/>
    <n v="1108"/>
  </r>
  <r>
    <x v="1"/>
    <s v="GABRIELA PEREZ GOMEZ"/>
    <n v="32"/>
    <n v="35"/>
    <d v="1899-12-31T23:59:00"/>
    <s v="gabriela.perez.gomez@ejemplo.com"/>
    <x v="1"/>
    <n v="1080.712"/>
    <n v="10"/>
    <n v="1163.79"/>
    <n v="7.8322667998831603"/>
    <n v="601.29"/>
    <s v="NI"/>
    <n v="1"/>
    <n v="1362"/>
    <n v="1189"/>
    <n v="0.5"/>
    <n v="594.5"/>
  </r>
  <r>
    <x v="1"/>
    <s v="BRISEIDA JUÃREZ JUÃREZ"/>
    <n v="10"/>
    <n v="36"/>
    <d v="1899-12-31T23:10:00"/>
    <s v="BRISHINEE@GMAIL.COM"/>
    <x v="3"/>
    <n v="1081.106"/>
    <n v="0"/>
    <n v="1163.79"/>
    <n v="0"/>
    <n v="1142.5"/>
    <s v="AD"/>
    <n v="1"/>
    <n v="1254"/>
    <n v="1081"/>
    <n v="0"/>
    <n v="1081"/>
  </r>
  <r>
    <x v="1"/>
    <s v="ISRAEL RUIZ LOPEZ"/>
    <n v="28"/>
    <n v="36"/>
    <d v="1899-12-31T23:59:00"/>
    <s v="MARIAQUINTERO117HLNLZ@GMAIL.COM"/>
    <x v="0"/>
    <n v="1080.7067"/>
    <n v="2.5"/>
    <n v="1163.79"/>
    <n v="1.9580666999707901"/>
    <n v="1158.79"/>
    <s v="AD"/>
    <n v="1"/>
    <n v="1281"/>
    <n v="1108"/>
    <n v="0"/>
    <n v="1108"/>
  </r>
  <r>
    <x v="1"/>
    <s v="ISRAEL RUIZ LOPEZ"/>
    <n v="28"/>
    <n v="36"/>
    <d v="1899-12-31T23:59:00"/>
    <s v="MARIAQUINTERO117HLNLZ@GMAIL.COM"/>
    <x v="0"/>
    <n v="1080.7067"/>
    <n v="2.5"/>
    <n v="1163.79"/>
    <n v="1.9580666999707901"/>
    <n v="1158.79"/>
    <s v="AD"/>
    <n v="1"/>
    <n v="1281"/>
    <n v="1108"/>
    <n v="0"/>
    <n v="1108"/>
  </r>
  <r>
    <x v="1"/>
    <s v="J MARTIN LIÃ‘AN RAMOS"/>
    <n v="29"/>
    <n v="36"/>
    <d v="1899-12-31T23:59:00"/>
    <s v="MARIAQUINTERO117HLNLZ@GMAIL.COM"/>
    <x v="0"/>
    <n v="1080.6886"/>
    <n v="2.5"/>
    <n v="1163.79"/>
    <n v="1.9580666999707901"/>
    <n v="1158.79"/>
    <s v="AD"/>
    <n v="1"/>
    <n v="1281"/>
    <n v="1108"/>
    <n v="0"/>
    <n v="1108"/>
  </r>
  <r>
    <x v="1"/>
    <s v="J MARTIN LIÃ‘AN RAMOS"/>
    <n v="29"/>
    <n v="36"/>
    <d v="1899-12-31T23:59:00"/>
    <s v="MARIAQUINTERO117HLNLZ@GMAIL.COM"/>
    <x v="0"/>
    <n v="1080.6886"/>
    <n v="2.5"/>
    <n v="1163.79"/>
    <n v="1.9580666999707901"/>
    <n v="1158.79"/>
    <s v="AD"/>
    <n v="1"/>
    <n v="1281"/>
    <n v="1108"/>
    <n v="0"/>
    <n v="1108"/>
  </r>
  <r>
    <x v="1"/>
    <s v="ISRRAEL CALTENCO"/>
    <n v="12"/>
    <n v="36"/>
    <d v="1899-12-31T23:30:00"/>
    <s v="CALTENCO_89@HOTMAIL.COM"/>
    <x v="0"/>
    <n v="1081.1267"/>
    <n v="2.5"/>
    <n v="1163.79"/>
    <n v="1.9580666999707901"/>
    <n v="1158.79"/>
    <s v="AD"/>
    <n v="1"/>
    <n v="1281"/>
    <n v="1108"/>
    <n v="0"/>
    <n v="1108"/>
  </r>
  <r>
    <x v="1"/>
    <s v="GUILLERMO OLVERA MARTINEZ"/>
    <n v="35"/>
    <n v="36"/>
    <d v="1899-12-31T23:59:00"/>
    <s v="ISAURA.OLCO@GMAIL.COM"/>
    <x v="2"/>
    <n v="1080.6651999999999"/>
    <n v="7"/>
    <n v="1163.79"/>
    <n v="5.4825867599182097"/>
    <n v="1082.33"/>
    <s v="AD"/>
    <n v="1"/>
    <n v="1329"/>
    <n v="1156"/>
    <n v="0"/>
    <n v="1156"/>
  </r>
  <r>
    <x v="1"/>
    <s v="ALFREDO JAVIER SALAZAR ZAZUETA"/>
    <n v="17"/>
    <n v="36"/>
    <d v="1899-12-31T11:00:00"/>
    <s v="JZAZUET@GMAIL.COM"/>
    <x v="4"/>
    <n v="1080.6664000000001"/>
    <n v="5"/>
    <n v="1163.79"/>
    <n v="3.9161333999415802"/>
    <n v="601.29"/>
    <s v="IN"/>
    <n v="1"/>
    <n v="1308"/>
    <n v="1135"/>
    <n v="0.5"/>
    <n v="567.5"/>
  </r>
  <r>
    <x v="1"/>
    <s v="ANA LILIA HERNÃNDEZ JIMÃ‰NEZ"/>
    <n v="36"/>
    <n v="36"/>
    <d v="1899-12-31T23:30:00"/>
    <s v="LI_LI_HJ@HOTMAIL.COM"/>
    <x v="0"/>
    <n v="1080.5604000000001"/>
    <n v="2.5"/>
    <n v="1163.79"/>
    <n v="1.9580666999707901"/>
    <n v="1158.79"/>
    <s v="AD"/>
    <n v="1"/>
    <n v="1280"/>
    <n v="1108"/>
    <n v="0"/>
    <n v="1108"/>
  </r>
  <r>
    <x v="1"/>
    <s v="CARLOS TOVILLA LALO"/>
    <n v="24"/>
    <n v="35"/>
    <d v="1899-12-31T11:00:00"/>
    <s v="CARTOVILLA01@GMAIL.COM"/>
    <x v="0"/>
    <n v="1081.0021999999999"/>
    <n v="2.5"/>
    <n v="1163.79"/>
    <n v="1.9580666999707901"/>
    <n v="1158.79"/>
    <s v="AD"/>
    <n v="1"/>
    <n v="1281"/>
    <n v="1108"/>
    <n v="0"/>
    <n v="1108"/>
  </r>
  <r>
    <x v="1"/>
    <s v="LUCIA DOMINGUEZ"/>
    <n v="18"/>
    <n v="35"/>
    <d v="1899-12-31T11:00:00"/>
    <s v="LUCYD1370@GMAIL.COM"/>
    <x v="0"/>
    <n v="1081.1099999999999"/>
    <n v="2.5"/>
    <n v="1163.79"/>
    <n v="1.9580666999707901"/>
    <n v="1158.79"/>
    <s v="AD"/>
    <n v="1"/>
    <n v="1281"/>
    <n v="1108"/>
    <n v="0"/>
    <n v="1108"/>
  </r>
  <r>
    <x v="1"/>
    <s v="CONCEPCIÃ“N BARAJAS MONTIEL"/>
    <n v="15"/>
    <n v="36"/>
    <d v="1899-12-31T23:30:00"/>
    <s v="ZELD315@HOTMAIL.COM"/>
    <x v="0"/>
    <n v="1081.0696"/>
    <n v="2.5"/>
    <n v="1163.79"/>
    <n v="1.9580666999707901"/>
    <n v="1158.79"/>
    <s v="AD"/>
    <n v="1"/>
    <n v="1281"/>
    <n v="1108"/>
    <n v="0"/>
    <n v="1108"/>
  </r>
  <r>
    <x v="1"/>
    <s v="CONCEPCIÃ“N BARAJAS MONTIEL"/>
    <n v="15"/>
    <n v="36"/>
    <d v="1899-12-31T23:30:00"/>
    <s v="ZELD315@HOTMAIL.COM"/>
    <x v="0"/>
    <n v="1081.0696"/>
    <n v="2.5"/>
    <n v="1163.79"/>
    <n v="1.9580666999707901"/>
    <n v="1158.79"/>
    <s v="AD"/>
    <n v="1"/>
    <n v="1281"/>
    <n v="1108"/>
    <n v="0"/>
    <n v="1108"/>
  </r>
  <r>
    <x v="1"/>
    <s v="IRMA YOLANDA CORREA GONZALEZ"/>
    <n v="14"/>
    <n v="36"/>
    <d v="1899-12-31T23:30:00"/>
    <s v="ZELD315@HOTMAIL.COM"/>
    <x v="0"/>
    <n v="1081.0876000000001"/>
    <n v="2.5"/>
    <n v="1163.79"/>
    <n v="1.9580666999707901"/>
    <n v="1158.79"/>
    <s v="AD"/>
    <n v="1"/>
    <n v="1281"/>
    <n v="1108"/>
    <n v="0"/>
    <n v="1108"/>
  </r>
  <r>
    <x v="1"/>
    <s v="IRMA YOLANDA CORREA GONZALEZ"/>
    <n v="14"/>
    <n v="36"/>
    <d v="1899-12-31T23:30:00"/>
    <s v="ZELD315@HOTMAIL.COM"/>
    <x v="0"/>
    <n v="1081.0876000000001"/>
    <n v="2.5"/>
    <n v="1163.79"/>
    <n v="1.9580666999707901"/>
    <n v="1158.79"/>
    <s v="AD"/>
    <n v="1"/>
    <n v="1281"/>
    <n v="1108"/>
    <n v="0"/>
    <n v="1108"/>
  </r>
  <r>
    <x v="1"/>
    <s v="ERNESTO JESUS HERNANDEZ MURILLO"/>
    <n v="17"/>
    <n v="36"/>
    <d v="1899-12-31T11:00:00"/>
    <s v="ernesto.jesus.hernandez.murillo@ejemplo.com"/>
    <x v="2"/>
    <n v="1081.4929"/>
    <n v="7"/>
    <n v="1163.79"/>
    <n v="5.4825867599182097"/>
    <n v="1082.33"/>
    <s v="AD"/>
    <n v="1"/>
    <n v="1330"/>
    <n v="1157"/>
    <n v="0"/>
    <n v="1157"/>
  </r>
  <r>
    <x v="1"/>
    <s v="ARTURO JOEL ANGELES GARCIA"/>
    <n v="2"/>
    <n v="36"/>
    <d v="1899-12-31T23:59:00"/>
    <s v="ETNPASES@GMAIL.COM"/>
    <x v="2"/>
    <n v="1079.2028"/>
    <n v="7"/>
    <n v="1163.79"/>
    <n v="5.4825867599182097"/>
    <n v="1202.5899999999999"/>
    <s v="AD"/>
    <n v="1"/>
    <n v="1327"/>
    <n v="1155"/>
    <n v="0"/>
    <n v="1155"/>
  </r>
  <r>
    <x v="1"/>
    <s v="FERNANDO DANIEL BERNAL AGUILERA"/>
    <n v="7"/>
    <n v="36"/>
    <d v="1899-12-31T23:59:00"/>
    <s v="FD.BERNALK@GMAIL.COM"/>
    <x v="3"/>
    <n v="1081.1559999999999"/>
    <n v="0"/>
    <n v="1163.79"/>
    <n v="0"/>
    <n v="1142.5"/>
    <s v="AD"/>
    <n v="1"/>
    <n v="1254"/>
    <n v="1081"/>
    <n v="0"/>
    <n v="1081"/>
  </r>
  <r>
    <x v="1"/>
    <s v="OSCAR SOLIS RODRÃGUEZ"/>
    <n v="35"/>
    <n v="36"/>
    <d v="1899-12-31T23:10:00"/>
    <s v="oscar.solis.rodrÃ­guez@ejemplo.com"/>
    <x v="3"/>
    <n v="1080.5201"/>
    <n v="0"/>
    <n v="1163.79"/>
    <n v="0"/>
    <n v="1142.5"/>
    <s v="AD"/>
    <n v="1"/>
    <n v="1253"/>
    <n v="1081"/>
    <n v="0"/>
    <n v="1081"/>
  </r>
  <r>
    <x v="1"/>
    <s v="RODRIGO HERNANDEZ MONROY"/>
    <n v="36"/>
    <n v="36"/>
    <d v="1899-12-31T11:00:00"/>
    <s v="MCRODRIGOMONROY@GMAIL.COM"/>
    <x v="0"/>
    <n v="1080.7847999999999"/>
    <n v="2.5"/>
    <n v="1163.79"/>
    <n v="1.9580666999707901"/>
    <n v="1158.79"/>
    <s v="AD"/>
    <n v="1"/>
    <n v="1281"/>
    <n v="1108"/>
    <n v="0"/>
    <n v="1108"/>
  </r>
  <r>
    <x v="1"/>
    <s v="ENEIDA SALGADO JIMENEZ"/>
    <n v="22"/>
    <n v="36"/>
    <d v="1899-12-31T23:30:00"/>
    <s v="eneida.salgado.jimenez@ejemplo.com"/>
    <x v="2"/>
    <n v="1080.8071"/>
    <n v="7"/>
    <n v="1163.79"/>
    <n v="5.4825867599182097"/>
    <n v="1219.83"/>
    <s v="AD"/>
    <n v="1"/>
    <n v="1329"/>
    <n v="1156"/>
    <n v="0"/>
    <n v="1156"/>
  </r>
  <r>
    <x v="1"/>
    <s v="VICENTE SANTILLAN SUAREZ"/>
    <n v="23"/>
    <n v="36"/>
    <d v="1899-12-31T23:30:00"/>
    <s v="vicente.santillan.suarez@ejemplo.com"/>
    <x v="1"/>
    <n v="1080.7891999999999"/>
    <n v="10"/>
    <n v="1163.79"/>
    <n v="7.8322667998831603"/>
    <n v="609.91"/>
    <s v="NI"/>
    <n v="1"/>
    <n v="1362"/>
    <n v="1189"/>
    <n v="0.5"/>
    <n v="594.5"/>
  </r>
  <r>
    <x v="1"/>
    <s v="MANUEL ALEJANDRO PÃ‰REZ LUGO"/>
    <n v="16"/>
    <n v="35"/>
    <d v="1899-12-31T11:00:00"/>
    <s v="PAVELUCHESTRELLA@GMAIL.COM"/>
    <x v="0"/>
    <n v="1081.1445000000001"/>
    <n v="2.5"/>
    <n v="1163.79"/>
    <n v="1.9580666999707901"/>
    <n v="1158.79"/>
    <s v="AD"/>
    <n v="1"/>
    <n v="1281"/>
    <n v="1108"/>
    <n v="0"/>
    <n v="1108"/>
  </r>
  <r>
    <x v="1"/>
    <s v="SALVADOR JUÃREZ"/>
    <n v="26"/>
    <n v="36"/>
    <d v="1899-12-31T23:30:00"/>
    <s v="SALVADOR.JUAREZ.S@ME.COM"/>
    <x v="0"/>
    <n v="1080.7378000000001"/>
    <n v="2.5"/>
    <n v="1163.79"/>
    <n v="1.9580666999707901"/>
    <n v="1158.79"/>
    <s v="AD"/>
    <n v="1"/>
    <n v="1281"/>
    <n v="1108"/>
    <n v="0"/>
    <n v="1108"/>
  </r>
  <r>
    <x v="1"/>
    <s v="IRENE BENITEZ JIMENEZ"/>
    <n v="32"/>
    <n v="36"/>
    <d v="1899-12-31T23:30:00"/>
    <s v="ERIKABARAJASGDL@GMAIL.COM"/>
    <x v="4"/>
    <n v="1080.5732"/>
    <n v="5"/>
    <n v="1163.79"/>
    <n v="3.9161333999415802"/>
    <n v="601.29"/>
    <s v="IN"/>
    <n v="1"/>
    <n v="1307"/>
    <n v="1135"/>
    <n v="0.5"/>
    <n v="567.5"/>
  </r>
  <r>
    <x v="1"/>
    <s v="VICTOR EMILIO ORTEGA AGUILAR"/>
    <n v="19"/>
    <n v="36"/>
    <d v="1899-12-31T23:59:00"/>
    <s v="victor.emilio.ortega.aguilar@ejemplo.com"/>
    <x v="2"/>
    <n v="1081.1561999999999"/>
    <n v="7"/>
    <n v="1163.79"/>
    <n v="5.4825867599182097"/>
    <n v="609.91"/>
    <s v="IN"/>
    <n v="1"/>
    <n v="1330"/>
    <n v="1157"/>
    <n v="0.5"/>
    <n v="578.5"/>
  </r>
  <r>
    <x v="1"/>
    <s v="KATYA SANCHEZ GARCIA"/>
    <n v="26"/>
    <n v="35"/>
    <d v="1899-12-31T23:10:00"/>
    <s v="katya.sanchez.garcia@ejemplo.com"/>
    <x v="0"/>
    <n v="1081.0304000000001"/>
    <n v="2.5"/>
    <n v="1163.79"/>
    <n v="1.9580666999707901"/>
    <n v="1158.79"/>
    <s v="AD"/>
    <n v="1"/>
    <n v="1281"/>
    <n v="1108"/>
    <n v="0"/>
    <n v="1108"/>
  </r>
  <r>
    <x v="1"/>
    <s v="RAINER RIESS"/>
    <n v="8"/>
    <n v="36"/>
    <d v="1899-12-31T06:00:00"/>
    <s v="MAIL@BARBOSA-RIESS.COM"/>
    <x v="0"/>
    <n v="1081.4224999999999"/>
    <n v="2.5"/>
    <n v="1163.79"/>
    <n v="1.9580666999707901"/>
    <n v="1158.79"/>
    <s v="AD"/>
    <n v="1"/>
    <n v="1281"/>
    <n v="1108"/>
    <n v="0"/>
    <n v="1108"/>
  </r>
  <r>
    <x v="1"/>
    <s v="ROBERTO BARBOSA ROJAS"/>
    <n v="9"/>
    <n v="36"/>
    <d v="1899-12-31T06:00:00"/>
    <s v="MAIL@BARBOSA-RIESS.COM"/>
    <x v="0"/>
    <n v="1081.4045000000001"/>
    <n v="2.5"/>
    <n v="1163.79"/>
    <n v="1.9580666999707901"/>
    <n v="1158.79"/>
    <s v="AD"/>
    <n v="1"/>
    <n v="1281"/>
    <n v="1108"/>
    <n v="0"/>
    <n v="1108"/>
  </r>
  <r>
    <x v="1"/>
    <s v="NEFTALI MEJIA LEGASPI"/>
    <n v="13"/>
    <n v="36"/>
    <d v="1899-12-31T02:00:00"/>
    <s v="NEFTY_ML@HOTMAIL.COM"/>
    <x v="0"/>
    <n v="1081.4947999999999"/>
    <n v="2.5"/>
    <n v="1163.79"/>
    <n v="1.9580666999707901"/>
    <n v="1158.79"/>
    <s v="AD"/>
    <n v="1"/>
    <n v="1282"/>
    <n v="1109"/>
    <n v="0"/>
    <n v="1109"/>
  </r>
  <r>
    <x v="1"/>
    <s v="CONSUELO LOPEZ AGUILERA"/>
    <n v="25"/>
    <n v="36"/>
    <d v="1899-12-31T23:10:00"/>
    <s v="consuelo.lopez.aguilera@ejemplo.com"/>
    <x v="1"/>
    <n v="1080.704"/>
    <n v="10"/>
    <n v="1163.79"/>
    <n v="7.8322667998831603"/>
    <n v="601.29"/>
    <s v="NI"/>
    <n v="1"/>
    <n v="1362"/>
    <n v="1189"/>
    <n v="0.5"/>
    <n v="594.5"/>
  </r>
  <r>
    <x v="1"/>
    <s v="DANIEL CONTRERAS AVILA"/>
    <n v="26"/>
    <n v="36"/>
    <d v="1899-12-31T23:10:00"/>
    <s v="daniel.contreras.avila@ejemplo.com"/>
    <x v="1"/>
    <n v="1080.6862000000001"/>
    <n v="10"/>
    <n v="1163.79"/>
    <n v="7.8322667998831603"/>
    <n v="601.29"/>
    <s v="NI"/>
    <n v="1"/>
    <n v="1362"/>
    <n v="1189"/>
    <n v="0.5"/>
    <n v="594.5"/>
  </r>
  <r>
    <x v="1"/>
    <s v="BERTHA ALICIA CONTRERAS AVILA"/>
    <n v="27"/>
    <n v="36"/>
    <d v="1899-12-31T23:10:00"/>
    <s v="bertha.alicia.contreras.avila@ejemplo.com"/>
    <x v="5"/>
    <n v="1080.6682000000001"/>
    <n v="8.5"/>
    <n v="1163.79"/>
    <n v="6.6574267799006801"/>
    <n v="1202.5899999999999"/>
    <s v="AD"/>
    <n v="1"/>
    <n v="1345"/>
    <n v="1173"/>
    <n v="0"/>
    <n v="1173"/>
  </r>
  <r>
    <x v="1"/>
    <s v="MAGALY PADRON HERNANDEZ"/>
    <n v="35"/>
    <n v="35"/>
    <d v="1899-12-31T11:00:00"/>
    <s v="SUPERVISIONGG40@HOTMAIL.COM"/>
    <x v="0"/>
    <n v="1080.8007"/>
    <n v="2.5"/>
    <n v="1163.79"/>
    <n v="1.9580666999707901"/>
    <n v="1158.79"/>
    <s v="AD"/>
    <n v="1"/>
    <n v="1281"/>
    <n v="1108"/>
    <n v="0"/>
    <n v="1108"/>
  </r>
  <r>
    <x v="1"/>
    <s v="GUSTAVO NIEVES SOTO"/>
    <n v="8"/>
    <n v="36"/>
    <d v="1899-12-31T23:10:00"/>
    <s v="gustavo.nieves.soto@ejemplo.com"/>
    <x v="5"/>
    <n v="1081.1285"/>
    <n v="8.5"/>
    <n v="1163.79"/>
    <n v="6.6574267799006801"/>
    <n v="1202.5899999999999"/>
    <s v="AD"/>
    <n v="1"/>
    <n v="1346"/>
    <n v="1173"/>
    <n v="0"/>
    <n v="1173"/>
  </r>
  <r>
    <x v="1"/>
    <s v="RODOLFO BARRERA RIVERO"/>
    <n v="35"/>
    <n v="36"/>
    <d v="1899-12-31T23:30:00"/>
    <s v="rodolfo.barrera.rivero@ejemplo.com"/>
    <x v="1"/>
    <n v="1080.5239999999999"/>
    <n v="10"/>
    <n v="1163.79"/>
    <n v="7.8322667998831603"/>
    <n v="601.29"/>
    <s v="NI"/>
    <n v="1"/>
    <n v="1361"/>
    <n v="1189"/>
    <n v="0.5"/>
    <n v="594.5"/>
  </r>
  <r>
    <x v="1"/>
    <s v="JORGE GUZMAN"/>
    <n v="36"/>
    <n v="36"/>
    <d v="1899-12-31T23:10:00"/>
    <s v="jorge.guzman@ejemplo.com"/>
    <x v="5"/>
    <n v="1080.5061000000001"/>
    <n v="8.5"/>
    <n v="1163.79"/>
    <n v="6.6574267799006801"/>
    <n v="1202.5899999999999"/>
    <s v="AD"/>
    <n v="1"/>
    <n v="1345"/>
    <n v="1172"/>
    <n v="0"/>
    <n v="1172"/>
  </r>
  <r>
    <x v="1"/>
    <s v="IRENEO VELAZQUEZ VILLALOBOS"/>
    <n v="15"/>
    <n v="36"/>
    <d v="1899-12-31T23:10:00"/>
    <s v="ireneo.velazquez.villalobos@ejemplo.com"/>
    <x v="5"/>
    <n v="1081.0026"/>
    <n v="8.5"/>
    <n v="1163.79"/>
    <n v="6.6574267799006801"/>
    <n v="1202.5899999999999"/>
    <s v="AD"/>
    <n v="1"/>
    <n v="1346"/>
    <n v="1173"/>
    <n v="0"/>
    <n v="1173"/>
  </r>
  <r>
    <x v="1"/>
    <s v="DIANA PAULINA OLGUIN HERNANDEZ"/>
    <n v="28"/>
    <n v="36"/>
    <d v="1899-12-31T23:10:00"/>
    <s v="diana.paulina.olguin.hernandez@ejemplo.com"/>
    <x v="5"/>
    <n v="1080.6501000000001"/>
    <n v="8.5"/>
    <n v="1163.79"/>
    <n v="6.6574267799006801"/>
    <n v="1202.5899999999999"/>
    <s v="AD"/>
    <n v="1"/>
    <n v="1345"/>
    <n v="1173"/>
    <n v="0"/>
    <n v="1173"/>
  </r>
  <r>
    <x v="1"/>
    <s v="DAVID MARTINEZ HERNANDEZ"/>
    <n v="29"/>
    <n v="36"/>
    <d v="1899-12-31T23:10:00"/>
    <s v="david.martinez.hernandez@ejemplo.com"/>
    <x v="5"/>
    <n v="1080.6321"/>
    <n v="8.5"/>
    <n v="1163.79"/>
    <n v="6.6574267799006801"/>
    <n v="1202.5899999999999"/>
    <s v="AD"/>
    <n v="1"/>
    <n v="1345"/>
    <n v="1172"/>
    <n v="0"/>
    <n v="1172"/>
  </r>
  <r>
    <x v="1"/>
    <s v="OSCAR JUAREZ BARRIOS"/>
    <n v="11"/>
    <n v="36"/>
    <d v="1899-12-31T23:30:00"/>
    <s v="LS_INSTALACIONES@OUTLOOK.COM"/>
    <x v="3"/>
    <n v="1081.1375"/>
    <n v="0"/>
    <n v="1163.79"/>
    <n v="0"/>
    <n v="1158.79"/>
    <s v="AD"/>
    <n v="1"/>
    <n v="1254"/>
    <n v="1081"/>
    <n v="0"/>
    <n v="1081"/>
  </r>
  <r>
    <x v="1"/>
    <s v="EDUARDO SOTELO"/>
    <n v="3"/>
    <n v="36"/>
    <d v="1899-12-31T23:10:00"/>
    <s v="eduardo.sotelo@ejemplo.com"/>
    <x v="5"/>
    <n v="1081.2183"/>
    <n v="8.5"/>
    <n v="1163.79"/>
    <n v="6.6574267799006801"/>
    <n v="1202.5899999999999"/>
    <s v="AD"/>
    <n v="1"/>
    <n v="1346"/>
    <n v="1173"/>
    <n v="0"/>
    <n v="1173"/>
  </r>
  <r>
    <x v="1"/>
    <s v="RICARDO RANGEL QUINTANA"/>
    <n v="14"/>
    <n v="36"/>
    <d v="1899-12-31T23:30:00"/>
    <s v="ricardo.rangel.quintana@ejemplo.com"/>
    <x v="4"/>
    <n v="1081.0202999999999"/>
    <n v="5"/>
    <n v="1163.79"/>
    <n v="3.9161333999415802"/>
    <n v="601.29"/>
    <s v="IN"/>
    <n v="1"/>
    <n v="1308"/>
    <n v="1135"/>
    <n v="0.5"/>
    <n v="567.5"/>
  </r>
  <r>
    <x v="1"/>
    <s v="ANDRES SERMEÃ‘O CANO"/>
    <n v="15"/>
    <n v="36"/>
    <d v="1899-12-31T23:30:00"/>
    <s v="andres.sermeÃ±o.cano@ejemplo.com"/>
    <x v="5"/>
    <n v="1081.0026"/>
    <n v="8.5"/>
    <n v="1163.79"/>
    <n v="6.6574267799006801"/>
    <n v="1202.5899999999999"/>
    <s v="AD"/>
    <n v="1"/>
    <n v="1346"/>
    <n v="1173"/>
    <n v="0"/>
    <n v="1173"/>
  </r>
  <r>
    <x v="1"/>
    <s v="GERONIMO CASTAÃ‘EDA ESCALONA"/>
    <n v="33"/>
    <n v="36"/>
    <d v="1899-12-31T23:59:00"/>
    <s v="geronimo.castaÃ±eda.escalona@ejemplo.com"/>
    <x v="4"/>
    <n v="1080.5598"/>
    <n v="5"/>
    <n v="1163.79"/>
    <n v="3.9161333999415802"/>
    <n v="601.29"/>
    <s v="IN"/>
    <n v="1"/>
    <n v="1307"/>
    <n v="1135"/>
    <n v="0.5"/>
    <n v="567.5"/>
  </r>
  <r>
    <x v="1"/>
    <s v="MARIO CASTAÃ‘EDA MARTINEZ"/>
    <n v="34"/>
    <n v="36"/>
    <d v="1899-12-31T23:59:00"/>
    <s v="mario.castaÃ±eda.martinez@ejemplo.com"/>
    <x v="5"/>
    <n v="1080.5417"/>
    <n v="8.5"/>
    <n v="1163.79"/>
    <n v="6.6574267799006801"/>
    <n v="1202.5899999999999"/>
    <s v="AD"/>
    <n v="1"/>
    <n v="1345"/>
    <n v="1172"/>
    <n v="0"/>
    <n v="1172"/>
  </r>
  <r>
    <x v="1"/>
    <s v="FERMIN BARBOSA"/>
    <n v="30"/>
    <n v="36"/>
    <d v="1899-12-31T23:30:00"/>
    <s v="fermin.barbosa@ejemplo.com"/>
    <x v="5"/>
    <n v="1080.6135999999999"/>
    <n v="8.5"/>
    <n v="1163.79"/>
    <n v="6.6574267799006801"/>
    <n v="1202.5899999999999"/>
    <s v="AD"/>
    <n v="1"/>
    <n v="1345"/>
    <n v="1172"/>
    <n v="0"/>
    <n v="1172"/>
  </r>
  <r>
    <x v="1"/>
    <s v="SELENE NAVARRO"/>
    <n v="16"/>
    <n v="36"/>
    <d v="1899-12-31T23:30:00"/>
    <s v="selene.navarro@ejemplo.com"/>
    <x v="5"/>
    <n v="1080.9839999999999"/>
    <n v="8.5"/>
    <n v="1163.79"/>
    <n v="6.6574267799006801"/>
    <n v="1202.5899999999999"/>
    <s v="AD"/>
    <n v="1"/>
    <n v="1346"/>
    <n v="1173"/>
    <n v="0"/>
    <n v="1173"/>
  </r>
  <r>
    <x v="1"/>
    <s v="ALDO SALVADOR MARTINEZ VENEGAS"/>
    <n v="4"/>
    <n v="36"/>
    <d v="1899-12-31T23:59:00"/>
    <s v="aldo.salvador.martinez.venegas@ejemplo.com"/>
    <x v="5"/>
    <n v="1081.0815"/>
    <n v="8.5"/>
    <n v="1163.79"/>
    <n v="6.6574267799006801"/>
    <n v="1202.5899999999999"/>
    <s v="AD"/>
    <n v="1"/>
    <n v="1346"/>
    <n v="1173"/>
    <n v="0"/>
    <n v="1173"/>
  </r>
  <r>
    <x v="1"/>
    <s v="CATALINA MAYA ROMERO"/>
    <n v="32"/>
    <n v="36"/>
    <d v="1899-12-31T23:59:00"/>
    <s v="catalina.maya.romero@ejemplo.com"/>
    <x v="4"/>
    <n v="1080.5776000000001"/>
    <n v="5"/>
    <n v="1163.79"/>
    <n v="3.9161333999415802"/>
    <n v="601.29"/>
    <s v="IN"/>
    <n v="1"/>
    <n v="1307"/>
    <n v="1135"/>
    <n v="0.5"/>
    <n v="567.5"/>
  </r>
  <r>
    <x v="1"/>
    <s v="CUAUHTEMOC CISNEROS MADRID"/>
    <n v="35"/>
    <n v="36"/>
    <d v="1899-12-31T23:59:00"/>
    <s v="cuauhtemoc.cisneros.madrid@ejemplo.com"/>
    <x v="1"/>
    <n v="1080.5237999999999"/>
    <n v="10"/>
    <n v="1163.79"/>
    <n v="7.8322667998831603"/>
    <n v="601.29"/>
    <s v="NI"/>
    <n v="1"/>
    <n v="1361"/>
    <n v="1189"/>
    <n v="0.5"/>
    <n v="594.5"/>
  </r>
  <r>
    <x v="2"/>
    <s v="AZUL SAMARA VELEZ GONZALEZ"/>
    <n v="4"/>
    <n v="36"/>
    <d v="1899-12-31T06:00:00"/>
    <s v="AZUL.VELEZ2132@ALUMNOS.UDG.MX"/>
    <x v="2"/>
    <n v="1081.3462"/>
    <n v="7"/>
    <n v="1163.79"/>
    <n v="5.4825867599182097"/>
    <n v="1082.33"/>
    <s v="AD"/>
    <n v="1"/>
    <n v="1330"/>
    <n v="1157"/>
    <n v="0"/>
    <n v="1157"/>
  </r>
  <r>
    <x v="2"/>
    <s v="RAÃšL CASTILLO"/>
    <n v="7"/>
    <n v="36"/>
    <d v="1899-12-31T06:00:00"/>
    <s v="RCM.MAC@HOTMAIL.COM"/>
    <x v="5"/>
    <n v="1081.5958000000001"/>
    <n v="8.5"/>
    <n v="1163.79"/>
    <n v="6.6574267799006801"/>
    <n v="1158.79"/>
    <s v="AD"/>
    <n v="1"/>
    <n v="1347"/>
    <n v="1174"/>
    <n v="0"/>
    <n v="1174"/>
  </r>
  <r>
    <x v="2"/>
    <s v="WALTER JAIME CASTAÃ‘EDA"/>
    <n v="13"/>
    <n v="36"/>
    <d v="1899-12-31T06:00:00"/>
    <s v="RCM.MAC@HOTMAIL.COM"/>
    <x v="5"/>
    <n v="1081.4882"/>
    <n v="8.5"/>
    <n v="1163.79"/>
    <n v="6.6574267799006801"/>
    <n v="1158.79"/>
    <s v="AD"/>
    <n v="1"/>
    <n v="1346"/>
    <n v="1173"/>
    <n v="0"/>
    <n v="1173"/>
  </r>
  <r>
    <x v="2"/>
    <s v="MIGUEL DIEGO GOMEZ"/>
    <n v="32"/>
    <n v="36"/>
    <d v="1899-12-31T06:00:00"/>
    <s v="miguel.diego.gomez@ejemplo.com"/>
    <x v="3"/>
    <n v="1080.8405"/>
    <n v="0"/>
    <n v="1163.79"/>
    <n v="0"/>
    <n v="975.86"/>
    <s v="PE"/>
    <n v="1"/>
    <n v="1254"/>
    <n v="1081"/>
    <n v="0"/>
    <n v="1081"/>
  </r>
  <r>
    <x v="2"/>
    <s v="ESTELA RAMIREZ RODRIGUEZ"/>
    <n v="35"/>
    <n v="36"/>
    <d v="1899-12-31T06:00:00"/>
    <s v="estela.ramirez.rodriguez@ejemplo.com"/>
    <x v="5"/>
    <n v="1080.7860000000001"/>
    <n v="8.5"/>
    <n v="1163.79"/>
    <n v="6.6574267799006801"/>
    <n v="1219.83"/>
    <s v="AD"/>
    <n v="1"/>
    <n v="1346"/>
    <n v="1173"/>
    <n v="0"/>
    <n v="1173"/>
  </r>
  <r>
    <x v="2"/>
    <s v="FIDEL RODRIGUEZ GARCIA"/>
    <n v="7"/>
    <n v="36"/>
    <d v="1899-12-31T06:00:00"/>
    <s v="fidel.rodriguez.garcia@ejemplo.com"/>
    <x v="5"/>
    <n v="1081.4215999999999"/>
    <n v="8.5"/>
    <n v="1163.79"/>
    <n v="6.6574267799006801"/>
    <n v="1219.83"/>
    <s v="AD"/>
    <n v="1"/>
    <n v="1346"/>
    <n v="1173"/>
    <n v="0"/>
    <n v="1173"/>
  </r>
  <r>
    <x v="2"/>
    <s v="ISARAEL PEÃ‘A NICOLAS"/>
    <n v="10"/>
    <n v="36"/>
    <d v="1899-12-31T06:00:00"/>
    <s v="isarael.peÃ±a.nicolas@ejemplo.com"/>
    <x v="5"/>
    <n v="1081.3677"/>
    <n v="8.5"/>
    <n v="1163.79"/>
    <n v="6.6574267799006801"/>
    <n v="1219.83"/>
    <s v="AD"/>
    <n v="1"/>
    <n v="1346"/>
    <n v="1173"/>
    <n v="0"/>
    <n v="1173"/>
  </r>
  <r>
    <x v="2"/>
    <s v="LIBRADO VAZQUEZ MARTINEZ"/>
    <n v="34"/>
    <n v="36"/>
    <d v="1899-12-31T06:00:00"/>
    <s v="librado.vazquez.martinez@ejemplo.com"/>
    <x v="4"/>
    <n v="1080.8036999999999"/>
    <n v="5"/>
    <n v="1163.79"/>
    <n v="3.9161333999415802"/>
    <n v="609.91"/>
    <s v="IN"/>
    <n v="1"/>
    <n v="1308"/>
    <n v="1135"/>
    <n v="0.5"/>
    <n v="567.5"/>
  </r>
  <r>
    <x v="2"/>
    <s v="JUAN PABLO PEREZ SOLORZANO"/>
    <n v="10"/>
    <n v="35"/>
    <d v="1899-12-31T23:59:00"/>
    <s v="JPX11799@GMAIL.COM"/>
    <x v="2"/>
    <n v="1081.2399"/>
    <n v="7"/>
    <n v="1163.79"/>
    <n v="5.4825867599182097"/>
    <n v="1082.33"/>
    <s v="AD"/>
    <n v="1"/>
    <n v="1330"/>
    <n v="1157"/>
    <n v="0"/>
    <n v="1157"/>
  </r>
  <r>
    <x v="2"/>
    <s v="ALEXEI LEMUS HERRERA"/>
    <n v="1"/>
    <n v="35"/>
    <d v="1899-12-31T11:00:00"/>
    <s v="alexei.lemus.herrera@ejemplo.com"/>
    <x v="5"/>
    <n v="1081.4000000000001"/>
    <n v="8.5"/>
    <n v="1163.79"/>
    <n v="6.6574267799006801"/>
    <n v="1219.83"/>
    <s v="AD"/>
    <n v="1"/>
    <n v="1346"/>
    <n v="1173"/>
    <n v="0"/>
    <n v="1173"/>
  </r>
  <r>
    <x v="2"/>
    <s v="ROMAIN EMMANUEL GERMAIN BEROUL"/>
    <n v="26"/>
    <n v="36"/>
    <d v="1899-12-31T23:59:00"/>
    <s v="ROMAIN.SULTEN@OUTLOOK.FR"/>
    <x v="2"/>
    <n v="1080.9351999999999"/>
    <n v="7"/>
    <n v="1163.79"/>
    <n v="5.4825867599182097"/>
    <n v="1030.17"/>
    <s v="AD"/>
    <n v="1"/>
    <n v="1330"/>
    <n v="1157"/>
    <n v="0"/>
    <n v="1157"/>
  </r>
  <r>
    <x v="2"/>
    <s v="LENNON RODRIGUES DE OLIVEIRA REGINALDO RODRIG"/>
    <n v="17"/>
    <n v="36"/>
    <d v="1899-12-31T02:00:00"/>
    <s v="LENNONRODRIGUES-RN@HOTMAIL.COM"/>
    <x v="0"/>
    <n v="1081.4141"/>
    <n v="2.5"/>
    <n v="1163.79"/>
    <n v="1.9580666999707901"/>
    <n v="1158.79"/>
    <s v="AD"/>
    <n v="1"/>
    <n v="1281"/>
    <n v="1108"/>
    <n v="0"/>
    <n v="1108"/>
  </r>
  <r>
    <x v="2"/>
    <s v="ARMADOR ARTURO CANSECO MARTÃNEZ"/>
    <n v="15"/>
    <n v="36"/>
    <d v="1899-12-31T02:00:00"/>
    <s v="OSCAR.GDL90HDZ@GMAIL.COM"/>
    <x v="0"/>
    <n v="1081.4493"/>
    <n v="2.5"/>
    <n v="1163.79"/>
    <n v="1.9580666999707901"/>
    <n v="1158.79"/>
    <s v="AD"/>
    <n v="1"/>
    <n v="1282"/>
    <n v="1108"/>
    <n v="0"/>
    <n v="1108"/>
  </r>
  <r>
    <x v="2"/>
    <s v="ARMADOR ARTURO CANSECO MARTÃNEZ"/>
    <n v="15"/>
    <n v="36"/>
    <d v="1899-12-31T02:00:00"/>
    <s v="OSCAR.GDL90HDZ@GMAIL.COM"/>
    <x v="0"/>
    <n v="1081.4493"/>
    <n v="2.5"/>
    <n v="1163.79"/>
    <n v="1.9580666999707901"/>
    <n v="1158.79"/>
    <s v="AD"/>
    <n v="1"/>
    <n v="1282"/>
    <n v="1108"/>
    <n v="0"/>
    <n v="1108"/>
  </r>
  <r>
    <x v="2"/>
    <s v="OSCAR CANSECO HERNANDEZ"/>
    <n v="14"/>
    <n v="36"/>
    <d v="1899-12-31T02:00:00"/>
    <s v="OSCAR.GDL90HDZ@GMAIL.COM"/>
    <x v="0"/>
    <n v="1081.4673"/>
    <n v="2.5"/>
    <n v="1163.79"/>
    <n v="1.9580666999707901"/>
    <n v="1158.79"/>
    <s v="AD"/>
    <n v="1"/>
    <n v="1282"/>
    <n v="1109"/>
    <n v="0"/>
    <n v="1109"/>
  </r>
  <r>
    <x v="2"/>
    <s v="OSCAR CANSECO HERNANDEZ"/>
    <n v="14"/>
    <n v="36"/>
    <d v="1899-12-31T02:00:00"/>
    <s v="OSCAR.GDL90HDZ@GMAIL.COM"/>
    <x v="0"/>
    <n v="1081.4673"/>
    <n v="2.5"/>
    <n v="1163.79"/>
    <n v="1.9580666999707901"/>
    <n v="1158.79"/>
    <s v="AD"/>
    <n v="1"/>
    <n v="1282"/>
    <n v="1109"/>
    <n v="0"/>
    <n v="1109"/>
  </r>
  <r>
    <x v="2"/>
    <s v="MARIA LADONADO CARBAJAL"/>
    <n v="32"/>
    <n v="36"/>
    <d v="1899-12-31T06:00:00"/>
    <s v="maria.ladonado.carbajal@ejemplo.com"/>
    <x v="4"/>
    <n v="1080.9272000000001"/>
    <n v="5"/>
    <n v="1163.79"/>
    <n v="3.9161333999415802"/>
    <n v="601.29"/>
    <s v="IN"/>
    <n v="1"/>
    <n v="1308"/>
    <n v="1135"/>
    <n v="0.5"/>
    <n v="567.5"/>
  </r>
  <r>
    <x v="2"/>
    <s v="RODOLFO GARCÃA LOPEZ"/>
    <n v="16"/>
    <n v="36"/>
    <d v="1899-12-31T23:59:00"/>
    <s v="MARYTZA.C31@GMAIL.COM"/>
    <x v="0"/>
    <n v="1081.0922"/>
    <n v="2.5"/>
    <n v="1163.79"/>
    <n v="1.9580666999707901"/>
    <n v="1142.5"/>
    <s v="AD"/>
    <n v="1"/>
    <n v="1281"/>
    <n v="1108"/>
    <n v="0"/>
    <n v="1108"/>
  </r>
  <r>
    <x v="2"/>
    <s v="MARIO CAMPISTRANO MEJIA"/>
    <n v="1"/>
    <n v="36"/>
    <d v="1899-12-31T11:00:00"/>
    <s v="MIRIAMCAMPIS81@GMAIL.COM"/>
    <x v="0"/>
    <n v="1081.617"/>
    <n v="2.5"/>
    <n v="1163.79"/>
    <n v="1.9580666999707901"/>
    <n v="1099.1400000000001"/>
    <s v="AD"/>
    <n v="1"/>
    <n v="1282"/>
    <n v="1109"/>
    <n v="0"/>
    <n v="1109"/>
  </r>
  <r>
    <x v="2"/>
    <s v="LIZETH JUÃREZ DIAZ"/>
    <n v="32"/>
    <n v="36"/>
    <d v="1899-12-31T02:00:00"/>
    <s v="LIZI_JUAREZ@HOTMAIL.COM"/>
    <x v="0"/>
    <n v="1081.0063"/>
    <n v="2.5"/>
    <n v="1163.79"/>
    <n v="1.9580666999707901"/>
    <n v="1158.79"/>
    <s v="AD"/>
    <n v="1"/>
    <n v="1281"/>
    <n v="1108"/>
    <n v="0"/>
    <n v="1108"/>
  </r>
  <r>
    <x v="2"/>
    <s v="VALERIA QUIROZ"/>
    <n v="1"/>
    <n v="36"/>
    <d v="1899-12-31T23:59:00"/>
    <s v="valeria.quiroz@ejemplo.com"/>
    <x v="2"/>
    <n v="1081.5651"/>
    <n v="7"/>
    <n v="1163.79"/>
    <n v="5.4825867599182097"/>
    <n v="1202.5899999999999"/>
    <s v="AD"/>
    <n v="1"/>
    <n v="1330"/>
    <n v="1157"/>
    <n v="0"/>
    <n v="1157"/>
  </r>
  <r>
    <x v="2"/>
    <s v="AARON TERAN ALVAREZ"/>
    <n v="21"/>
    <n v="36"/>
    <d v="1899-12-31T02:00:00"/>
    <s v="ZULEMAVELASCOMARTINEZ@GMAIL.COM"/>
    <x v="0"/>
    <n v="1081.3359"/>
    <n v="2.5"/>
    <n v="1163.79"/>
    <n v="1.9580666999707901"/>
    <n v="1158.79"/>
    <s v="AD"/>
    <n v="1"/>
    <n v="1281"/>
    <n v="1108"/>
    <n v="0"/>
    <n v="1108"/>
  </r>
  <r>
    <x v="2"/>
    <s v="ARMANDO DE LA CRUZ"/>
    <n v="3"/>
    <n v="36"/>
    <d v="1899-12-31T02:00:00"/>
    <s v="armando.de.la.cruz@ejemplo.com"/>
    <x v="2"/>
    <n v="1081.6469999999999"/>
    <n v="7"/>
    <n v="1163.79"/>
    <n v="5.4825867599182097"/>
    <n v="1219.83"/>
    <s v="AD"/>
    <n v="1"/>
    <n v="1330"/>
    <n v="1157"/>
    <n v="0"/>
    <n v="1157"/>
  </r>
  <r>
    <x v="2"/>
    <s v="ARMANDO DE LA CRUZ"/>
    <n v="3"/>
    <n v="36"/>
    <d v="1899-12-31T06:00:00"/>
    <s v="armando.de.la.cruz@ejemplo.com"/>
    <x v="2"/>
    <n v="1081.645"/>
    <n v="7"/>
    <n v="1163.79"/>
    <n v="5.4825867599182097"/>
    <n v="1219.83"/>
    <s v="AD"/>
    <n v="1"/>
    <n v="1330"/>
    <n v="1157"/>
    <n v="0"/>
    <n v="1157"/>
  </r>
  <r>
    <x v="2"/>
    <s v="AMANDA CAMARENA SOLORZANO"/>
    <n v="25"/>
    <n v="36"/>
    <d v="1899-12-31T02:00:00"/>
    <s v="AMAERALD.25@GMAIL.COM"/>
    <x v="0"/>
    <n v="1081.1315999999999"/>
    <n v="2.5"/>
    <n v="1163.79"/>
    <n v="1.9580666999707901"/>
    <n v="1158.79"/>
    <s v="AD"/>
    <n v="1"/>
    <n v="1281"/>
    <n v="1108"/>
    <n v="0"/>
    <n v="1108"/>
  </r>
  <r>
    <x v="2"/>
    <s v="OLIVER ULISES DE LA TORRE"/>
    <n v="26"/>
    <n v="36"/>
    <d v="1899-12-31T02:00:00"/>
    <s v="AMAERALD.25@GMAIL.COM"/>
    <x v="0"/>
    <n v="1081.1134999999999"/>
    <n v="2.5"/>
    <n v="1163.79"/>
    <n v="1.9580666999707901"/>
    <n v="1158.79"/>
    <s v="AD"/>
    <n v="1"/>
    <n v="1281"/>
    <n v="1108"/>
    <n v="0"/>
    <n v="1108"/>
  </r>
  <r>
    <x v="2"/>
    <s v="ALTAGRACIA ROCIO GARCIA ROJAS"/>
    <n v="4"/>
    <n v="36"/>
    <d v="1899-12-31T11:00:00"/>
    <s v="GEORORTIZ21@GMAIL.COM"/>
    <x v="4"/>
    <n v="1081.4557"/>
    <n v="5"/>
    <n v="1163.79"/>
    <n v="3.9161333999415802"/>
    <n v="601.29"/>
    <s v="OD"/>
    <n v="1"/>
    <n v="1309"/>
    <n v="1136"/>
    <n v="0.5"/>
    <n v="568"/>
  </r>
  <r>
    <x v="2"/>
    <s v="MANUEL ESPINOSA"/>
    <n v="7"/>
    <n v="36"/>
    <d v="1899-12-31T06:00:00"/>
    <s v="ESPINOSA.CHAVEZ.MANUEL@GMAIL.COM"/>
    <x v="0"/>
    <n v="1081.5648000000001"/>
    <n v="2.5"/>
    <n v="1163.79"/>
    <n v="1.9580666999707901"/>
    <n v="1142.5"/>
    <s v="AD"/>
    <n v="1"/>
    <n v="1282"/>
    <n v="1109"/>
    <n v="0"/>
    <n v="1109"/>
  </r>
  <r>
    <x v="2"/>
    <s v="SERGIO JESUS SORIA SANCHEZ"/>
    <n v="18"/>
    <n v="36"/>
    <d v="1899-12-31T02:00:00"/>
    <s v="CUENTAS.ESPECIALES@MTMCORPORATION.MX"/>
    <x v="0"/>
    <n v="1081.3880999999999"/>
    <n v="2.5"/>
    <n v="1163.79"/>
    <n v="1.9580666999707901"/>
    <n v="1158.79"/>
    <s v="AD"/>
    <n v="1"/>
    <n v="1281"/>
    <n v="1108"/>
    <n v="0"/>
    <n v="1108"/>
  </r>
  <r>
    <x v="2"/>
    <s v="EDUARDO JUAREZ DOMINGUEZ"/>
    <n v="27"/>
    <n v="36"/>
    <d v="1899-12-31T06:00:00"/>
    <s v="eduardo.juarez.dominguez@ejemplo.com"/>
    <x v="2"/>
    <n v="1081.0795000000001"/>
    <n v="7"/>
    <n v="1163.79"/>
    <n v="5.4825867599182097"/>
    <n v="1219.83"/>
    <s v="AD"/>
    <n v="1"/>
    <n v="1330"/>
    <n v="1157"/>
    <n v="0"/>
    <n v="1157"/>
  </r>
  <r>
    <x v="2"/>
    <s v="PEDRO CHAVEZ SANDOVAL"/>
    <n v="5"/>
    <n v="36"/>
    <d v="1899-12-31T02:00:00"/>
    <s v="LIZMIR8@OUTLOOK.COM"/>
    <x v="0"/>
    <n v="1081.6217999999999"/>
    <n v="2.5"/>
    <n v="1163.79"/>
    <n v="1.9580666999707901"/>
    <n v="609.91"/>
    <s v="IN"/>
    <n v="1"/>
    <n v="1282"/>
    <n v="1109"/>
    <n v="0.5"/>
    <n v="554.5"/>
  </r>
  <r>
    <x v="2"/>
    <s v="PEDRO CHAVEZ SANDOVAL"/>
    <n v="5"/>
    <n v="36"/>
    <d v="1899-12-31T02:00:00"/>
    <s v="LIZMIR8@OUTLOOK.COM"/>
    <x v="0"/>
    <n v="1081.6217999999999"/>
    <n v="2.5"/>
    <n v="1163.79"/>
    <n v="1.9580666999707901"/>
    <n v="609.91"/>
    <s v="IN"/>
    <n v="1"/>
    <n v="1282"/>
    <n v="1109"/>
    <n v="0.5"/>
    <n v="554.5"/>
  </r>
  <r>
    <x v="2"/>
    <s v="ULISES CHAVEZ SANDOVAL"/>
    <n v="6"/>
    <n v="36"/>
    <d v="1899-12-31T02:00:00"/>
    <s v="LIZMIR8@OUTLOOK.COM"/>
    <x v="0"/>
    <n v="1081.604"/>
    <n v="2.5"/>
    <n v="1163.79"/>
    <n v="1.9580666999707901"/>
    <n v="609.91"/>
    <s v="OD"/>
    <n v="1"/>
    <n v="1282"/>
    <n v="1109"/>
    <n v="0.5"/>
    <n v="554.5"/>
  </r>
  <r>
    <x v="2"/>
    <s v="ULISES CHAVEZ SANDOVAL"/>
    <n v="6"/>
    <n v="36"/>
    <d v="1899-12-31T02:00:00"/>
    <s v="LIZMIR8@OUTLOOK.COM"/>
    <x v="0"/>
    <n v="1081.604"/>
    <n v="2.5"/>
    <n v="1163.79"/>
    <n v="1.9580666999707901"/>
    <n v="609.91"/>
    <s v="OD"/>
    <n v="1"/>
    <n v="1282"/>
    <n v="1109"/>
    <n v="0.5"/>
    <n v="554.5"/>
  </r>
  <r>
    <x v="2"/>
    <s v="BRYAN LEON"/>
    <n v="36"/>
    <n v="36"/>
    <d v="1899-12-31T02:00:00"/>
    <s v="DANIELAAA19.DA@GMAIL.COM"/>
    <x v="3"/>
    <n v="1080.9313"/>
    <n v="0"/>
    <n v="1163.79"/>
    <n v="0"/>
    <n v="1158.79"/>
    <s v="AD"/>
    <n v="1"/>
    <n v="1254"/>
    <n v="1081"/>
    <n v="0"/>
    <n v="1081"/>
  </r>
  <r>
    <x v="2"/>
    <s v="ANDREW WITCHIE"/>
    <n v="19"/>
    <n v="36"/>
    <d v="1899-12-31T02:00:00"/>
    <s v="ANDREWWITCHIE@GMAIL.COM"/>
    <x v="0"/>
    <n v="1081.3694"/>
    <n v="2.5"/>
    <n v="1163.79"/>
    <n v="1.9580666999707901"/>
    <n v="1158.79"/>
    <s v="AD"/>
    <n v="1"/>
    <n v="1281"/>
    <n v="1108"/>
    <n v="0"/>
    <n v="1108"/>
  </r>
  <r>
    <x v="2"/>
    <s v="KASSANDRA GARCIA"/>
    <n v="20"/>
    <n v="36"/>
    <d v="1899-12-31T02:00:00"/>
    <s v="ANDREWWITCHIE@GMAIL.COM"/>
    <x v="0"/>
    <n v="1081.3516"/>
    <n v="2.5"/>
    <n v="1163.79"/>
    <n v="1.9580666999707901"/>
    <n v="1158.79"/>
    <s v="AD"/>
    <n v="1"/>
    <n v="1281"/>
    <n v="1108"/>
    <n v="0"/>
    <n v="1108"/>
  </r>
  <r>
    <x v="2"/>
    <s v="ANA KAREN SANCHEZ GARCIA"/>
    <n v="1"/>
    <n v="36"/>
    <d v="1899-12-31T23:30:00"/>
    <s v="AKSGTAT99@GMAIL.COM"/>
    <x v="0"/>
    <n v="1081.5459000000001"/>
    <n v="2.5"/>
    <n v="1163.79"/>
    <n v="1.9580666999707901"/>
    <n v="1142.5"/>
    <s v="AD"/>
    <n v="1"/>
    <n v="1282"/>
    <n v="1109"/>
    <n v="0"/>
    <n v="1109"/>
  </r>
  <r>
    <x v="2"/>
    <s v="AILYN GARCIA SANTOS"/>
    <n v="1"/>
    <n v="36"/>
    <d v="1899-12-31T23:59:00"/>
    <s v="AILYNGARCIA2015@GMAIL.COM"/>
    <x v="3"/>
    <n v="1081.4617000000001"/>
    <n v="0"/>
    <n v="1163.79"/>
    <n v="0"/>
    <n v="609.91"/>
    <s v="OD"/>
    <n v="1"/>
    <n v="1254"/>
    <n v="1081"/>
    <n v="0.5"/>
    <n v="540.5"/>
  </r>
  <r>
    <x v="2"/>
    <s v="JOSE MANUEL LOPEZ OREA"/>
    <n v="10"/>
    <n v="35"/>
    <d v="1899-12-31T23:10:00"/>
    <s v="jose.manuel.lopez.orea@ejemplo.com"/>
    <x v="2"/>
    <n v="1081.2865999999999"/>
    <n v="7"/>
    <n v="1163.79"/>
    <n v="5.4825867599182097"/>
    <n v="1097.8399999999999"/>
    <s v="AD"/>
    <n v="1"/>
    <n v="1330"/>
    <n v="1157"/>
    <n v="0"/>
    <n v="1157"/>
  </r>
  <r>
    <x v="2"/>
    <s v="CHRISTIAN FRANCISCO AGUILAR CALZADA"/>
    <n v="30"/>
    <n v="36"/>
    <d v="1899-12-31T02:00:00"/>
    <s v="ETNPASES@GMAIL.COM"/>
    <x v="2"/>
    <n v="1078.9945"/>
    <n v="7"/>
    <n v="1163.79"/>
    <n v="5.4825867599182097"/>
    <n v="1202.5899999999999"/>
    <s v="AD"/>
    <n v="1"/>
    <n v="1327"/>
    <n v="1155"/>
    <n v="0"/>
    <n v="1155"/>
  </r>
  <r>
    <x v="2"/>
    <s v="SALVADOR REYES QUINTANA"/>
    <n v="9"/>
    <n v="36"/>
    <d v="1899-12-31T02:00:00"/>
    <s v="PRINSMA.SRQ36@GMAIL.COM"/>
    <x v="0"/>
    <n v="1081.5485000000001"/>
    <n v="2.5"/>
    <n v="1163.79"/>
    <n v="1.9580666999707901"/>
    <n v="1158.79"/>
    <s v="AD"/>
    <n v="1"/>
    <n v="1282"/>
    <n v="1109"/>
    <n v="0"/>
    <n v="1109"/>
  </r>
  <r>
    <x v="2"/>
    <s v="JOEL AKÃ‰ DE LA LUZ"/>
    <n v="11"/>
    <n v="36"/>
    <d v="1899-12-31T02:00:00"/>
    <s v="JAKE@MORTONSUBASTAS.COM"/>
    <x v="0"/>
    <n v="1081.5126"/>
    <n v="2.5"/>
    <n v="1163.79"/>
    <n v="1.9580666999707901"/>
    <n v="1158.79"/>
    <s v="AD"/>
    <n v="1"/>
    <n v="1282"/>
    <n v="1109"/>
    <n v="0"/>
    <n v="1109"/>
  </r>
  <r>
    <x v="2"/>
    <s v="JESÃšS DAMIAN RIVERA FONSECA"/>
    <n v="23"/>
    <n v="36"/>
    <d v="1899-12-31T23:30:00"/>
    <s v="ANAKAREN.G@PYCCE.COM.MX"/>
    <x v="3"/>
    <n v="1080.7720999999999"/>
    <n v="0"/>
    <n v="1163.79"/>
    <n v="0"/>
    <n v="1158.79"/>
    <s v="AD"/>
    <n v="1"/>
    <n v="1254"/>
    <n v="1081"/>
    <n v="0"/>
    <n v="1081"/>
  </r>
  <r>
    <x v="2"/>
    <s v="BRENDA ACO ENRIQUEZ"/>
    <n v="35"/>
    <n v="36"/>
    <d v="1899-12-31T06:00:00"/>
    <s v="ACOENRIQUEZBRENDA@GMAIL.COM"/>
    <x v="0"/>
    <n v="1080.9456"/>
    <n v="2.5"/>
    <n v="1163.79"/>
    <n v="1.9580666999707901"/>
    <n v="1158.79"/>
    <s v="AD"/>
    <n v="1"/>
    <n v="1281"/>
    <n v="1108"/>
    <n v="0"/>
    <n v="1108"/>
  </r>
  <r>
    <x v="2"/>
    <s v="MANUEL BASULTO RODRIGUEZ"/>
    <n v="16"/>
    <n v="36"/>
    <d v="1899-12-31T11:00:00"/>
    <s v="MANBR96@GMAIL.COM"/>
    <x v="0"/>
    <n v="1081.4175"/>
    <n v="2.5"/>
    <n v="1163.79"/>
    <n v="1.9580666999707901"/>
    <n v="1158.79"/>
    <s v="AD"/>
    <n v="1"/>
    <n v="1281"/>
    <n v="1108"/>
    <n v="0"/>
    <n v="1108"/>
  </r>
  <r>
    <x v="2"/>
    <s v="ALFREDO GÃ“MEZ ESPEJEL"/>
    <n v="23"/>
    <n v="36"/>
    <d v="1899-12-31T23:20:00"/>
    <s v="ALGO_02@HOTMAIL.COM"/>
    <x v="3"/>
    <n v="1080.7714000000001"/>
    <n v="0"/>
    <n v="1163.79"/>
    <n v="0"/>
    <n v="1158.79"/>
    <s v="AD"/>
    <n v="1"/>
    <n v="1254"/>
    <n v="1081"/>
    <n v="0"/>
    <n v="1081"/>
  </r>
  <r>
    <x v="2"/>
    <s v="EDWIN JONATHAN FRIAS ROLDÃN"/>
    <n v="34"/>
    <n v="36"/>
    <d v="1899-12-31T02:00:00"/>
    <s v="EDWINJFR@GMAIL.COM"/>
    <x v="0"/>
    <n v="1080.9649999999999"/>
    <n v="2.5"/>
    <n v="1163.79"/>
    <n v="1.9580666999707901"/>
    <n v="1158.79"/>
    <s v="AD"/>
    <n v="1"/>
    <n v="1281"/>
    <n v="1108"/>
    <n v="0"/>
    <n v="1108"/>
  </r>
  <r>
    <x v="2"/>
    <s v="EDWIN JONATHAN FRIAS ROLDÃN"/>
    <n v="34"/>
    <n v="36"/>
    <d v="1899-12-31T02:00:00"/>
    <s v="ILIANAHK10@GMAIL.COM"/>
    <x v="0"/>
    <n v="1080.9649999999999"/>
    <n v="2.5"/>
    <n v="1163.79"/>
    <n v="1.9580666999707901"/>
    <n v="1158.79"/>
    <s v="AD"/>
    <n v="1"/>
    <n v="1281"/>
    <n v="1108"/>
    <n v="0"/>
    <n v="1108"/>
  </r>
  <r>
    <x v="2"/>
    <s v="ILIANA LORENA FLORES LUNA"/>
    <n v="33"/>
    <n v="36"/>
    <d v="1899-12-31T02:00:00"/>
    <s v="EDWINJFR@GMAIL.COM"/>
    <x v="0"/>
    <n v="1080.9829"/>
    <n v="2.5"/>
    <n v="1163.79"/>
    <n v="1.9580666999707901"/>
    <n v="1158.79"/>
    <s v="AD"/>
    <n v="1"/>
    <n v="1281"/>
    <n v="1108"/>
    <n v="0"/>
    <n v="1108"/>
  </r>
  <r>
    <x v="2"/>
    <s v="ILIANA LORENA FLORES LUNA"/>
    <n v="33"/>
    <n v="36"/>
    <d v="1899-12-31T02:00:00"/>
    <s v="ILIANAHK10@GMAIL.COM"/>
    <x v="0"/>
    <n v="1080.9829"/>
    <n v="2.5"/>
    <n v="1163.79"/>
    <n v="1.9580666999707901"/>
    <n v="1158.79"/>
    <s v="AD"/>
    <n v="1"/>
    <n v="1281"/>
    <n v="1108"/>
    <n v="0"/>
    <n v="1108"/>
  </r>
  <r>
    <x v="2"/>
    <s v="EDUARDO CAZARES DORANTES"/>
    <n v="12"/>
    <n v="36"/>
    <d v="1899-12-31T11:00:00"/>
    <s v="eduardo.cazares.dorantes@ejemplo.com"/>
    <x v="0"/>
    <n v="1081.6014"/>
    <n v="2.5"/>
    <n v="1163.79"/>
    <n v="1.9580666999707901"/>
    <n v="1142.5"/>
    <s v="AD"/>
    <n v="1"/>
    <n v="1282"/>
    <n v="1109"/>
    <n v="0"/>
    <n v="1109"/>
  </r>
  <r>
    <x v="2"/>
    <s v="JOSÃ‰ LUIS LOPEZ PALESTINA"/>
    <n v="8"/>
    <n v="36"/>
    <d v="1899-12-31T11:00:00"/>
    <s v="josÃ©.luis.lopez.palestina@ejemplo.com"/>
    <x v="0"/>
    <n v="1081.6732999999999"/>
    <n v="2.5"/>
    <n v="1163.79"/>
    <n v="1.9580666999707901"/>
    <n v="1142.5"/>
    <s v="AD"/>
    <n v="1"/>
    <n v="1282"/>
    <n v="1109"/>
    <n v="0"/>
    <n v="1109"/>
  </r>
  <r>
    <x v="2"/>
    <s v="RAMON DUARTE GARCÃA"/>
    <n v="9"/>
    <n v="36"/>
    <d v="1899-12-31T11:00:00"/>
    <s v="ramon.duarte.garcÃ­a@ejemplo.com"/>
    <x v="0"/>
    <n v="1081.6554000000001"/>
    <n v="2.5"/>
    <n v="1163.79"/>
    <n v="1.9580666999707901"/>
    <n v="1142.5"/>
    <s v="AD"/>
    <n v="1"/>
    <n v="1282"/>
    <n v="1109"/>
    <n v="0"/>
    <n v="1109"/>
  </r>
  <r>
    <x v="2"/>
    <s v="ÃLVARO BETANCOURT OCHOA"/>
    <n v="15"/>
    <n v="36"/>
    <d v="1899-12-31T06:00:00"/>
    <s v="BETANCOOKS@GMAIL.COM"/>
    <x v="0"/>
    <n v="1081.4364"/>
    <n v="2.5"/>
    <n v="1163.79"/>
    <n v="1.9580666999707901"/>
    <n v="1158.79"/>
    <s v="AD"/>
    <n v="1"/>
    <n v="1282"/>
    <n v="1108"/>
    <n v="0"/>
    <n v="1108"/>
  </r>
  <r>
    <x v="2"/>
    <s v="GABRIELA GUTIÃ‰RREZ GÃ“MEZ"/>
    <n v="24"/>
    <n v="36"/>
    <d v="1899-12-31T02:00:00"/>
    <s v="AXEL.SALAZAR15@GMAIL.COM"/>
    <x v="3"/>
    <n v="1081.1439"/>
    <n v="0"/>
    <n v="1163.79"/>
    <n v="0"/>
    <n v="1158.79"/>
    <s v="AD"/>
    <n v="1"/>
    <n v="1254"/>
    <n v="1081"/>
    <n v="0"/>
    <n v="1081"/>
  </r>
  <r>
    <x v="2"/>
    <s v="MARIO  IVAN GUTIERREZ"/>
    <n v="31"/>
    <n v="36"/>
    <d v="1899-12-31T02:00:00"/>
    <s v="mario..ivan.gutierrez@ejemplo.com"/>
    <x v="1"/>
    <n v="1081.0055"/>
    <n v="10"/>
    <n v="1163.79"/>
    <n v="7.8322667998831603"/>
    <n v="609.91"/>
    <s v="NI"/>
    <n v="1"/>
    <n v="1362"/>
    <n v="1189"/>
    <n v="0.5"/>
    <n v="594.5"/>
  </r>
  <r>
    <x v="2"/>
    <s v="NOE RAMIREZ"/>
    <n v="22"/>
    <n v="36"/>
    <d v="1899-12-31T02:00:00"/>
    <s v="noe.ramirez@ejemplo.com"/>
    <x v="1"/>
    <n v="1081.1674"/>
    <n v="10"/>
    <n v="1163.79"/>
    <n v="7.8322667998831603"/>
    <n v="609.91"/>
    <s v="NI"/>
    <n v="1"/>
    <n v="1362"/>
    <n v="1189"/>
    <n v="0.5"/>
    <n v="594.5"/>
  </r>
  <r>
    <x v="2"/>
    <s v="OSCAR ABEL CARDENAS"/>
    <n v="28"/>
    <n v="36"/>
    <d v="1899-12-31T02:00:00"/>
    <s v="oscar.abel.cardenas@ejemplo.com"/>
    <x v="1"/>
    <n v="1081.0596"/>
    <n v="10"/>
    <n v="1163.79"/>
    <n v="7.8322667998831603"/>
    <n v="609.91"/>
    <s v="NI"/>
    <n v="1"/>
    <n v="1362"/>
    <n v="1189"/>
    <n v="0.5"/>
    <n v="594.5"/>
  </r>
  <r>
    <x v="2"/>
    <s v="WENDY VERA"/>
    <n v="6"/>
    <n v="36"/>
    <d v="1899-12-31T06:00:00"/>
    <s v="JULYJAZZP@GMAIL.COM"/>
    <x v="0"/>
    <n v="1081.598"/>
    <n v="2.5"/>
    <n v="1163.79"/>
    <n v="1.9580666999707901"/>
    <n v="1158.79"/>
    <s v="AD"/>
    <n v="1"/>
    <n v="1282"/>
    <n v="1109"/>
    <n v="0"/>
    <n v="1109"/>
  </r>
  <r>
    <x v="3"/>
    <s v="SAUL NIZ BALVANEDA"/>
    <n v="20"/>
    <n v="36"/>
    <d v="1899-12-31T06:00:00"/>
    <s v="saul.niz.balvaneda@ejemplo.com"/>
    <x v="2"/>
    <n v="1081.3333"/>
    <n v="7"/>
    <n v="1163.79"/>
    <n v="5.4825867599182097"/>
    <n v="1219.83"/>
    <s v="AD"/>
    <n v="1"/>
    <n v="1330"/>
    <n v="1157"/>
    <n v="0"/>
    <n v="1157"/>
  </r>
  <r>
    <x v="3"/>
    <s v="SALVADOR CHAVEZ VARGAS"/>
    <n v="22"/>
    <n v="36"/>
    <d v="1899-12-31T06:00:00"/>
    <s v="salvador.chavez.vargas@ejemplo.com"/>
    <x v="1"/>
    <n v="1081.1638"/>
    <n v="10"/>
    <n v="1163.79"/>
    <n v="7.8322667998831603"/>
    <n v="609.91"/>
    <s v="NI"/>
    <n v="1"/>
    <n v="1362"/>
    <n v="1189"/>
    <n v="0.5"/>
    <n v="594.5"/>
  </r>
  <r>
    <x v="3"/>
    <s v="ALEJANDRO MATA MORALES"/>
    <n v="2"/>
    <n v="36"/>
    <d v="1899-12-31T06:00:00"/>
    <s v="alejandro.mata.morales@ejemplo.com"/>
    <x v="2"/>
    <n v="1081.6559"/>
    <n v="7"/>
    <n v="1163.79"/>
    <n v="5.4825867599182097"/>
    <n v="1219.83"/>
    <s v="AD"/>
    <n v="1"/>
    <n v="1330"/>
    <n v="1157"/>
    <n v="0"/>
    <n v="1157"/>
  </r>
  <r>
    <x v="3"/>
    <s v="RICARDO GARAY ESCOBEDO"/>
    <n v="16"/>
    <n v="36"/>
    <d v="1899-12-31T23:59:00"/>
    <s v="ricardo.garay.escobedo@ejemplo.com"/>
    <x v="1"/>
    <n v="1081.175"/>
    <n v="10"/>
    <n v="1163.79"/>
    <n v="7.8322667998831603"/>
    <n v="609.91"/>
    <s v="NI"/>
    <n v="1"/>
    <n v="1362"/>
    <n v="1189"/>
    <n v="0.5"/>
    <n v="594.5"/>
  </r>
  <r>
    <x v="3"/>
    <s v="COMPLENTO ULISES CHAVEZ"/>
    <n v="12"/>
    <n v="36"/>
    <d v="1899-12-31T06:00:00"/>
    <s v="complento.ulises.chavez@ejemplo.com"/>
    <x v="1"/>
    <n v="1081.4761000000001"/>
    <n v="10"/>
    <n v="1163.79"/>
    <n v="7.8322667998831603"/>
    <n v="609.91"/>
    <s v="NI"/>
    <n v="1"/>
    <n v="1363"/>
    <n v="1190"/>
    <n v="0.5"/>
    <n v="595"/>
  </r>
  <r>
    <x v="3"/>
    <s v="ADRIANA IVETH VÃZQUEZ ESTRADA"/>
    <n v="1"/>
    <n v="36"/>
    <d v="1899-12-31T02:00:00"/>
    <s v="ADRIANA.VAZQUEZ@GIA.MX"/>
    <x v="0"/>
    <n v="1081.6228000000001"/>
    <n v="2.5"/>
    <n v="1163.79"/>
    <n v="1.9580666999707901"/>
    <n v="1099.1400000000001"/>
    <s v="AD"/>
    <n v="1"/>
    <n v="1282"/>
    <n v="1109"/>
    <n v="0"/>
    <n v="1109"/>
  </r>
  <r>
    <x v="3"/>
    <s v="FERNANDO ALONSO BETANCOURT PÃ‰REZ"/>
    <n v="1"/>
    <n v="35"/>
    <d v="1899-12-31T23:59:00"/>
    <s v="FERCHOABP@OUTLOOK.COM"/>
    <x v="0"/>
    <n v="1081.2528"/>
    <n v="2.5"/>
    <n v="1163.79"/>
    <n v="1.9580666999707901"/>
    <n v="1107.76"/>
    <s v="AD"/>
    <n v="1"/>
    <n v="1281"/>
    <n v="1108"/>
    <n v="0"/>
    <n v="1108"/>
  </r>
  <r>
    <x v="3"/>
    <s v="MARIA DEL ROCIO BARBA ESPINOZA"/>
    <n v="33"/>
    <n v="36"/>
    <d v="1899-12-31T06:00:00"/>
    <s v="maria.del.rocio.barba.espinoza@ejemplo.com"/>
    <x v="5"/>
    <n v="1080.9646"/>
    <n v="8.5"/>
    <n v="1163.79"/>
    <n v="6.6574267799006801"/>
    <n v="1219.83"/>
    <s v="AD"/>
    <n v="1"/>
    <n v="1346"/>
    <n v="1173"/>
    <n v="0"/>
    <n v="1173"/>
  </r>
  <r>
    <x v="3"/>
    <s v="JOSÃ‰ RAÃšL NAVARRO CAREAGA"/>
    <n v="34"/>
    <n v="36"/>
    <d v="1899-12-31T06:00:00"/>
    <s v="JOSENAVARROC@OUTLOOK.COM"/>
    <x v="3"/>
    <n v="1080.9591"/>
    <n v="0"/>
    <n v="1163.79"/>
    <n v="0"/>
    <n v="1158.79"/>
    <s v="AD"/>
    <n v="1"/>
    <n v="1254"/>
    <n v="1081"/>
    <n v="0"/>
    <n v="1081"/>
  </r>
  <r>
    <x v="3"/>
    <s v="DANIELA MIRANDA"/>
    <n v="29"/>
    <n v="36"/>
    <d v="1899-12-31T06:00:00"/>
    <s v="daniela.miranda@ejemplo.com"/>
    <x v="5"/>
    <n v="1081.0364"/>
    <n v="8.5"/>
    <n v="1163.79"/>
    <n v="6.6574267799006801"/>
    <n v="1219.83"/>
    <s v="AD"/>
    <n v="1"/>
    <n v="1346"/>
    <n v="1173"/>
    <n v="0"/>
    <n v="1173"/>
  </r>
  <r>
    <x v="3"/>
    <s v="ALFONSO RAMIREZ MUÃ‘OZ"/>
    <n v="23"/>
    <n v="36"/>
    <d v="1899-12-31T06:00:00"/>
    <s v="alfonso.ramirez.muÃ±oz@ejemplo.com"/>
    <x v="5"/>
    <n v="1081.1427000000001"/>
    <n v="8.5"/>
    <n v="1163.79"/>
    <n v="6.6574267799006801"/>
    <n v="1219.83"/>
    <s v="AD"/>
    <n v="1"/>
    <n v="1346"/>
    <n v="1173"/>
    <n v="0"/>
    <n v="1173"/>
  </r>
  <r>
    <x v="3"/>
    <s v="ELISA MEZA TORRES"/>
    <n v="19"/>
    <n v="36"/>
    <d v="1899-12-31T06:00:00"/>
    <s v="elisa.meza.torres@ejemplo.com"/>
    <x v="5"/>
    <n v="1081.3472999999999"/>
    <n v="8.5"/>
    <n v="1163.79"/>
    <n v="6.6574267799006801"/>
    <n v="1219.83"/>
    <s v="AD"/>
    <n v="1"/>
    <n v="1346"/>
    <n v="1173"/>
    <n v="0"/>
    <n v="1173"/>
  </r>
  <r>
    <x v="3"/>
    <s v="EFRAI SALADO MARQEZ"/>
    <n v="5"/>
    <n v="36"/>
    <d v="1899-12-31T06:00:00"/>
    <s v="efrai.salado.marqez@ejemplo.com"/>
    <x v="5"/>
    <n v="1081.5988"/>
    <n v="8.5"/>
    <n v="1163.79"/>
    <n v="6.6574267799006801"/>
    <n v="1219.83"/>
    <s v="AD"/>
    <n v="1"/>
    <n v="1347"/>
    <n v="1174"/>
    <n v="0"/>
    <n v="1174"/>
  </r>
  <r>
    <x v="3"/>
    <s v="ARTURO VILLALOBOS GUERRERO"/>
    <n v="14"/>
    <n v="36"/>
    <d v="1899-12-31T06:00:00"/>
    <s v="arturo.villalobos.guerrero@ejemplo.com"/>
    <x v="5"/>
    <n v="1081.4371000000001"/>
    <n v="8.5"/>
    <n v="1163.79"/>
    <n v="6.6574267799006801"/>
    <n v="1219.83"/>
    <s v="AD"/>
    <n v="1"/>
    <n v="1346"/>
    <n v="1173"/>
    <n v="0"/>
    <n v="1173"/>
  </r>
  <r>
    <x v="3"/>
    <s v="MARTIN BERNARDINO LOPEZ"/>
    <n v="28"/>
    <n v="36"/>
    <d v="1899-12-31T06:00:00"/>
    <s v="martin.bernardino.lopez@ejemplo.com"/>
    <x v="5"/>
    <n v="1081.0527"/>
    <n v="8.5"/>
    <n v="1163.79"/>
    <n v="6.6574267799006801"/>
    <n v="1219.83"/>
    <s v="AD"/>
    <n v="1"/>
    <n v="1346"/>
    <n v="1173"/>
    <n v="0"/>
    <n v="1173"/>
  </r>
  <r>
    <x v="3"/>
    <s v="ARTURO VILLEGAS MACIAS"/>
    <n v="25"/>
    <n v="36"/>
    <d v="1899-12-31T23:59:00"/>
    <s v="ARTUROGZVILLEGAS@GMAIL.COM"/>
    <x v="3"/>
    <n v="1080.8884"/>
    <n v="0"/>
    <n v="1163.79"/>
    <n v="0"/>
    <n v="1158.79"/>
    <s v="AD"/>
    <n v="1"/>
    <n v="1254"/>
    <n v="1081"/>
    <n v="0"/>
    <n v="1081"/>
  </r>
  <r>
    <x v="3"/>
    <s v="DULCE ESTHER MARTINEZ VARGAS"/>
    <n v="4"/>
    <n v="36"/>
    <d v="1899-12-31T11:00:00"/>
    <s v="dulce.esther.martinez.vargas@ejemplo.com"/>
    <x v="1"/>
    <n v="1081.403"/>
    <n v="10"/>
    <n v="1163.79"/>
    <n v="7.8322667998831603"/>
    <n v="601.29"/>
    <s v="NI"/>
    <n v="1"/>
    <n v="1363"/>
    <n v="1190"/>
    <n v="0.5"/>
    <n v="595"/>
  </r>
  <r>
    <x v="3"/>
    <s v="ARELI JEZABEL ALVARADO GARCIA"/>
    <n v="14"/>
    <n v="36"/>
    <d v="1899-12-31T06:00:00"/>
    <s v="ARELI.ALVARADOG@OUTLOOK.ES"/>
    <x v="0"/>
    <n v="1081.4739"/>
    <n v="2.5"/>
    <n v="1163.79"/>
    <n v="1.9580666999707901"/>
    <n v="1142.5"/>
    <s v="AD"/>
    <n v="1"/>
    <n v="1282"/>
    <n v="1109"/>
    <n v="0"/>
    <n v="1109"/>
  </r>
  <r>
    <x v="3"/>
    <s v="VANESSA CARDENAS ALVARADO"/>
    <n v="15"/>
    <n v="36"/>
    <d v="1899-12-31T06:00:00"/>
    <s v="ARELI.ALVARADOG@OUTLOOK.ES"/>
    <x v="0"/>
    <n v="1081.4558"/>
    <n v="2.5"/>
    <n v="1163.79"/>
    <n v="1.9580666999707901"/>
    <n v="1142.5"/>
    <s v="AD"/>
    <n v="1"/>
    <n v="1282"/>
    <n v="1108"/>
    <n v="0"/>
    <n v="1108"/>
  </r>
  <r>
    <x v="3"/>
    <s v="VICTOR MONROY OMAÃ‘A"/>
    <n v="2"/>
    <n v="36"/>
    <d v="1899-12-31T23:59:00"/>
    <s v="victor.monroy.omaÃ±a@ejemplo.com"/>
    <x v="1"/>
    <n v="1081.4187999999999"/>
    <n v="10"/>
    <n v="1163.79"/>
    <n v="7.8322667998831603"/>
    <n v="609.91"/>
    <s v="NI"/>
    <n v="1"/>
    <n v="1363"/>
    <n v="1190"/>
    <n v="0.5"/>
    <n v="595"/>
  </r>
  <r>
    <x v="3"/>
    <s v="ADRIANA CHAVARRIA GARCIA"/>
    <n v="35"/>
    <n v="36"/>
    <d v="1899-12-31T23:59:00"/>
    <s v="PRIDE0011@GMAIL.COM"/>
    <x v="3"/>
    <n v="1080.7053000000001"/>
    <n v="0"/>
    <n v="1163.79"/>
    <n v="0"/>
    <n v="1158.79"/>
    <s v="AD"/>
    <n v="1"/>
    <n v="1254"/>
    <n v="1081"/>
    <n v="0"/>
    <n v="1081"/>
  </r>
  <r>
    <x v="3"/>
    <s v="PEDRO ALONSO RUVALCABA GONZALEZ"/>
    <n v="36"/>
    <n v="36"/>
    <d v="1899-12-31T23:59:00"/>
    <s v="pedro.alonso.ruvalcaba.gonzalez@ejemplo.com"/>
    <x v="3"/>
    <n v="1080.6875"/>
    <n v="0"/>
    <n v="1163.79"/>
    <n v="0"/>
    <n v="1158.79"/>
    <s v="AD"/>
    <n v="1"/>
    <n v="1254"/>
    <n v="1081"/>
    <n v="0"/>
    <n v="1081"/>
  </r>
  <r>
    <x v="3"/>
    <s v="PEDRO ALONSO RUVALCABA RIVERA"/>
    <n v="27"/>
    <n v="36"/>
    <d v="1899-12-31T23:59:00"/>
    <s v="pedro.alonso.ruvalcaba.rivera@ejemplo.com"/>
    <x v="3"/>
    <n v="1080.8490999999999"/>
    <n v="0"/>
    <n v="1163.79"/>
    <n v="0"/>
    <n v="1158.79"/>
    <s v="AD"/>
    <n v="1"/>
    <n v="1254"/>
    <n v="1081"/>
    <n v="0"/>
    <n v="1081"/>
  </r>
  <r>
    <x v="3"/>
    <s v="JOSE GUADALUPE HERNANDEZ BECERRIL"/>
    <n v="29"/>
    <n v="35"/>
    <d v="1899-12-31T23:10:00"/>
    <s v="PEPEHDZB@GMAIL.COM"/>
    <x v="3"/>
    <n v="1080.8134"/>
    <n v="0"/>
    <n v="1163.79"/>
    <n v="0"/>
    <n v="1158.79"/>
    <s v="AD"/>
    <n v="1"/>
    <n v="1254"/>
    <n v="1081"/>
    <n v="0"/>
    <n v="1081"/>
  </r>
  <r>
    <x v="3"/>
    <s v="SANTIAGO MAISTERRA BRU"/>
    <n v="7"/>
    <n v="36"/>
    <d v="1899-12-31T23:59:00"/>
    <s v="santiago.maisterra.bru@ejemplo.com"/>
    <x v="3"/>
    <n v="1081.3413"/>
    <n v="0"/>
    <n v="1163.79"/>
    <n v="0"/>
    <n v="1158.79"/>
    <s v="AD"/>
    <n v="1"/>
    <n v="1254"/>
    <n v="1081"/>
    <n v="0"/>
    <n v="1081"/>
  </r>
  <r>
    <x v="3"/>
    <s v="MARIA SEVERA ARVIZU ARVIZU"/>
    <n v="10"/>
    <n v="36"/>
    <d v="1899-12-31T06:00:00"/>
    <s v="ROXANAJOSEFINAVALDESMARTINEZ@GMAIL.COM"/>
    <x v="4"/>
    <n v="1081.4505999999999"/>
    <n v="5"/>
    <n v="1163.79"/>
    <n v="3.9161333999415802"/>
    <n v="601.29"/>
    <s v="IN"/>
    <n v="1"/>
    <n v="1309"/>
    <n v="1136"/>
    <n v="0.5"/>
    <n v="568"/>
  </r>
  <r>
    <x v="3"/>
    <s v="OBED ALEXIS HERNANDEZ QUINTERO"/>
    <n v="13"/>
    <n v="36"/>
    <d v="1899-12-31T23:59:00"/>
    <s v="URIELQV_@HOTMAIL.COM"/>
    <x v="0"/>
    <n v="1081.4776999999999"/>
    <n v="2.5"/>
    <n v="1163.79"/>
    <n v="1.9580666999707901"/>
    <n v="1142.5"/>
    <s v="AD"/>
    <n v="1"/>
    <n v="1282"/>
    <n v="1109"/>
    <n v="0"/>
    <n v="1109"/>
  </r>
  <r>
    <x v="3"/>
    <s v="ENRIQUE ESTRADA ROMERO"/>
    <n v="1"/>
    <n v="36"/>
    <d v="1899-12-31T23:59:00"/>
    <s v="enrique.estrada.romero@ejemplo.com"/>
    <x v="4"/>
    <n v="1081.3601000000001"/>
    <n v="5"/>
    <n v="1163.79"/>
    <n v="3.9161333999415802"/>
    <n v="601.29"/>
    <s v="IN"/>
    <n v="1"/>
    <n v="1308"/>
    <n v="1135"/>
    <n v="0.5"/>
    <n v="567.5"/>
  </r>
  <r>
    <x v="3"/>
    <s v="ENRIQUE ESTRADA MUÃ‘OZ"/>
    <n v="5"/>
    <n v="36"/>
    <d v="1899-12-31T23:59:00"/>
    <s v="enrique.estrada.muÃ±oz@ejemplo.com"/>
    <x v="2"/>
    <n v="1081.2881"/>
    <n v="7"/>
    <n v="1163.79"/>
    <n v="5.4825867599182097"/>
    <n v="1202.5899999999999"/>
    <s v="AD"/>
    <n v="1"/>
    <n v="1330"/>
    <n v="1157"/>
    <n v="0"/>
    <n v="1157"/>
  </r>
  <r>
    <x v="3"/>
    <s v="ANDREA ESTRADA CONTRERAS"/>
    <n v="6"/>
    <n v="36"/>
    <d v="1899-12-31T23:59:00"/>
    <s v="andrea.estrada.contreras@ejemplo.com"/>
    <x v="2"/>
    <n v="1081.2702999999999"/>
    <n v="7"/>
    <n v="1163.79"/>
    <n v="5.4825867599182097"/>
    <n v="1202.5899999999999"/>
    <s v="AD"/>
    <n v="1"/>
    <n v="1330"/>
    <n v="1157"/>
    <n v="0"/>
    <n v="1157"/>
  </r>
  <r>
    <x v="3"/>
    <s v="MARTA EUGENIA LOVERA LOPEZ"/>
    <n v="30"/>
    <n v="36"/>
    <d v="1899-12-31T02:00:00"/>
    <s v="marta.eugenia.lovera.lopez@ejemplo.com"/>
    <x v="4"/>
    <n v="1081.0065"/>
    <n v="5"/>
    <n v="1163.79"/>
    <n v="3.9161333999415802"/>
    <n v="601.29"/>
    <s v="IN"/>
    <n v="1"/>
    <n v="1308"/>
    <n v="1135"/>
    <n v="0.5"/>
    <n v="567.5"/>
  </r>
  <r>
    <x v="3"/>
    <s v="MIREYA A LOPEZ RODRIGUEZ"/>
    <n v="31"/>
    <n v="36"/>
    <d v="1899-12-31T02:00:00"/>
    <s v="mireya.a.lopez.rodriguez@ejemplo.com"/>
    <x v="4"/>
    <n v="1080.9885999999999"/>
    <n v="5"/>
    <n v="1163.79"/>
    <n v="3.9161333999415802"/>
    <n v="601.29"/>
    <s v="IN"/>
    <n v="1"/>
    <n v="1308"/>
    <n v="1135"/>
    <n v="0.5"/>
    <n v="567.5"/>
  </r>
  <r>
    <x v="3"/>
    <s v="MARIA ARCELIA CALLEJA"/>
    <n v="32"/>
    <n v="36"/>
    <d v="1899-12-31T11:00:00"/>
    <s v="maria.arcelia.calleja@ejemplo.com"/>
    <x v="1"/>
    <n v="1080.953"/>
    <n v="10"/>
    <n v="1163.79"/>
    <n v="7.8322667998831603"/>
    <n v="601.29"/>
    <s v="NI"/>
    <n v="1"/>
    <n v="1362"/>
    <n v="1189"/>
    <n v="0.5"/>
    <n v="594.5"/>
  </r>
  <r>
    <x v="3"/>
    <s v="CLAUDIA CLEMENTINA MONDRAGON CALLEJ"/>
    <n v="31"/>
    <n v="36"/>
    <d v="1899-12-31T11:00:00"/>
    <s v="claudia.clementina.mondragon.callej@ejemplo.com"/>
    <x v="2"/>
    <n v="1080.971"/>
    <n v="7"/>
    <n v="1163.79"/>
    <n v="5.4825867599182097"/>
    <n v="1202.5899999999999"/>
    <s v="AD"/>
    <n v="1"/>
    <n v="1330"/>
    <n v="1157"/>
    <n v="0"/>
    <n v="1157"/>
  </r>
  <r>
    <x v="3"/>
    <s v="ANICETA HERNANDEZ HERNANDEZ"/>
    <n v="30"/>
    <n v="36"/>
    <d v="1899-12-31T11:00:00"/>
    <s v="aniceta.hernandez.hernandez@ejemplo.com"/>
    <x v="2"/>
    <n v="1080.989"/>
    <n v="7"/>
    <n v="1163.79"/>
    <n v="5.4825867599182097"/>
    <n v="1202.5899999999999"/>
    <s v="AD"/>
    <n v="1"/>
    <n v="1330"/>
    <n v="1157"/>
    <n v="0"/>
    <n v="1157"/>
  </r>
  <r>
    <x v="3"/>
    <s v="JUAN PABLO ARAIZA JIMENEZ"/>
    <n v="18"/>
    <n v="36"/>
    <d v="1899-12-31T23:59:00"/>
    <s v="TOMMYMXS@GMAIL.COM"/>
    <x v="2"/>
    <n v="1081.1420000000001"/>
    <n v="7"/>
    <n v="1163.79"/>
    <n v="5.4825867599182097"/>
    <n v="1158.79"/>
    <s v="AD"/>
    <n v="1"/>
    <n v="1330"/>
    <n v="1157"/>
    <n v="0"/>
    <n v="1157"/>
  </r>
  <r>
    <x v="3"/>
    <s v="JOSE ANTONIO MIRANDA GALVAN"/>
    <n v="16"/>
    <n v="36"/>
    <d v="1899-12-31T06:00:00"/>
    <s v="ASISTENTE@GRUPOSIM.COM.MX"/>
    <x v="0"/>
    <n v="1081.3411000000001"/>
    <n v="2.5"/>
    <n v="1163.79"/>
    <n v="1.9580666999707901"/>
    <n v="1142.5"/>
    <s v="AD"/>
    <n v="1"/>
    <n v="1281"/>
    <n v="1108"/>
    <n v="0"/>
    <n v="1108"/>
  </r>
  <r>
    <x v="3"/>
    <s v="KEVIN SALVADOR VELASCO ORTIZ"/>
    <n v="30"/>
    <n v="36"/>
    <d v="1899-12-31T23:59:00"/>
    <s v="PROYECTOS@SHAS.COM.MX"/>
    <x v="2"/>
    <n v="1080.7936999999999"/>
    <n v="7"/>
    <n v="1163.79"/>
    <n v="5.4825867599182097"/>
    <n v="1158.79"/>
    <s v="AD"/>
    <n v="1"/>
    <n v="1329"/>
    <n v="1156"/>
    <n v="0"/>
    <n v="1156"/>
  </r>
  <r>
    <x v="3"/>
    <s v="MARIA DEL    CARMEN  MEJIA  PADILLA"/>
    <n v="35"/>
    <n v="36"/>
    <d v="1899-12-31T23:59:00"/>
    <s v="maria.del....carmen..mejia..padilla@ejemplo.com"/>
    <x v="4"/>
    <n v="1080.8035"/>
    <n v="5"/>
    <n v="1163.79"/>
    <n v="3.9161333999415802"/>
    <n v="601.29"/>
    <s v="IN"/>
    <n v="1"/>
    <n v="1308"/>
    <n v="1135"/>
    <n v="0.5"/>
    <n v="567.5"/>
  </r>
  <r>
    <x v="3"/>
    <s v="CARLOS EMILIANO JIMENEZ MARTINEZ"/>
    <n v="24"/>
    <n v="35"/>
    <d v="1899-12-31T23:59:00"/>
    <s v="FACTURAS@AUTOPRESTA.MX"/>
    <x v="0"/>
    <n v="1080.8291999999999"/>
    <n v="2.5"/>
    <n v="1163.79"/>
    <n v="1.9580666999707901"/>
    <n v="1142.5"/>
    <s v="AD"/>
    <n v="1"/>
    <n v="1281"/>
    <n v="1108"/>
    <n v="0"/>
    <n v="1108"/>
  </r>
  <r>
    <x v="3"/>
    <s v="CARLOS EMILIANO JIMENEZ MARTINEZ"/>
    <n v="24"/>
    <n v="35"/>
    <d v="1899-12-31T23:59:00"/>
    <s v="FACTURAS@AUTOPRESTA.MX"/>
    <x v="0"/>
    <n v="1080.8291999999999"/>
    <n v="2.5"/>
    <n v="1163.79"/>
    <n v="1.9580666999707901"/>
    <n v="1142.5"/>
    <s v="AD"/>
    <n v="1"/>
    <n v="1281"/>
    <n v="1108"/>
    <n v="0"/>
    <n v="1108"/>
  </r>
  <r>
    <x v="3"/>
    <s v="EDGAR ALEJANDRO JIMENEZ MAYA"/>
    <n v="21"/>
    <n v="35"/>
    <d v="1899-12-31T23:59:00"/>
    <s v="FACTURAS@AUTOPRESTA.MX"/>
    <x v="0"/>
    <n v="1080.883"/>
    <n v="2.5"/>
    <n v="1163.79"/>
    <n v="1.9580666999707901"/>
    <n v="1142.5"/>
    <s v="AD"/>
    <n v="1"/>
    <n v="1281"/>
    <n v="1108"/>
    <n v="0"/>
    <n v="1108"/>
  </r>
  <r>
    <x v="3"/>
    <s v="EDGAR ALEJANDRO JIMENEZ MAYA"/>
    <n v="21"/>
    <n v="35"/>
    <d v="1899-12-31T23:59:00"/>
    <s v="FACTURAS@AUTOPRESTA.MX"/>
    <x v="0"/>
    <n v="1080.883"/>
    <n v="2.5"/>
    <n v="1163.79"/>
    <n v="1.9580666999707901"/>
    <n v="1142.5"/>
    <s v="AD"/>
    <n v="1"/>
    <n v="1281"/>
    <n v="1108"/>
    <n v="0"/>
    <n v="1108"/>
  </r>
  <r>
    <x v="3"/>
    <s v="LAISHA ALANÃS JIMÃ‰NEZ MARTINEZ"/>
    <n v="18"/>
    <n v="35"/>
    <d v="1899-12-31T23:59:00"/>
    <s v="FACTURAS@AUTOPRESTA.MX"/>
    <x v="0"/>
    <n v="1080.9369999999999"/>
    <n v="2.5"/>
    <n v="1163.79"/>
    <n v="1.9580666999707901"/>
    <n v="1142.5"/>
    <s v="AD"/>
    <n v="1"/>
    <n v="1281"/>
    <n v="1108"/>
    <n v="0"/>
    <n v="1108"/>
  </r>
  <r>
    <x v="3"/>
    <s v="LAISHA ALANÃS JIMÃ‰NEZ MARTINEZ"/>
    <n v="18"/>
    <n v="35"/>
    <d v="1899-12-31T23:59:00"/>
    <s v="FACTURAS@AUTOPRESTA.MX"/>
    <x v="0"/>
    <n v="1080.9369999999999"/>
    <n v="2.5"/>
    <n v="1163.79"/>
    <n v="1.9580666999707901"/>
    <n v="1142.5"/>
    <s v="AD"/>
    <n v="1"/>
    <n v="1281"/>
    <n v="1108"/>
    <n v="0"/>
    <n v="1108"/>
  </r>
  <r>
    <x v="3"/>
    <s v="ARIES EDUARDO GUADARRAMA ZENTENO"/>
    <n v="24"/>
    <n v="36"/>
    <d v="1899-12-31T02:00:00"/>
    <s v="ARIES.G.ZENTENO@GMAIL.COM"/>
    <x v="0"/>
    <n v="1081.0653"/>
    <n v="2.5"/>
    <n v="1163.79"/>
    <n v="1.9580666999707901"/>
    <n v="1142.5"/>
    <s v="AD"/>
    <n v="1"/>
    <n v="1281"/>
    <n v="1108"/>
    <n v="0"/>
    <n v="1108"/>
  </r>
  <r>
    <x v="3"/>
    <s v="ALAN DE JESUS MONROY"/>
    <n v="9"/>
    <n v="35"/>
    <d v="1899-12-31T23:10:00"/>
    <s v="ACM-INS-ELEC@HOTMAIL.COM"/>
    <x v="3"/>
    <n v="1081.3021000000001"/>
    <n v="0"/>
    <n v="1163.79"/>
    <n v="0"/>
    <n v="1158.79"/>
    <s v="AD"/>
    <n v="1"/>
    <n v="1254"/>
    <n v="1081"/>
    <n v="0"/>
    <n v="1081"/>
  </r>
  <r>
    <x v="3"/>
    <s v="ARTURO FERRER"/>
    <n v="6"/>
    <n v="35"/>
    <d v="1899-12-31T23:10:00"/>
    <s v="ACM-INS-ELEC@HOTMAIL.COM"/>
    <x v="3"/>
    <n v="1081.3561999999999"/>
    <n v="0"/>
    <n v="1163.79"/>
    <n v="0"/>
    <n v="1158.79"/>
    <s v="AD"/>
    <n v="1"/>
    <n v="1254"/>
    <n v="1081"/>
    <n v="0"/>
    <n v="1081"/>
  </r>
  <r>
    <x v="3"/>
    <s v="DIEGO ALCARAZAR TREVIÃ‘O"/>
    <n v="1"/>
    <n v="36"/>
    <d v="1899-12-31T02:00:00"/>
    <s v="DENDERUIZ@GMAIL.COM"/>
    <x v="0"/>
    <n v="1081.6283000000001"/>
    <n v="2.5"/>
    <n v="1163.79"/>
    <n v="1.9580666999707901"/>
    <n v="1142.5"/>
    <s v="AD"/>
    <n v="1"/>
    <n v="1282"/>
    <n v="1109"/>
    <n v="0"/>
    <n v="1109"/>
  </r>
  <r>
    <x v="3"/>
    <s v="DIEGO ALCARAZAR TREVIÃ‘O"/>
    <n v="1"/>
    <n v="36"/>
    <d v="1899-12-31T02:00:00"/>
    <s v="DENDERUIZ@GMAIL.COM"/>
    <x v="0"/>
    <n v="1081.6283000000001"/>
    <n v="2.5"/>
    <n v="1163.79"/>
    <n v="1.9580666999707901"/>
    <n v="1142.5"/>
    <s v="AD"/>
    <n v="1"/>
    <n v="1282"/>
    <n v="1109"/>
    <n v="0"/>
    <n v="1109"/>
  </r>
  <r>
    <x v="3"/>
    <s v="DIEGO ALCARAZAR TREVIÃ‘O"/>
    <n v="1"/>
    <n v="36"/>
    <d v="1899-12-31T02:00:00"/>
    <s v="DENDERUIZ@GMAIL.COM"/>
    <x v="0"/>
    <n v="1081.6283000000001"/>
    <n v="2.5"/>
    <n v="1163.79"/>
    <n v="1.9580666999707901"/>
    <n v="1142.5"/>
    <s v="AD"/>
    <n v="1"/>
    <n v="1282"/>
    <n v="1109"/>
    <n v="0"/>
    <n v="1109"/>
  </r>
  <r>
    <x v="3"/>
    <s v="DIEGO ALCARAZAR TREVIÃ‘O"/>
    <n v="1"/>
    <n v="36"/>
    <d v="1899-12-31T02:00:00"/>
    <s v="DENDERUIZ@GMAIL.COM"/>
    <x v="0"/>
    <n v="1081.6283000000001"/>
    <n v="2.5"/>
    <n v="1163.79"/>
    <n v="1.9580666999707901"/>
    <n v="1142.5"/>
    <s v="AD"/>
    <n v="1"/>
    <n v="1282"/>
    <n v="1109"/>
    <n v="0"/>
    <n v="1109"/>
  </r>
  <r>
    <x v="3"/>
    <s v="DIEGO ALCARAZAR TREVIÃ‘O"/>
    <n v="1"/>
    <n v="36"/>
    <d v="1899-12-31T02:00:00"/>
    <s v="DENDERUIZ@GMAIL.COM"/>
    <x v="0"/>
    <n v="1081.6283000000001"/>
    <n v="2.5"/>
    <n v="1163.79"/>
    <n v="1.9580666999707901"/>
    <n v="1142.5"/>
    <s v="AD"/>
    <n v="1"/>
    <n v="1282"/>
    <n v="1109"/>
    <n v="0"/>
    <n v="1109"/>
  </r>
  <r>
    <x v="3"/>
    <s v="DIUNIS VALDEZ OFARRIL"/>
    <n v="3"/>
    <n v="36"/>
    <d v="1899-12-31T02:00:00"/>
    <s v="DENDERUIZ@GMAIL.COM"/>
    <x v="0"/>
    <n v="1081.5924"/>
    <n v="2.5"/>
    <n v="1163.79"/>
    <n v="1.9580666999707901"/>
    <n v="1142.5"/>
    <s v="AD"/>
    <n v="1"/>
    <n v="1282"/>
    <n v="1109"/>
    <n v="0"/>
    <n v="1109"/>
  </r>
  <r>
    <x v="3"/>
    <s v="DIUNIS VALDEZ OFARRIL"/>
    <n v="3"/>
    <n v="36"/>
    <d v="1899-12-31T02:00:00"/>
    <s v="DENDERUIZ@GMAIL.COM"/>
    <x v="0"/>
    <n v="1081.5924"/>
    <n v="2.5"/>
    <n v="1163.79"/>
    <n v="1.9580666999707901"/>
    <n v="1142.5"/>
    <s v="AD"/>
    <n v="1"/>
    <n v="1282"/>
    <n v="1109"/>
    <n v="0"/>
    <n v="1109"/>
  </r>
  <r>
    <x v="3"/>
    <s v="DIUNIS VALDEZ OFARRIL"/>
    <n v="3"/>
    <n v="36"/>
    <d v="1899-12-31T02:00:00"/>
    <s v="DENDERUIZ@GMAIL.COM"/>
    <x v="0"/>
    <n v="1081.5924"/>
    <n v="2.5"/>
    <n v="1163.79"/>
    <n v="1.9580666999707901"/>
    <n v="1142.5"/>
    <s v="AD"/>
    <n v="1"/>
    <n v="1282"/>
    <n v="1109"/>
    <n v="0"/>
    <n v="1109"/>
  </r>
  <r>
    <x v="3"/>
    <s v="DIUNIS VALDEZ OFARRIL"/>
    <n v="3"/>
    <n v="36"/>
    <d v="1899-12-31T02:00:00"/>
    <s v="DENDERUIZ@GMAIL.COM"/>
    <x v="0"/>
    <n v="1081.5924"/>
    <n v="2.5"/>
    <n v="1163.79"/>
    <n v="1.9580666999707901"/>
    <n v="1142.5"/>
    <s v="AD"/>
    <n v="1"/>
    <n v="1282"/>
    <n v="1109"/>
    <n v="0"/>
    <n v="1109"/>
  </r>
  <r>
    <x v="3"/>
    <s v="DIUNIS VALDEZ OFARRIL"/>
    <n v="3"/>
    <n v="36"/>
    <d v="1899-12-31T02:00:00"/>
    <s v="DENDERUIZ@GMAIL.COM"/>
    <x v="0"/>
    <n v="1081.5924"/>
    <n v="2.5"/>
    <n v="1163.79"/>
    <n v="1.9580666999707901"/>
    <n v="1142.5"/>
    <s v="AD"/>
    <n v="1"/>
    <n v="1282"/>
    <n v="1109"/>
    <n v="0"/>
    <n v="1109"/>
  </r>
  <r>
    <x v="3"/>
    <s v="FABIÃN DÃAZ HERNÃNDEZ"/>
    <n v="5"/>
    <n v="36"/>
    <d v="1899-12-31T02:00:00"/>
    <s v="DENDERUIZ@GMAIL.COM"/>
    <x v="0"/>
    <n v="1081.5565999999999"/>
    <n v="2.5"/>
    <n v="1163.79"/>
    <n v="1.9580666999707901"/>
    <n v="1142.5"/>
    <s v="AD"/>
    <n v="1"/>
    <n v="1282"/>
    <n v="1109"/>
    <n v="0"/>
    <n v="1109"/>
  </r>
  <r>
    <x v="3"/>
    <s v="FABIÃN DÃAZ HERNÃNDEZ"/>
    <n v="5"/>
    <n v="36"/>
    <d v="1899-12-31T02:00:00"/>
    <s v="DENDERUIZ@GMAIL.COM"/>
    <x v="0"/>
    <n v="1081.5565999999999"/>
    <n v="2.5"/>
    <n v="1163.79"/>
    <n v="1.9580666999707901"/>
    <n v="1142.5"/>
    <s v="AD"/>
    <n v="1"/>
    <n v="1282"/>
    <n v="1109"/>
    <n v="0"/>
    <n v="1109"/>
  </r>
  <r>
    <x v="3"/>
    <s v="FABIÃN DÃAZ HERNÃNDEZ"/>
    <n v="5"/>
    <n v="36"/>
    <d v="1899-12-31T02:00:00"/>
    <s v="DENDERUIZ@GMAIL.COM"/>
    <x v="0"/>
    <n v="1081.5565999999999"/>
    <n v="2.5"/>
    <n v="1163.79"/>
    <n v="1.9580666999707901"/>
    <n v="1142.5"/>
    <s v="AD"/>
    <n v="1"/>
    <n v="1282"/>
    <n v="1109"/>
    <n v="0"/>
    <n v="1109"/>
  </r>
  <r>
    <x v="3"/>
    <s v="FABIÃN DÃAZ HERNÃNDEZ"/>
    <n v="5"/>
    <n v="36"/>
    <d v="1899-12-31T02:00:00"/>
    <s v="DENDERUIZ@GMAIL.COM"/>
    <x v="0"/>
    <n v="1081.5565999999999"/>
    <n v="2.5"/>
    <n v="1163.79"/>
    <n v="1.9580666999707901"/>
    <n v="1142.5"/>
    <s v="AD"/>
    <n v="1"/>
    <n v="1282"/>
    <n v="1109"/>
    <n v="0"/>
    <n v="1109"/>
  </r>
  <r>
    <x v="3"/>
    <s v="FABIÃN DÃAZ HERNÃNDEZ"/>
    <n v="5"/>
    <n v="36"/>
    <d v="1899-12-31T02:00:00"/>
    <s v="DENDERUIZ@GMAIL.COM"/>
    <x v="0"/>
    <n v="1081.5565999999999"/>
    <n v="2.5"/>
    <n v="1163.79"/>
    <n v="1.9580666999707901"/>
    <n v="1142.5"/>
    <s v="AD"/>
    <n v="1"/>
    <n v="1282"/>
    <n v="1109"/>
    <n v="0"/>
    <n v="1109"/>
  </r>
  <r>
    <x v="3"/>
    <s v="JOSÃ‰ RAYMUNDO MEJÃA LÃ“PEZ"/>
    <n v="6"/>
    <n v="36"/>
    <d v="1899-12-31T02:00:00"/>
    <s v="DENDERUIZ@GMAIL.COM"/>
    <x v="0"/>
    <n v="1081.5387000000001"/>
    <n v="2.5"/>
    <n v="1163.79"/>
    <n v="1.9580666999707901"/>
    <n v="1142.5"/>
    <s v="AD"/>
    <n v="1"/>
    <n v="1282"/>
    <n v="1109"/>
    <n v="0"/>
    <n v="1109"/>
  </r>
  <r>
    <x v="3"/>
    <s v="JOSÃ‰ RAYMUNDO MEJÃA LÃ“PEZ"/>
    <n v="6"/>
    <n v="36"/>
    <d v="1899-12-31T02:00:00"/>
    <s v="DENDERUIZ@GMAIL.COM"/>
    <x v="0"/>
    <n v="1081.5387000000001"/>
    <n v="2.5"/>
    <n v="1163.79"/>
    <n v="1.9580666999707901"/>
    <n v="1142.5"/>
    <s v="AD"/>
    <n v="1"/>
    <n v="1282"/>
    <n v="1109"/>
    <n v="0"/>
    <n v="1109"/>
  </r>
  <r>
    <x v="3"/>
    <s v="JOSÃ‰ RAYMUNDO MEJÃA LÃ“PEZ"/>
    <n v="6"/>
    <n v="36"/>
    <d v="1899-12-31T02:00:00"/>
    <s v="DENDERUIZ@GMAIL.COM"/>
    <x v="0"/>
    <n v="1081.5387000000001"/>
    <n v="2.5"/>
    <n v="1163.79"/>
    <n v="1.9580666999707901"/>
    <n v="1142.5"/>
    <s v="AD"/>
    <n v="1"/>
    <n v="1282"/>
    <n v="1109"/>
    <n v="0"/>
    <n v="1109"/>
  </r>
  <r>
    <x v="3"/>
    <s v="JOSÃ‰ RAYMUNDO MEJÃA LÃ“PEZ"/>
    <n v="6"/>
    <n v="36"/>
    <d v="1899-12-31T02:00:00"/>
    <s v="DENDERUIZ@GMAIL.COM"/>
    <x v="0"/>
    <n v="1081.5387000000001"/>
    <n v="2.5"/>
    <n v="1163.79"/>
    <n v="1.9580666999707901"/>
    <n v="1142.5"/>
    <s v="AD"/>
    <n v="1"/>
    <n v="1282"/>
    <n v="1109"/>
    <n v="0"/>
    <n v="1109"/>
  </r>
  <r>
    <x v="3"/>
    <s v="JOSÃ‰ RAYMUNDO MEJÃA LÃ“PEZ"/>
    <n v="6"/>
    <n v="36"/>
    <d v="1899-12-31T02:00:00"/>
    <s v="DENDERUIZ@GMAIL.COM"/>
    <x v="0"/>
    <n v="1081.5387000000001"/>
    <n v="2.5"/>
    <n v="1163.79"/>
    <n v="1.9580666999707901"/>
    <n v="1142.5"/>
    <s v="AD"/>
    <n v="1"/>
    <n v="1282"/>
    <n v="1109"/>
    <n v="0"/>
    <n v="1109"/>
  </r>
  <r>
    <x v="3"/>
    <s v="LUIS EDUARDO DÃAZ HERNÃNDEZ"/>
    <n v="2"/>
    <n v="36"/>
    <d v="1899-12-31T02:00:00"/>
    <s v="DENDERUIZ@GMAIL.COM"/>
    <x v="0"/>
    <n v="1081.6102000000001"/>
    <n v="2.5"/>
    <n v="1163.79"/>
    <n v="1.9580666999707901"/>
    <n v="1142.5"/>
    <s v="AD"/>
    <n v="1"/>
    <n v="1282"/>
    <n v="1109"/>
    <n v="0"/>
    <n v="1109"/>
  </r>
  <r>
    <x v="3"/>
    <s v="LUIS EDUARDO DÃAZ HERNÃNDEZ"/>
    <n v="2"/>
    <n v="36"/>
    <d v="1899-12-31T02:00:00"/>
    <s v="DENDERUIZ@GMAIL.COM"/>
    <x v="0"/>
    <n v="1081.6102000000001"/>
    <n v="2.5"/>
    <n v="1163.79"/>
    <n v="1.9580666999707901"/>
    <n v="1142.5"/>
    <s v="AD"/>
    <n v="1"/>
    <n v="1282"/>
    <n v="1109"/>
    <n v="0"/>
    <n v="1109"/>
  </r>
  <r>
    <x v="3"/>
    <s v="LUIS EDUARDO DÃAZ HERNÃNDEZ"/>
    <n v="2"/>
    <n v="36"/>
    <d v="1899-12-31T02:00:00"/>
    <s v="DENDERUIZ@GMAIL.COM"/>
    <x v="0"/>
    <n v="1081.6102000000001"/>
    <n v="2.5"/>
    <n v="1163.79"/>
    <n v="1.9580666999707901"/>
    <n v="1142.5"/>
    <s v="AD"/>
    <n v="1"/>
    <n v="1282"/>
    <n v="1109"/>
    <n v="0"/>
    <n v="1109"/>
  </r>
  <r>
    <x v="3"/>
    <s v="LUIS EDUARDO DÃAZ HERNÃNDEZ"/>
    <n v="2"/>
    <n v="36"/>
    <d v="1899-12-31T02:00:00"/>
    <s v="DENDERUIZ@GMAIL.COM"/>
    <x v="0"/>
    <n v="1081.6102000000001"/>
    <n v="2.5"/>
    <n v="1163.79"/>
    <n v="1.9580666999707901"/>
    <n v="1142.5"/>
    <s v="AD"/>
    <n v="1"/>
    <n v="1282"/>
    <n v="1109"/>
    <n v="0"/>
    <n v="1109"/>
  </r>
  <r>
    <x v="3"/>
    <s v="LUIS EDUARDO DÃAZ HERNÃNDEZ"/>
    <n v="2"/>
    <n v="36"/>
    <d v="1899-12-31T02:00:00"/>
    <s v="DENDERUIZ@GMAIL.COM"/>
    <x v="0"/>
    <n v="1081.6102000000001"/>
    <n v="2.5"/>
    <n v="1163.79"/>
    <n v="1.9580666999707901"/>
    <n v="1142.5"/>
    <s v="AD"/>
    <n v="1"/>
    <n v="1282"/>
    <n v="1109"/>
    <n v="0"/>
    <n v="1109"/>
  </r>
  <r>
    <x v="3"/>
    <s v="EDGAR ROBERTO AGUILAR"/>
    <n v="31"/>
    <n v="36"/>
    <d v="1899-12-31T06:00:00"/>
    <s v="ENRIQUE.CRUZAVEIRO@GMAIL.COM"/>
    <x v="0"/>
    <n v="1080.9263000000001"/>
    <n v="2.5"/>
    <n v="1163.79"/>
    <n v="1.9580666999707901"/>
    <n v="1142.5"/>
    <s v="AD"/>
    <n v="1"/>
    <n v="1281"/>
    <n v="1108"/>
    <n v="0"/>
    <n v="1108"/>
  </r>
  <r>
    <x v="3"/>
    <s v="EDGAR ROBERTO AGUILAR"/>
    <n v="31"/>
    <n v="36"/>
    <d v="1899-12-31T06:00:00"/>
    <s v="ENRIQUE.CRUZAVEIRO@GMAIL.COM"/>
    <x v="0"/>
    <n v="1080.9263000000001"/>
    <n v="2.5"/>
    <n v="1163.79"/>
    <n v="1.9580666999707901"/>
    <n v="1142.5"/>
    <s v="AD"/>
    <n v="1"/>
    <n v="1281"/>
    <n v="1108"/>
    <n v="0"/>
    <n v="1108"/>
  </r>
  <r>
    <x v="3"/>
    <s v="ARMIDA CRUZ"/>
    <n v="30"/>
    <n v="36"/>
    <d v="1899-12-31T06:00:00"/>
    <s v="ENRIQUE.CRUZAVEIRO@GMAIL.COM"/>
    <x v="0"/>
    <n v="1080.9440999999999"/>
    <n v="2.5"/>
    <n v="1163.79"/>
    <n v="1.9580666999707901"/>
    <n v="601.29"/>
    <s v="IN"/>
    <n v="1"/>
    <n v="1281"/>
    <n v="1108"/>
    <n v="0.5"/>
    <n v="554"/>
  </r>
  <r>
    <x v="3"/>
    <s v="ARMIDA CRUZ"/>
    <n v="30"/>
    <n v="36"/>
    <d v="1899-12-31T06:00:00"/>
    <s v="ENRIQUE.CRUZAVEIRO@GMAIL.COM"/>
    <x v="0"/>
    <n v="1080.9440999999999"/>
    <n v="2.5"/>
    <n v="1163.79"/>
    <n v="1.9580666999707901"/>
    <n v="601.29"/>
    <s v="IN"/>
    <n v="1"/>
    <n v="1281"/>
    <n v="1108"/>
    <n v="0.5"/>
    <n v="554"/>
  </r>
  <r>
    <x v="3"/>
    <s v="MARIA ANTONIA PEÃ‘A NUÃ‘EZ"/>
    <n v="31"/>
    <n v="36"/>
    <d v="1899-12-31T11:00:00"/>
    <s v="I_FON58@HOTMAIL.COM"/>
    <x v="4"/>
    <n v="1080.9514999999999"/>
    <n v="5"/>
    <n v="1163.79"/>
    <n v="3.9161333999415802"/>
    <n v="601.29"/>
    <s v="IN"/>
    <n v="1"/>
    <n v="1308"/>
    <n v="1135"/>
    <n v="0.5"/>
    <n v="567.5"/>
  </r>
  <r>
    <x v="3"/>
    <s v="SELENE DEL CARMEN RODRIGUEZ MILLAN"/>
    <n v="3"/>
    <n v="35"/>
    <d v="1899-12-31T23:59:00"/>
    <s v="selene.del.carmen.rodriguez.millan@ejemplo.com"/>
    <x v="2"/>
    <n v="1080.8033"/>
    <n v="7"/>
    <n v="1163.79"/>
    <n v="5.4825867599182097"/>
    <n v="1202.5899999999999"/>
    <s v="AD"/>
    <n v="1"/>
    <n v="1329"/>
    <n v="1156"/>
    <n v="0"/>
    <n v="1156"/>
  </r>
  <r>
    <x v="3"/>
    <s v="GUILLERMO MINAKATA CARDENAS"/>
    <n v="2"/>
    <n v="35"/>
    <d v="1899-12-31T23:59:00"/>
    <s v="guillermo.minakata.cardenas@ejemplo.com"/>
    <x v="2"/>
    <n v="1080.8213000000001"/>
    <n v="7"/>
    <n v="1163.79"/>
    <n v="5.4825867599182097"/>
    <n v="1202.5899999999999"/>
    <s v="AD"/>
    <n v="1"/>
    <n v="1329"/>
    <n v="1156"/>
    <n v="0"/>
    <n v="1156"/>
  </r>
  <r>
    <x v="3"/>
    <s v="MIGUEL ANGEL MEJIA AREVALO"/>
    <n v="4"/>
    <n v="36"/>
    <d v="1899-12-31T23:59:00"/>
    <s v="SERGIO_ARCEO@HOTMAIL.COM"/>
    <x v="3"/>
    <n v="1081.2579000000001"/>
    <n v="0"/>
    <n v="1163.79"/>
    <n v="0"/>
    <n v="1158.79"/>
    <s v="AD"/>
    <n v="1"/>
    <n v="1254"/>
    <n v="1081"/>
    <n v="0"/>
    <n v="1081"/>
  </r>
  <r>
    <x v="3"/>
    <s v="JUAN JESUS QUIROZ"/>
    <n v="21"/>
    <n v="36"/>
    <d v="1899-12-31T23:59:00"/>
    <s v="JHONATANSORIANO@GMAIL.COM"/>
    <x v="3"/>
    <n v="1081.0847000000001"/>
    <n v="0"/>
    <n v="1163.79"/>
    <n v="0"/>
    <n v="609.91"/>
    <s v="OD"/>
    <n v="1"/>
    <n v="1254"/>
    <n v="1081"/>
    <n v="0.5"/>
    <n v="540.5"/>
  </r>
  <r>
    <x v="3"/>
    <s v="MANUEL PERALTA AGUILAR"/>
    <n v="14"/>
    <n v="36"/>
    <d v="1899-12-31T23:59:00"/>
    <s v="MANUELPA220999@GMAIL.COM"/>
    <x v="3"/>
    <n v="1081.2098000000001"/>
    <n v="0"/>
    <n v="1163.79"/>
    <n v="0"/>
    <n v="1158.79"/>
    <s v="AD"/>
    <n v="1"/>
    <n v="1254"/>
    <n v="1081"/>
    <n v="0"/>
    <n v="1081"/>
  </r>
  <r>
    <x v="3"/>
    <s v="JOSE ANTONIO PEREZ LOPEZ"/>
    <n v="10"/>
    <n v="36"/>
    <d v="1899-12-31T23:59:00"/>
    <s v="CORONELJOSE9012@GMAIL.COM"/>
    <x v="5"/>
    <n v="1080.7476999999999"/>
    <n v="8.5"/>
    <n v="1163.79"/>
    <n v="6.6574267799006801"/>
    <n v="1219.83"/>
    <s v="AD"/>
    <n v="1"/>
    <n v="1346"/>
    <n v="1173"/>
    <n v="0"/>
    <n v="1173"/>
  </r>
  <r>
    <x v="3"/>
    <s v="MARGARITO MARIO HERNÃNDEZ"/>
    <n v="7"/>
    <n v="36"/>
    <d v="1899-12-31T23:59:00"/>
    <s v="CACTUSMARIO@HOTMAIL.COM"/>
    <x v="4"/>
    <n v="1080.55"/>
    <n v="5"/>
    <n v="1163.79"/>
    <n v="3.9161333999415802"/>
    <n v="601.29"/>
    <s v="IN"/>
    <n v="1"/>
    <n v="1307"/>
    <n v="1135"/>
    <n v="0.5"/>
    <n v="567.5"/>
  </r>
  <r>
    <x v="3"/>
    <s v="LAYLA WEISENBERGER MC EVILLY"/>
    <n v="28"/>
    <n v="36"/>
    <d v="1899-12-31T23:59:00"/>
    <s v="LJWSNBRGR@GMAIL.COM"/>
    <x v="3"/>
    <n v="1080.8251"/>
    <n v="0"/>
    <n v="1163.79"/>
    <n v="0"/>
    <n v="1158.79"/>
    <s v="AD"/>
    <n v="1"/>
    <n v="1254"/>
    <n v="1081"/>
    <n v="0"/>
    <n v="1081"/>
  </r>
  <r>
    <x v="3"/>
    <s v="ANTONIO ESPINOSA VÃZQUEZ"/>
    <n v="22"/>
    <n v="36"/>
    <d v="1899-12-31T23:59:00"/>
    <s v="ANTONIOESPINOSA@ESBRACO.COM.MX"/>
    <x v="3"/>
    <n v="1080.932"/>
    <n v="0"/>
    <n v="1163.79"/>
    <n v="0"/>
    <n v="1158.79"/>
    <s v="AD"/>
    <n v="1"/>
    <n v="1254"/>
    <n v="1081"/>
    <n v="0"/>
    <n v="1081"/>
  </r>
  <r>
    <x v="3"/>
    <s v="ROBERTO REINEL RAMIREZ HERNÃNDEZ"/>
    <n v="3"/>
    <n v="36"/>
    <d v="1899-12-31T11:00:00"/>
    <s v="ROBY570606@GMAIL.COM"/>
    <x v="4"/>
    <n v="1081.7172"/>
    <n v="5"/>
    <n v="1163.79"/>
    <n v="3.9161333999415802"/>
    <n v="601.29"/>
    <s v="IN"/>
    <n v="1"/>
    <n v="1309"/>
    <n v="1136"/>
    <n v="0.5"/>
    <n v="568"/>
  </r>
  <r>
    <x v="3"/>
    <s v="JOSÃ‰ CASTRO VILLANUEVA"/>
    <n v="16"/>
    <n v="36"/>
    <d v="1899-12-31T02:00:00"/>
    <s v="JCFILOSO1998@GMAIL.COM"/>
    <x v="0"/>
    <n v="1081.3373999999999"/>
    <n v="2.5"/>
    <n v="1163.79"/>
    <n v="1.9580666999707901"/>
    <n v="1142.5"/>
    <s v="AD"/>
    <n v="1"/>
    <n v="1281"/>
    <n v="1108"/>
    <n v="0"/>
    <n v="1108"/>
  </r>
  <r>
    <x v="3"/>
    <s v="GIANCARLO VERA"/>
    <n v="31"/>
    <n v="36"/>
    <d v="1899-12-31T23:59:00"/>
    <s v="GIANCARLO291210@GMAIL.COM"/>
    <x v="0"/>
    <n v="1080.7702999999999"/>
    <n v="2.5"/>
    <n v="1163.79"/>
    <n v="1.9580666999707901"/>
    <n v="1158.79"/>
    <s v="AD"/>
    <n v="1"/>
    <n v="1281"/>
    <n v="1108"/>
    <n v="0"/>
    <n v="1108"/>
  </r>
  <r>
    <x v="3"/>
    <s v="ALEJANDRA GAMBOA ORDUÃ‘O"/>
    <n v="8"/>
    <n v="36"/>
    <d v="1899-12-31T02:00:00"/>
    <s v="JANAYR26.AG@GMAIL.COM"/>
    <x v="0"/>
    <n v="1081.4816000000001"/>
    <n v="2.5"/>
    <n v="1163.79"/>
    <n v="1.9580666999707901"/>
    <n v="1142.5"/>
    <s v="AD"/>
    <n v="1"/>
    <n v="1282"/>
    <n v="1109"/>
    <n v="0"/>
    <n v="1109"/>
  </r>
  <r>
    <x v="3"/>
    <s v="ALEJANDRA GAMBOA ORDUÃ‘O"/>
    <n v="8"/>
    <n v="36"/>
    <d v="1899-12-31T02:00:00"/>
    <s v="JANAYR26.AG@GMAIL.COM"/>
    <x v="0"/>
    <n v="1081.4816000000001"/>
    <n v="2.5"/>
    <n v="1163.79"/>
    <n v="1.9580666999707901"/>
    <n v="1142.5"/>
    <s v="AD"/>
    <n v="1"/>
    <n v="1282"/>
    <n v="1109"/>
    <n v="0"/>
    <n v="1109"/>
  </r>
  <r>
    <x v="3"/>
    <s v="ALEJANDRA GAMBOA ORDUÃ‘O"/>
    <n v="8"/>
    <n v="36"/>
    <d v="1899-12-31T02:00:00"/>
    <s v="JANAYR26.AG@GMAIL.COM"/>
    <x v="0"/>
    <n v="1081.4816000000001"/>
    <n v="2.5"/>
    <n v="1163.79"/>
    <n v="1.9580666999707901"/>
    <n v="1142.5"/>
    <s v="AD"/>
    <n v="1"/>
    <n v="1282"/>
    <n v="1109"/>
    <n v="0"/>
    <n v="1109"/>
  </r>
  <r>
    <x v="3"/>
    <s v="ALEJANDRA GAMBOA ORDUÃ‘O"/>
    <n v="8"/>
    <n v="36"/>
    <d v="1899-12-31T02:00:00"/>
    <s v="JANAYR26.AG@GMAIL.COM"/>
    <x v="0"/>
    <n v="1081.4816000000001"/>
    <n v="2.5"/>
    <n v="1163.79"/>
    <n v="1.9580666999707901"/>
    <n v="1142.5"/>
    <s v="AD"/>
    <n v="1"/>
    <n v="1282"/>
    <n v="1109"/>
    <n v="0"/>
    <n v="1109"/>
  </r>
  <r>
    <x v="3"/>
    <s v="ALEJANDRA GAMBOA ORDUÃ‘O"/>
    <n v="8"/>
    <n v="36"/>
    <d v="1899-12-31T02:00:00"/>
    <s v="JANAYR26.AG@GMAIL.COM"/>
    <x v="0"/>
    <n v="1081.4816000000001"/>
    <n v="2.5"/>
    <n v="1163.79"/>
    <n v="1.9580666999707901"/>
    <n v="1142.5"/>
    <s v="AD"/>
    <n v="1"/>
    <n v="1282"/>
    <n v="1109"/>
    <n v="0"/>
    <n v="1109"/>
  </r>
  <r>
    <x v="3"/>
    <s v="ALEJANDRA GAMBOA ORDUÃ‘O"/>
    <n v="8"/>
    <n v="36"/>
    <d v="1899-12-31T02:00:00"/>
    <s v="JANAYR26.AG@GMAIL.COM"/>
    <x v="0"/>
    <n v="1081.4816000000001"/>
    <n v="2.5"/>
    <n v="1163.79"/>
    <n v="1.9580666999707901"/>
    <n v="1142.5"/>
    <s v="AD"/>
    <n v="1"/>
    <n v="1282"/>
    <n v="1109"/>
    <n v="0"/>
    <n v="1109"/>
  </r>
  <r>
    <x v="3"/>
    <s v="ALEJANDRA GAMBOA ORDUÃ‘O"/>
    <n v="8"/>
    <n v="36"/>
    <d v="1899-12-31T02:00:00"/>
    <s v="JANAYR26.AG@GMAIL.COM"/>
    <x v="0"/>
    <n v="1081.4816000000001"/>
    <n v="2.5"/>
    <n v="1163.79"/>
    <n v="1.9580666999707901"/>
    <n v="1142.5"/>
    <s v="AD"/>
    <n v="1"/>
    <n v="1282"/>
    <n v="1109"/>
    <n v="0"/>
    <n v="1109"/>
  </r>
  <r>
    <x v="3"/>
    <s v="ESPERANZA ELIZABETH GAMBOA ORDUÃ‘O"/>
    <n v="12"/>
    <n v="36"/>
    <d v="1899-12-31T02:00:00"/>
    <s v="JANAYR26.AG@GMAIL.COM"/>
    <x v="0"/>
    <n v="1081.4094"/>
    <n v="2.5"/>
    <n v="1163.79"/>
    <n v="1.9580666999707901"/>
    <n v="1142.5"/>
    <s v="AD"/>
    <n v="1"/>
    <n v="1281"/>
    <n v="1108"/>
    <n v="0"/>
    <n v="1108"/>
  </r>
  <r>
    <x v="3"/>
    <s v="ESPERANZA ELIZABETH GAMBOA ORDUÃ‘O"/>
    <n v="12"/>
    <n v="36"/>
    <d v="1899-12-31T02:00:00"/>
    <s v="JANAYR26.AG@GMAIL.COM"/>
    <x v="0"/>
    <n v="1081.4094"/>
    <n v="2.5"/>
    <n v="1163.79"/>
    <n v="1.9580666999707901"/>
    <n v="1142.5"/>
    <s v="AD"/>
    <n v="1"/>
    <n v="1281"/>
    <n v="1108"/>
    <n v="0"/>
    <n v="1108"/>
  </r>
  <r>
    <x v="3"/>
    <s v="ESPERANZA ELIZABETH GAMBOA ORDUÃ‘O"/>
    <n v="12"/>
    <n v="36"/>
    <d v="1899-12-31T02:00:00"/>
    <s v="JANAYR26.AG@GMAIL.COM"/>
    <x v="0"/>
    <n v="1081.4094"/>
    <n v="2.5"/>
    <n v="1163.79"/>
    <n v="1.9580666999707901"/>
    <n v="1142.5"/>
    <s v="AD"/>
    <n v="1"/>
    <n v="1281"/>
    <n v="1108"/>
    <n v="0"/>
    <n v="1108"/>
  </r>
  <r>
    <x v="3"/>
    <s v="ESPERANZA ELIZABETH GAMBOA ORDUÃ‘O"/>
    <n v="12"/>
    <n v="36"/>
    <d v="1899-12-31T02:00:00"/>
    <s v="JANAYR26.AG@GMAIL.COM"/>
    <x v="0"/>
    <n v="1081.4094"/>
    <n v="2.5"/>
    <n v="1163.79"/>
    <n v="1.9580666999707901"/>
    <n v="1142.5"/>
    <s v="AD"/>
    <n v="1"/>
    <n v="1281"/>
    <n v="1108"/>
    <n v="0"/>
    <n v="1108"/>
  </r>
  <r>
    <x v="3"/>
    <s v="ESPERANZA ELIZABETH GAMBOA ORDUÃ‘O"/>
    <n v="12"/>
    <n v="36"/>
    <d v="1899-12-31T02:00:00"/>
    <s v="JANAYR26.AG@GMAIL.COM"/>
    <x v="0"/>
    <n v="1081.4094"/>
    <n v="2.5"/>
    <n v="1163.79"/>
    <n v="1.9580666999707901"/>
    <n v="1142.5"/>
    <s v="AD"/>
    <n v="1"/>
    <n v="1281"/>
    <n v="1108"/>
    <n v="0"/>
    <n v="1108"/>
  </r>
  <r>
    <x v="3"/>
    <s v="ESPERANZA ELIZABETH GAMBOA ORDUÃ‘O"/>
    <n v="12"/>
    <n v="36"/>
    <d v="1899-12-31T02:00:00"/>
    <s v="JANAYR26.AG@GMAIL.COM"/>
    <x v="0"/>
    <n v="1081.4094"/>
    <n v="2.5"/>
    <n v="1163.79"/>
    <n v="1.9580666999707901"/>
    <n v="1142.5"/>
    <s v="AD"/>
    <n v="1"/>
    <n v="1281"/>
    <n v="1108"/>
    <n v="0"/>
    <n v="1108"/>
  </r>
  <r>
    <x v="3"/>
    <s v="ESPERANZA ELIZABETH GAMBOA ORDUÃ‘O"/>
    <n v="12"/>
    <n v="36"/>
    <d v="1899-12-31T02:00:00"/>
    <s v="JANAYR26.AG@GMAIL.COM"/>
    <x v="0"/>
    <n v="1081.4094"/>
    <n v="2.5"/>
    <n v="1163.79"/>
    <n v="1.9580666999707901"/>
    <n v="1142.5"/>
    <s v="AD"/>
    <n v="1"/>
    <n v="1281"/>
    <n v="1108"/>
    <n v="0"/>
    <n v="1108"/>
  </r>
  <r>
    <x v="3"/>
    <s v="JOSÃ‰ BACILIO RODRIGUEZ PADILLA"/>
    <n v="11"/>
    <n v="36"/>
    <d v="1899-12-31T02:00:00"/>
    <s v="JANAYR26.AG@GMAIL.COM"/>
    <x v="0"/>
    <n v="1081.4275"/>
    <n v="2.5"/>
    <n v="1163.79"/>
    <n v="1.9580666999707901"/>
    <n v="1142.5"/>
    <s v="AD"/>
    <n v="1"/>
    <n v="1281"/>
    <n v="1108"/>
    <n v="0"/>
    <n v="1108"/>
  </r>
  <r>
    <x v="3"/>
    <s v="JOSÃ‰ BACILIO RODRIGUEZ PADILLA"/>
    <n v="11"/>
    <n v="36"/>
    <d v="1899-12-31T02:00:00"/>
    <s v="JANAYR26.AG@GMAIL.COM"/>
    <x v="0"/>
    <n v="1081.4275"/>
    <n v="2.5"/>
    <n v="1163.79"/>
    <n v="1.9580666999707901"/>
    <n v="1142.5"/>
    <s v="AD"/>
    <n v="1"/>
    <n v="1281"/>
    <n v="1108"/>
    <n v="0"/>
    <n v="1108"/>
  </r>
  <r>
    <x v="3"/>
    <s v="JOSÃ‰ BACILIO RODRIGUEZ PADILLA"/>
    <n v="11"/>
    <n v="36"/>
    <d v="1899-12-31T02:00:00"/>
    <s v="JANAYR26.AG@GMAIL.COM"/>
    <x v="0"/>
    <n v="1081.4275"/>
    <n v="2.5"/>
    <n v="1163.79"/>
    <n v="1.9580666999707901"/>
    <n v="1142.5"/>
    <s v="AD"/>
    <n v="1"/>
    <n v="1281"/>
    <n v="1108"/>
    <n v="0"/>
    <n v="1108"/>
  </r>
  <r>
    <x v="3"/>
    <s v="JOSÃ‰ BACILIO RODRIGUEZ PADILLA"/>
    <n v="11"/>
    <n v="36"/>
    <d v="1899-12-31T02:00:00"/>
    <s v="JANAYR26.AG@GMAIL.COM"/>
    <x v="0"/>
    <n v="1081.4275"/>
    <n v="2.5"/>
    <n v="1163.79"/>
    <n v="1.9580666999707901"/>
    <n v="1142.5"/>
    <s v="AD"/>
    <n v="1"/>
    <n v="1281"/>
    <n v="1108"/>
    <n v="0"/>
    <n v="1108"/>
  </r>
  <r>
    <x v="3"/>
    <s v="JOSÃ‰ BACILIO RODRIGUEZ PADILLA"/>
    <n v="11"/>
    <n v="36"/>
    <d v="1899-12-31T02:00:00"/>
    <s v="JANAYR26.AG@GMAIL.COM"/>
    <x v="0"/>
    <n v="1081.4275"/>
    <n v="2.5"/>
    <n v="1163.79"/>
    <n v="1.9580666999707901"/>
    <n v="1142.5"/>
    <s v="AD"/>
    <n v="1"/>
    <n v="1281"/>
    <n v="1108"/>
    <n v="0"/>
    <n v="1108"/>
  </r>
  <r>
    <x v="3"/>
    <s v="JOSÃ‰ BACILIO RODRIGUEZ PADILLA"/>
    <n v="11"/>
    <n v="36"/>
    <d v="1899-12-31T02:00:00"/>
    <s v="JANAYR26.AG@GMAIL.COM"/>
    <x v="0"/>
    <n v="1081.4275"/>
    <n v="2.5"/>
    <n v="1163.79"/>
    <n v="1.9580666999707901"/>
    <n v="1142.5"/>
    <s v="AD"/>
    <n v="1"/>
    <n v="1281"/>
    <n v="1108"/>
    <n v="0"/>
    <n v="1108"/>
  </r>
  <r>
    <x v="3"/>
    <s v="JOSÃ‰ BACILIO RODRIGUEZ PADILLA"/>
    <n v="11"/>
    <n v="36"/>
    <d v="1899-12-31T02:00:00"/>
    <s v="JANAYR26.AG@GMAIL.COM"/>
    <x v="0"/>
    <n v="1081.4275"/>
    <n v="2.5"/>
    <n v="1163.79"/>
    <n v="1.9580666999707901"/>
    <n v="1142.5"/>
    <s v="AD"/>
    <n v="1"/>
    <n v="1281"/>
    <n v="1108"/>
    <n v="0"/>
    <n v="1108"/>
  </r>
  <r>
    <x v="3"/>
    <s v="LESLIE ESTEFANIA GAMBOA BARON"/>
    <n v="13"/>
    <n v="36"/>
    <d v="1899-12-31T02:00:00"/>
    <s v="JANAYR26.AG@GMAIL.COM"/>
    <x v="0"/>
    <n v="1081.3915999999999"/>
    <n v="2.5"/>
    <n v="1163.79"/>
    <n v="1.9580666999707901"/>
    <n v="1142.5"/>
    <s v="AD"/>
    <n v="1"/>
    <n v="1281"/>
    <n v="1108"/>
    <n v="0"/>
    <n v="1108"/>
  </r>
  <r>
    <x v="3"/>
    <s v="LESLIE ESTEFANIA GAMBOA BARON"/>
    <n v="13"/>
    <n v="36"/>
    <d v="1899-12-31T02:00:00"/>
    <s v="JANAYR26.AG@GMAIL.COM"/>
    <x v="0"/>
    <n v="1081.3915999999999"/>
    <n v="2.5"/>
    <n v="1163.79"/>
    <n v="1.9580666999707901"/>
    <n v="1142.5"/>
    <s v="AD"/>
    <n v="1"/>
    <n v="1281"/>
    <n v="1108"/>
    <n v="0"/>
    <n v="1108"/>
  </r>
  <r>
    <x v="3"/>
    <s v="LESLIE ESTEFANIA GAMBOA BARON"/>
    <n v="13"/>
    <n v="36"/>
    <d v="1899-12-31T02:00:00"/>
    <s v="JANAYR26.AG@GMAIL.COM"/>
    <x v="0"/>
    <n v="1081.3915999999999"/>
    <n v="2.5"/>
    <n v="1163.79"/>
    <n v="1.9580666999707901"/>
    <n v="1142.5"/>
    <s v="AD"/>
    <n v="1"/>
    <n v="1281"/>
    <n v="1108"/>
    <n v="0"/>
    <n v="1108"/>
  </r>
  <r>
    <x v="3"/>
    <s v="LESLIE ESTEFANIA GAMBOA BARON"/>
    <n v="13"/>
    <n v="36"/>
    <d v="1899-12-31T02:00:00"/>
    <s v="JANAYR26.AG@GMAIL.COM"/>
    <x v="0"/>
    <n v="1081.3915999999999"/>
    <n v="2.5"/>
    <n v="1163.79"/>
    <n v="1.9580666999707901"/>
    <n v="1142.5"/>
    <s v="AD"/>
    <n v="1"/>
    <n v="1281"/>
    <n v="1108"/>
    <n v="0"/>
    <n v="1108"/>
  </r>
  <r>
    <x v="3"/>
    <s v="LESLIE ESTEFANIA GAMBOA BARON"/>
    <n v="13"/>
    <n v="36"/>
    <d v="1899-12-31T02:00:00"/>
    <s v="JANAYR26.AG@GMAIL.COM"/>
    <x v="0"/>
    <n v="1081.3915999999999"/>
    <n v="2.5"/>
    <n v="1163.79"/>
    <n v="1.9580666999707901"/>
    <n v="1142.5"/>
    <s v="AD"/>
    <n v="1"/>
    <n v="1281"/>
    <n v="1108"/>
    <n v="0"/>
    <n v="1108"/>
  </r>
  <r>
    <x v="3"/>
    <s v="LESLIE ESTEFANIA GAMBOA BARON"/>
    <n v="13"/>
    <n v="36"/>
    <d v="1899-12-31T02:00:00"/>
    <s v="JANAYR26.AG@GMAIL.COM"/>
    <x v="0"/>
    <n v="1081.3915999999999"/>
    <n v="2.5"/>
    <n v="1163.79"/>
    <n v="1.9580666999707901"/>
    <n v="1142.5"/>
    <s v="AD"/>
    <n v="1"/>
    <n v="1281"/>
    <n v="1108"/>
    <n v="0"/>
    <n v="1108"/>
  </r>
  <r>
    <x v="3"/>
    <s v="LESLIE ESTEFANIA GAMBOA BARON"/>
    <n v="13"/>
    <n v="36"/>
    <d v="1899-12-31T02:00:00"/>
    <s v="JANAYR26.AG@GMAIL.COM"/>
    <x v="0"/>
    <n v="1081.3915999999999"/>
    <n v="2.5"/>
    <n v="1163.79"/>
    <n v="1.9580666999707901"/>
    <n v="1142.5"/>
    <s v="AD"/>
    <n v="1"/>
    <n v="1281"/>
    <n v="1108"/>
    <n v="0"/>
    <n v="1108"/>
  </r>
  <r>
    <x v="3"/>
    <s v="PATRICIA GAMBOA ORDUÃ‘O"/>
    <n v="15"/>
    <n v="36"/>
    <d v="1899-12-31T02:00:00"/>
    <s v="JANAYR26.AG@GMAIL.COM"/>
    <x v="0"/>
    <n v="1081.3557000000001"/>
    <n v="2.5"/>
    <n v="1163.79"/>
    <n v="1.9580666999707901"/>
    <n v="1142.5"/>
    <s v="AD"/>
    <n v="1"/>
    <n v="1281"/>
    <n v="1108"/>
    <n v="0"/>
    <n v="1108"/>
  </r>
  <r>
    <x v="3"/>
    <s v="PATRICIA GAMBOA ORDUÃ‘O"/>
    <n v="15"/>
    <n v="36"/>
    <d v="1899-12-31T02:00:00"/>
    <s v="JANAYR26.AG@GMAIL.COM"/>
    <x v="0"/>
    <n v="1081.3557000000001"/>
    <n v="2.5"/>
    <n v="1163.79"/>
    <n v="1.9580666999707901"/>
    <n v="1142.5"/>
    <s v="AD"/>
    <n v="1"/>
    <n v="1281"/>
    <n v="1108"/>
    <n v="0"/>
    <n v="1108"/>
  </r>
  <r>
    <x v="3"/>
    <s v="PATRICIA GAMBOA ORDUÃ‘O"/>
    <n v="15"/>
    <n v="36"/>
    <d v="1899-12-31T02:00:00"/>
    <s v="JANAYR26.AG@GMAIL.COM"/>
    <x v="0"/>
    <n v="1081.3557000000001"/>
    <n v="2.5"/>
    <n v="1163.79"/>
    <n v="1.9580666999707901"/>
    <n v="1142.5"/>
    <s v="AD"/>
    <n v="1"/>
    <n v="1281"/>
    <n v="1108"/>
    <n v="0"/>
    <n v="1108"/>
  </r>
  <r>
    <x v="3"/>
    <s v="PATRICIA GAMBOA ORDUÃ‘O"/>
    <n v="15"/>
    <n v="36"/>
    <d v="1899-12-31T02:00:00"/>
    <s v="JANAYR26.AG@GMAIL.COM"/>
    <x v="0"/>
    <n v="1081.3557000000001"/>
    <n v="2.5"/>
    <n v="1163.79"/>
    <n v="1.9580666999707901"/>
    <n v="1142.5"/>
    <s v="AD"/>
    <n v="1"/>
    <n v="1281"/>
    <n v="1108"/>
    <n v="0"/>
    <n v="1108"/>
  </r>
  <r>
    <x v="3"/>
    <s v="PATRICIA GAMBOA ORDUÃ‘O"/>
    <n v="15"/>
    <n v="36"/>
    <d v="1899-12-31T02:00:00"/>
    <s v="JANAYR26.AG@GMAIL.COM"/>
    <x v="0"/>
    <n v="1081.3557000000001"/>
    <n v="2.5"/>
    <n v="1163.79"/>
    <n v="1.9580666999707901"/>
    <n v="1142.5"/>
    <s v="AD"/>
    <n v="1"/>
    <n v="1281"/>
    <n v="1108"/>
    <n v="0"/>
    <n v="1108"/>
  </r>
  <r>
    <x v="3"/>
    <s v="PATRICIA GAMBOA ORDUÃ‘O"/>
    <n v="15"/>
    <n v="36"/>
    <d v="1899-12-31T02:00:00"/>
    <s v="JANAYR26.AG@GMAIL.COM"/>
    <x v="0"/>
    <n v="1081.3557000000001"/>
    <n v="2.5"/>
    <n v="1163.79"/>
    <n v="1.9580666999707901"/>
    <n v="1142.5"/>
    <s v="AD"/>
    <n v="1"/>
    <n v="1281"/>
    <n v="1108"/>
    <n v="0"/>
    <n v="1108"/>
  </r>
  <r>
    <x v="3"/>
    <s v="PATRICIA GAMBOA ORDUÃ‘O"/>
    <n v="15"/>
    <n v="36"/>
    <d v="1899-12-31T02:00:00"/>
    <s v="JANAYR26.AG@GMAIL.COM"/>
    <x v="0"/>
    <n v="1081.3557000000001"/>
    <n v="2.5"/>
    <n v="1163.79"/>
    <n v="1.9580666999707901"/>
    <n v="1142.5"/>
    <s v="AD"/>
    <n v="1"/>
    <n v="1281"/>
    <n v="1108"/>
    <n v="0"/>
    <n v="1108"/>
  </r>
  <r>
    <x v="3"/>
    <s v="IVANNA PATRICIA RODRIGUEZ GAMBOA"/>
    <n v="14"/>
    <n v="36"/>
    <d v="1899-12-31T02:00:00"/>
    <s v="JANAYR26.AG@GMAIL.COM"/>
    <x v="0"/>
    <n v="1081.3734999999999"/>
    <n v="2.5"/>
    <n v="1163.79"/>
    <n v="1.9580666999707901"/>
    <n v="601.29"/>
    <s v="NI"/>
    <n v="1"/>
    <n v="1281"/>
    <n v="1108"/>
    <n v="0.5"/>
    <n v="554"/>
  </r>
  <r>
    <x v="3"/>
    <s v="IVANNA PATRICIA RODRIGUEZ GAMBOA"/>
    <n v="14"/>
    <n v="36"/>
    <d v="1899-12-31T02:00:00"/>
    <s v="JANAYR26.AG@GMAIL.COM"/>
    <x v="0"/>
    <n v="1081.3734999999999"/>
    <n v="2.5"/>
    <n v="1163.79"/>
    <n v="1.9580666999707901"/>
    <n v="601.29"/>
    <s v="NI"/>
    <n v="1"/>
    <n v="1281"/>
    <n v="1108"/>
    <n v="0.5"/>
    <n v="554"/>
  </r>
  <r>
    <x v="3"/>
    <s v="IVANNA PATRICIA RODRIGUEZ GAMBOA"/>
    <n v="14"/>
    <n v="36"/>
    <d v="1899-12-31T02:00:00"/>
    <s v="JANAYR26.AG@GMAIL.COM"/>
    <x v="0"/>
    <n v="1081.3734999999999"/>
    <n v="2.5"/>
    <n v="1163.79"/>
    <n v="1.9580666999707901"/>
    <n v="601.29"/>
    <s v="NI"/>
    <n v="1"/>
    <n v="1281"/>
    <n v="1108"/>
    <n v="0.5"/>
    <n v="554"/>
  </r>
  <r>
    <x v="3"/>
    <s v="IVANNA PATRICIA RODRIGUEZ GAMBOA"/>
    <n v="14"/>
    <n v="36"/>
    <d v="1899-12-31T02:00:00"/>
    <s v="JANAYR26.AG@GMAIL.COM"/>
    <x v="0"/>
    <n v="1081.3734999999999"/>
    <n v="2.5"/>
    <n v="1163.79"/>
    <n v="1.9580666999707901"/>
    <n v="601.29"/>
    <s v="NI"/>
    <n v="1"/>
    <n v="1281"/>
    <n v="1108"/>
    <n v="0.5"/>
    <n v="554"/>
  </r>
  <r>
    <x v="3"/>
    <s v="IVANNA PATRICIA RODRIGUEZ GAMBOA"/>
    <n v="14"/>
    <n v="36"/>
    <d v="1899-12-31T02:00:00"/>
    <s v="JANAYR26.AG@GMAIL.COM"/>
    <x v="0"/>
    <n v="1081.3734999999999"/>
    <n v="2.5"/>
    <n v="1163.79"/>
    <n v="1.9580666999707901"/>
    <n v="601.29"/>
    <s v="NI"/>
    <n v="1"/>
    <n v="1281"/>
    <n v="1108"/>
    <n v="0.5"/>
    <n v="554"/>
  </r>
  <r>
    <x v="3"/>
    <s v="IVANNA PATRICIA RODRIGUEZ GAMBOA"/>
    <n v="14"/>
    <n v="36"/>
    <d v="1899-12-31T02:00:00"/>
    <s v="JANAYR26.AG@GMAIL.COM"/>
    <x v="0"/>
    <n v="1081.3734999999999"/>
    <n v="2.5"/>
    <n v="1163.79"/>
    <n v="1.9580666999707901"/>
    <n v="601.29"/>
    <s v="NI"/>
    <n v="1"/>
    <n v="1281"/>
    <n v="1108"/>
    <n v="0.5"/>
    <n v="554"/>
  </r>
  <r>
    <x v="3"/>
    <s v="IVANNA PATRICIA RODRIGUEZ GAMBOA"/>
    <n v="14"/>
    <n v="36"/>
    <d v="1899-12-31T02:00:00"/>
    <s v="JANAYR26.AG@GMAIL.COM"/>
    <x v="0"/>
    <n v="1081.3734999999999"/>
    <n v="2.5"/>
    <n v="1163.79"/>
    <n v="1.9580666999707901"/>
    <n v="601.29"/>
    <s v="NI"/>
    <n v="1"/>
    <n v="1281"/>
    <n v="1108"/>
    <n v="0.5"/>
    <n v="554"/>
  </r>
  <r>
    <x v="3"/>
    <s v="SEBASTIAN PONCE GAMBOA"/>
    <n v="9"/>
    <n v="36"/>
    <d v="1899-12-31T02:00:00"/>
    <s v="JANAYR26.AG@GMAIL.COM"/>
    <x v="0"/>
    <n v="1081.4634000000001"/>
    <n v="2.5"/>
    <n v="1163.79"/>
    <n v="1.9580666999707901"/>
    <n v="601.29"/>
    <s v="NI"/>
    <n v="1"/>
    <n v="1282"/>
    <n v="1108"/>
    <n v="0.5"/>
    <n v="554"/>
  </r>
  <r>
    <x v="3"/>
    <s v="SEBASTIAN PONCE GAMBOA"/>
    <n v="9"/>
    <n v="36"/>
    <d v="1899-12-31T02:00:00"/>
    <s v="JANAYR26.AG@GMAIL.COM"/>
    <x v="0"/>
    <n v="1081.4634000000001"/>
    <n v="2.5"/>
    <n v="1163.79"/>
    <n v="1.9580666999707901"/>
    <n v="601.29"/>
    <s v="NI"/>
    <n v="1"/>
    <n v="1282"/>
    <n v="1108"/>
    <n v="0.5"/>
    <n v="554"/>
  </r>
  <r>
    <x v="3"/>
    <s v="SEBASTIAN PONCE GAMBOA"/>
    <n v="9"/>
    <n v="36"/>
    <d v="1899-12-31T02:00:00"/>
    <s v="JANAYR26.AG@GMAIL.COM"/>
    <x v="0"/>
    <n v="1081.4634000000001"/>
    <n v="2.5"/>
    <n v="1163.79"/>
    <n v="1.9580666999707901"/>
    <n v="601.29"/>
    <s v="NI"/>
    <n v="1"/>
    <n v="1282"/>
    <n v="1108"/>
    <n v="0.5"/>
    <n v="554"/>
  </r>
  <r>
    <x v="3"/>
    <s v="SEBASTIAN PONCE GAMBOA"/>
    <n v="9"/>
    <n v="36"/>
    <d v="1899-12-31T02:00:00"/>
    <s v="JANAYR26.AG@GMAIL.COM"/>
    <x v="0"/>
    <n v="1081.4634000000001"/>
    <n v="2.5"/>
    <n v="1163.79"/>
    <n v="1.9580666999707901"/>
    <n v="601.29"/>
    <s v="NI"/>
    <n v="1"/>
    <n v="1282"/>
    <n v="1108"/>
    <n v="0.5"/>
    <n v="554"/>
  </r>
  <r>
    <x v="3"/>
    <s v="SEBASTIAN PONCE GAMBOA"/>
    <n v="9"/>
    <n v="36"/>
    <d v="1899-12-31T02:00:00"/>
    <s v="JANAYR26.AG@GMAIL.COM"/>
    <x v="0"/>
    <n v="1081.4634000000001"/>
    <n v="2.5"/>
    <n v="1163.79"/>
    <n v="1.9580666999707901"/>
    <n v="601.29"/>
    <s v="NI"/>
    <n v="1"/>
    <n v="1282"/>
    <n v="1108"/>
    <n v="0.5"/>
    <n v="554"/>
  </r>
  <r>
    <x v="3"/>
    <s v="SEBASTIAN PONCE GAMBOA"/>
    <n v="9"/>
    <n v="36"/>
    <d v="1899-12-31T02:00:00"/>
    <s v="JANAYR26.AG@GMAIL.COM"/>
    <x v="0"/>
    <n v="1081.4634000000001"/>
    <n v="2.5"/>
    <n v="1163.79"/>
    <n v="1.9580666999707901"/>
    <n v="601.29"/>
    <s v="NI"/>
    <n v="1"/>
    <n v="1282"/>
    <n v="1108"/>
    <n v="0.5"/>
    <n v="554"/>
  </r>
  <r>
    <x v="3"/>
    <s v="SEBASTIAN PONCE GAMBOA"/>
    <n v="9"/>
    <n v="36"/>
    <d v="1899-12-31T02:00:00"/>
    <s v="JANAYR26.AG@GMAIL.COM"/>
    <x v="0"/>
    <n v="1081.4634000000001"/>
    <n v="2.5"/>
    <n v="1163.79"/>
    <n v="1.9580666999707901"/>
    <n v="601.29"/>
    <s v="NI"/>
    <n v="1"/>
    <n v="1282"/>
    <n v="1108"/>
    <n v="0.5"/>
    <n v="554"/>
  </r>
  <r>
    <x v="3"/>
    <s v="ALEJANDRO GABRIEL CARRERA CORREA"/>
    <n v="8"/>
    <n v="36"/>
    <d v="1899-12-31T23:59:00"/>
    <s v="LATOCARRERA@GMAIL.COM"/>
    <x v="3"/>
    <n v="1081.3163"/>
    <n v="0"/>
    <n v="1163.79"/>
    <n v="0"/>
    <n v="1158.79"/>
    <s v="AD"/>
    <n v="1"/>
    <n v="1254"/>
    <n v="1081"/>
    <n v="0"/>
    <n v="1081"/>
  </r>
  <r>
    <x v="3"/>
    <s v="KRISTEL ANELLIE AGUILERA GOMEZ AGUILERA GOMEZ"/>
    <n v="26"/>
    <n v="36"/>
    <d v="1899-12-31T06:00:00"/>
    <s v="SG0693174@GMAIL.COM"/>
    <x v="0"/>
    <n v="1081.0233000000001"/>
    <n v="2.5"/>
    <n v="1163.79"/>
    <n v="1.9580666999707901"/>
    <n v="1142.5"/>
    <s v="AD"/>
    <n v="1"/>
    <n v="1281"/>
    <n v="1108"/>
    <n v="0"/>
    <n v="1108"/>
  </r>
  <r>
    <x v="3"/>
    <s v="CESAR CRUZ CORDERO LOEZ"/>
    <n v="18"/>
    <n v="36"/>
    <d v="1899-12-31T02:00:00"/>
    <s v="cesar.cruz.cordero.loez@ejemplo.com"/>
    <x v="2"/>
    <n v="1081.2882999999999"/>
    <n v="7"/>
    <n v="1163.79"/>
    <n v="5.4825867599182097"/>
    <n v="1202.5899999999999"/>
    <s v="AD"/>
    <n v="1"/>
    <n v="1330"/>
    <n v="1157"/>
    <n v="0"/>
    <n v="1157"/>
  </r>
  <r>
    <x v="3"/>
    <s v="MARÃA EDITH RIVERA PÃ‰REZ"/>
    <n v="6"/>
    <n v="36"/>
    <d v="1899-12-31T06:00:00"/>
    <s v="JULIA.LIL.RIV@GMAIL.COM"/>
    <x v="0"/>
    <n v="1081.5145"/>
    <n v="2.5"/>
    <n v="1163.79"/>
    <n v="1.9580666999707901"/>
    <n v="1142.5"/>
    <s v="AD"/>
    <n v="1"/>
    <n v="1282"/>
    <n v="1109"/>
    <n v="0"/>
    <n v="1109"/>
  </r>
  <r>
    <x v="3"/>
    <s v="CIRO LICONA"/>
    <n v="5"/>
    <n v="35"/>
    <d v="1899-12-31T23:10:00"/>
    <s v="CIROLICONA158@GMAIL.COM"/>
    <x v="3"/>
    <n v="1079.3253"/>
    <n v="0"/>
    <n v="1163.79"/>
    <n v="0"/>
    <n v="601.29"/>
    <s v="OD"/>
    <n v="1"/>
    <n v="1252"/>
    <n v="1079"/>
    <n v="0.5"/>
    <n v="539.5"/>
  </r>
  <r>
    <x v="3"/>
    <s v="JOAQUIN LICONA"/>
    <n v="8"/>
    <n v="35"/>
    <d v="1899-12-31T23:10:00"/>
    <s v="CIROLICONA158@GMAIL.COM"/>
    <x v="3"/>
    <n v="1079.2714000000001"/>
    <n v="0"/>
    <n v="1163.79"/>
    <n v="0"/>
    <n v="601.29"/>
    <s v="OD"/>
    <n v="1"/>
    <n v="1252"/>
    <n v="1079"/>
    <n v="0.5"/>
    <n v="539.5"/>
  </r>
  <r>
    <x v="3"/>
    <s v="RAQUEL LICONA"/>
    <n v="11"/>
    <n v="35"/>
    <d v="1899-12-31T23:10:00"/>
    <s v="raquel.licona@ejemplo.com"/>
    <x v="5"/>
    <n v="1081.2491"/>
    <n v="8.5"/>
    <n v="1163.79"/>
    <n v="6.6574267799006801"/>
    <n v="1219.83"/>
    <s v="AD"/>
    <n v="1"/>
    <n v="1346"/>
    <n v="1173"/>
    <n v="0"/>
    <n v="1173"/>
  </r>
  <r>
    <x v="3"/>
    <s v="MA DEL REFUGIO LICONA"/>
    <n v="22"/>
    <n v="35"/>
    <d v="1899-12-31T23:10:00"/>
    <s v="ma.del.refugio.licona@ejemplo.com"/>
    <x v="5"/>
    <n v="1081.0514000000001"/>
    <n v="8.5"/>
    <n v="1163.79"/>
    <n v="6.6574267799006801"/>
    <n v="1219.83"/>
    <s v="AD"/>
    <n v="1"/>
    <n v="1346"/>
    <n v="1173"/>
    <n v="0"/>
    <n v="1173"/>
  </r>
  <r>
    <x v="3"/>
    <s v="PEDRO TADEO LUNA"/>
    <n v="28"/>
    <n v="35"/>
    <d v="1899-12-31T23:10:00"/>
    <s v="PEDRO.TADEO@GMAIL.COM"/>
    <x v="3"/>
    <n v="1080.8235"/>
    <n v="0"/>
    <n v="1163.79"/>
    <n v="0"/>
    <n v="1158.79"/>
    <s v="AD"/>
    <n v="1"/>
    <n v="1254"/>
    <n v="1081"/>
    <n v="0"/>
    <n v="1081"/>
  </r>
  <r>
    <x v="3"/>
    <s v="ALAN MAXIMILIANO RIOS DIAZ"/>
    <n v="7"/>
    <n v="35"/>
    <d v="1899-12-31T06:00:00"/>
    <s v="ERICKAPIRY@GMAIL.COM"/>
    <x v="2"/>
    <n v="1081.4719"/>
    <n v="7"/>
    <n v="1163.79"/>
    <n v="5.4825867599182097"/>
    <n v="1038.79"/>
    <s v="AD"/>
    <n v="1"/>
    <n v="1330"/>
    <n v="1157"/>
    <n v="0"/>
    <n v="1157"/>
  </r>
  <r>
    <x v="3"/>
    <s v="ALFREDO GOMEZ RIZO"/>
    <n v="21"/>
    <n v="36"/>
    <d v="1899-12-31T02:00:00"/>
    <s v="MAURICIO.COLIN.MARTINEZ90@GMAIL.COM"/>
    <x v="0"/>
    <n v="1081.2084"/>
    <n v="2.5"/>
    <n v="1163.79"/>
    <n v="1.9580666999707901"/>
    <n v="601.29"/>
    <s v="OD"/>
    <n v="1"/>
    <n v="1281"/>
    <n v="1108"/>
    <n v="0.5"/>
    <n v="554"/>
  </r>
  <r>
    <x v="3"/>
    <s v="CONSUELO VANESSA CASTILLO MÃ‰NDEZ MÃ‰NDEZ"/>
    <n v="7"/>
    <n v="36"/>
    <d v="1899-12-31T06:00:00"/>
    <s v="VANECASTILLOMENDEZ@GMAIL.COM"/>
    <x v="0"/>
    <n v="1081.6469999999999"/>
    <n v="2.5"/>
    <n v="1163.79"/>
    <n v="1.9580666999707901"/>
    <n v="1142.5"/>
    <s v="AD"/>
    <n v="1"/>
    <n v="1282"/>
    <n v="1109"/>
    <n v="0"/>
    <n v="1109"/>
  </r>
  <r>
    <x v="3"/>
    <s v="CARLOS DANIEL GOMEZ CARRILLO"/>
    <n v="10"/>
    <n v="36"/>
    <d v="1899-12-31T23:59:00"/>
    <s v="JOSLUIS_GOCAB@HOTMAIL.COM"/>
    <x v="2"/>
    <n v="1081.1748"/>
    <n v="7"/>
    <n v="1163.79"/>
    <n v="5.4825867599182097"/>
    <n v="1082.33"/>
    <s v="AD"/>
    <n v="1"/>
    <n v="1330"/>
    <n v="1157"/>
    <n v="0"/>
    <n v="1157"/>
  </r>
  <r>
    <x v="3"/>
    <s v="CARLOS DANIEL GOMEZ CARRILLO"/>
    <n v="10"/>
    <n v="36"/>
    <d v="1899-12-31T23:59:00"/>
    <s v="JOSLUIS_GOCAB@HOTMAIL.COM"/>
    <x v="2"/>
    <n v="1081.1748"/>
    <n v="7"/>
    <n v="1163.79"/>
    <n v="5.4825867599182097"/>
    <n v="1082.33"/>
    <s v="AD"/>
    <n v="1"/>
    <n v="1330"/>
    <n v="1157"/>
    <n v="0"/>
    <n v="1157"/>
  </r>
  <r>
    <x v="3"/>
    <s v="CARLOS DANIEL GOMEZ CARRILLO"/>
    <n v="10"/>
    <n v="36"/>
    <d v="1899-12-31T23:59:00"/>
    <s v="JOSLUIS_GOCAB@HOTMAIL.COM"/>
    <x v="2"/>
    <n v="1081.1748"/>
    <n v="7"/>
    <n v="1163.79"/>
    <n v="5.4825867599182097"/>
    <n v="1082.33"/>
    <s v="AD"/>
    <n v="1"/>
    <n v="1330"/>
    <n v="1157"/>
    <n v="0"/>
    <n v="1157"/>
  </r>
  <r>
    <x v="3"/>
    <s v="JESÃšS EDUARDO GOMEZ CARRILLO"/>
    <n v="13"/>
    <n v="36"/>
    <d v="1899-12-31T23:59:00"/>
    <s v="JOSLUIS_GOCAB@HOTMAIL.COM"/>
    <x v="2"/>
    <n v="1081.1210000000001"/>
    <n v="7"/>
    <n v="1163.79"/>
    <n v="5.4825867599182097"/>
    <n v="1082.33"/>
    <s v="AD"/>
    <n v="1"/>
    <n v="1330"/>
    <n v="1157"/>
    <n v="0"/>
    <n v="1157"/>
  </r>
  <r>
    <x v="3"/>
    <s v="JESÃšS EDUARDO GOMEZ CARRILLO"/>
    <n v="13"/>
    <n v="36"/>
    <d v="1899-12-31T23:59:00"/>
    <s v="JOSLUIS_GOCAB@HOTMAIL.COM"/>
    <x v="2"/>
    <n v="1081.1210000000001"/>
    <n v="7"/>
    <n v="1163.79"/>
    <n v="5.4825867599182097"/>
    <n v="1082.33"/>
    <s v="AD"/>
    <n v="1"/>
    <n v="1330"/>
    <n v="1157"/>
    <n v="0"/>
    <n v="1157"/>
  </r>
  <r>
    <x v="3"/>
    <s v="JESÃšS EDUARDO GOMEZ CARRILLO"/>
    <n v="13"/>
    <n v="36"/>
    <d v="1899-12-31T23:59:00"/>
    <s v="JOSLUIS_GOCAB@HOTMAIL.COM"/>
    <x v="2"/>
    <n v="1081.1210000000001"/>
    <n v="7"/>
    <n v="1163.79"/>
    <n v="5.4825867599182097"/>
    <n v="1082.33"/>
    <s v="AD"/>
    <n v="1"/>
    <n v="1330"/>
    <n v="1157"/>
    <n v="0"/>
    <n v="1157"/>
  </r>
  <r>
    <x v="3"/>
    <s v="JOSE LUIS GOMEZ CABRERA"/>
    <n v="7"/>
    <n v="36"/>
    <d v="1899-12-31T23:59:00"/>
    <s v="JOSLUIS_GOCAB@HOTMAIL.COM"/>
    <x v="2"/>
    <n v="1081.2288000000001"/>
    <n v="7"/>
    <n v="1163.79"/>
    <n v="5.4825867599182097"/>
    <n v="1082.33"/>
    <s v="AD"/>
    <n v="1"/>
    <n v="1330"/>
    <n v="1157"/>
    <n v="0"/>
    <n v="1157"/>
  </r>
  <r>
    <x v="3"/>
    <s v="JOSE LUIS GOMEZ CABRERA"/>
    <n v="7"/>
    <n v="36"/>
    <d v="1899-12-31T23:59:00"/>
    <s v="JOSLUIS_GOCAB@HOTMAIL.COM"/>
    <x v="2"/>
    <n v="1081.2288000000001"/>
    <n v="7"/>
    <n v="1163.79"/>
    <n v="5.4825867599182097"/>
    <n v="1082.33"/>
    <s v="AD"/>
    <n v="1"/>
    <n v="1330"/>
    <n v="1157"/>
    <n v="0"/>
    <n v="1157"/>
  </r>
  <r>
    <x v="3"/>
    <s v="JOSE LUIS GOMEZ CABRERA"/>
    <n v="7"/>
    <n v="36"/>
    <d v="1899-12-31T23:59:00"/>
    <s v="JOSLUIS_GOCAB@HOTMAIL.COM"/>
    <x v="2"/>
    <n v="1081.2288000000001"/>
    <n v="7"/>
    <n v="1163.79"/>
    <n v="5.4825867599182097"/>
    <n v="1082.33"/>
    <s v="AD"/>
    <n v="1"/>
    <n v="1330"/>
    <n v="1157"/>
    <n v="0"/>
    <n v="1157"/>
  </r>
  <r>
    <x v="3"/>
    <s v="JULIO CESAR CARRENO VERGARA"/>
    <n v="7"/>
    <n v="36"/>
    <d v="1899-12-31T23:59:00"/>
    <s v="julio.cesar.carreno.vergara@ejemplo.com"/>
    <x v="5"/>
    <n v="1081.3202000000001"/>
    <n v="8.5"/>
    <n v="1163.79"/>
    <n v="6.6574267799006801"/>
    <n v="1219.83"/>
    <s v="AD"/>
    <n v="1"/>
    <n v="1346"/>
    <n v="1173"/>
    <n v="0"/>
    <n v="1173"/>
  </r>
  <r>
    <x v="3"/>
    <s v="JORGE LUIS GARCÃA CANO"/>
    <n v="5"/>
    <n v="36"/>
    <d v="1899-12-31T23:59:00"/>
    <s v="JOR.GARCIACANO@GMAIL.COM"/>
    <x v="3"/>
    <n v="1081.3684000000001"/>
    <n v="0"/>
    <n v="1163.79"/>
    <n v="0"/>
    <n v="1158.79"/>
    <s v="AD"/>
    <n v="1"/>
    <n v="1254"/>
    <n v="1081"/>
    <n v="0"/>
    <n v="1081"/>
  </r>
  <r>
    <x v="3"/>
    <s v="VICTOR HUGO HERNANDEZ"/>
    <n v="34"/>
    <n v="36"/>
    <d v="1899-12-31T23:59:00"/>
    <s v="victor.hugo.hernandez@ejemplo.com"/>
    <x v="5"/>
    <n v="1080.7109"/>
    <n v="8.5"/>
    <n v="1163.79"/>
    <n v="6.6574267799006801"/>
    <n v="1219.83"/>
    <s v="AD"/>
    <n v="1"/>
    <n v="1345"/>
    <n v="1173"/>
    <n v="0"/>
    <n v="1173"/>
  </r>
  <r>
    <x v="3"/>
    <s v="GUILLERMO ORELLANA URIBE"/>
    <n v="20"/>
    <n v="36"/>
    <d v="1899-12-31T23:59:00"/>
    <s v="WILLYORELL@YAHOO.COM"/>
    <x v="3"/>
    <n v="1081.0989"/>
    <n v="0"/>
    <n v="1163.79"/>
    <n v="0"/>
    <n v="1158.79"/>
    <s v="AD"/>
    <n v="1"/>
    <n v="1254"/>
    <n v="1081"/>
    <n v="0"/>
    <n v="1081"/>
  </r>
  <r>
    <x v="3"/>
    <s v="JOSE ANTONIO CRUZ BENITEZ"/>
    <n v="3"/>
    <n v="36"/>
    <d v="1899-12-31T23:59:00"/>
    <s v="jose.antonio.cruz.benitez@ejemplo.com"/>
    <x v="1"/>
    <n v="1081.3921"/>
    <n v="10"/>
    <n v="1163.79"/>
    <n v="7.8322667998831603"/>
    <n v="609.91"/>
    <s v="NI"/>
    <n v="1"/>
    <n v="1363"/>
    <n v="1190"/>
    <n v="0.5"/>
    <n v="595"/>
  </r>
  <r>
    <x v="3"/>
    <s v="JOSE LUIS JIMENEZ"/>
    <n v="15"/>
    <n v="36"/>
    <d v="1899-12-31T23:59:00"/>
    <s v="jose.luis.jimenez@ejemplo.com"/>
    <x v="5"/>
    <n v="1081.1760999999999"/>
    <n v="8.5"/>
    <n v="1163.79"/>
    <n v="6.6574267799006801"/>
    <n v="1219.83"/>
    <s v="AD"/>
    <n v="1"/>
    <n v="1346"/>
    <n v="1173"/>
    <n v="0"/>
    <n v="1173"/>
  </r>
  <r>
    <x v="3"/>
    <s v="CESAR CRUZ"/>
    <n v="21"/>
    <n v="36"/>
    <d v="1899-12-31T02:00:00"/>
    <s v="ECRUZG2006@ALUMNO.IPM.MX"/>
    <x v="0"/>
    <n v="1081.2366"/>
    <n v="2.5"/>
    <n v="1163.79"/>
    <n v="1.9580666999707901"/>
    <n v="1099.1400000000001"/>
    <s v="AD"/>
    <n v="1"/>
    <n v="1281"/>
    <n v="1108"/>
    <n v="0"/>
    <n v="1108"/>
  </r>
  <r>
    <x v="3"/>
    <s v="CLAUDIA GOMEZ"/>
    <n v="19"/>
    <n v="36"/>
    <d v="1899-12-31T02:00:00"/>
    <s v="ECRUZG2006@ALUMNO.IPM.MX"/>
    <x v="0"/>
    <n v="1081.2726"/>
    <n v="2.5"/>
    <n v="1163.79"/>
    <n v="1.9580666999707901"/>
    <n v="1107.76"/>
    <s v="AD"/>
    <n v="1"/>
    <n v="1281"/>
    <n v="1108"/>
    <n v="0"/>
    <n v="1108"/>
  </r>
  <r>
    <x v="3"/>
    <s v="ESTEPHANNY CRUZ GOMEZ"/>
    <n v="20"/>
    <n v="36"/>
    <d v="1899-12-31T02:00:00"/>
    <s v="ECRUZG2006@ALUMNO.IPM.MX"/>
    <x v="0"/>
    <n v="1081.2544"/>
    <n v="2.5"/>
    <n v="1163.79"/>
    <n v="1.9580666999707901"/>
    <n v="1142.5"/>
    <s v="AD"/>
    <n v="1"/>
    <n v="1281"/>
    <n v="1108"/>
    <n v="0"/>
    <n v="1108"/>
  </r>
  <r>
    <x v="3"/>
    <s v="LUIS GUILLERMO DEL VALLE DE LA VEGA"/>
    <n v="23"/>
    <n v="36"/>
    <d v="1899-12-31T23:59:00"/>
    <s v="GDELVALLE.LDV@GMAIL.COM"/>
    <x v="3"/>
    <n v="1080.9124999999999"/>
    <n v="0"/>
    <n v="1163.79"/>
    <n v="0"/>
    <n v="1158.79"/>
    <s v="AD"/>
    <n v="1"/>
    <n v="1254"/>
    <n v="1081"/>
    <n v="0"/>
    <n v="1081"/>
  </r>
  <r>
    <x v="3"/>
    <s v="MAURICIO MENDEZ MINUTTI"/>
    <n v="31"/>
    <n v="36"/>
    <d v="1899-12-31T06:00:00"/>
    <s v="MMINUTTIP@GMAIL.COM"/>
    <x v="0"/>
    <n v="1080.931"/>
    <n v="2.5"/>
    <n v="1163.79"/>
    <n v="1.9580666999707901"/>
    <n v="1142.5"/>
    <s v="AD"/>
    <n v="1"/>
    <n v="1281"/>
    <n v="1108"/>
    <n v="0"/>
    <n v="1108"/>
  </r>
  <r>
    <x v="3"/>
    <s v="JOSE JUAN ZAMUDIO"/>
    <n v="6"/>
    <n v="36"/>
    <d v="1899-12-31T23:59:00"/>
    <s v="jose.juan.zamudio@ejemplo.com"/>
    <x v="5"/>
    <n v="1081.3372999999999"/>
    <n v="8.5"/>
    <n v="1163.79"/>
    <n v="6.6574267799006801"/>
    <n v="1219.83"/>
    <s v="AD"/>
    <n v="1"/>
    <n v="1346"/>
    <n v="1173"/>
    <n v="0"/>
    <n v="1173"/>
  </r>
  <r>
    <x v="3"/>
    <s v="MARIA DEL ROCIO AGUILAR ROMERO"/>
    <n v="30"/>
    <n v="36"/>
    <d v="1899-12-31T02:00:00"/>
    <s v="maria.del.rocio.aguilar.romero@ejemplo.com"/>
    <x v="4"/>
    <n v="1080.9385"/>
    <n v="5"/>
    <n v="1163.79"/>
    <n v="3.9161333999415802"/>
    <n v="601.29"/>
    <s v="IN"/>
    <n v="1"/>
    <n v="1308"/>
    <n v="1135"/>
    <n v="0.5"/>
    <n v="567.5"/>
  </r>
  <r>
    <x v="3"/>
    <s v="ENRIQUE VALDEZ GUTIERREZ"/>
    <n v="31"/>
    <n v="36"/>
    <d v="1899-12-31T02:00:00"/>
    <s v="enrique.valdez.gutierrez@ejemplo.com"/>
    <x v="4"/>
    <n v="1080.9204999999999"/>
    <n v="5"/>
    <n v="1163.79"/>
    <n v="3.9161333999415802"/>
    <n v="601.29"/>
    <s v="IN"/>
    <n v="1"/>
    <n v="1308"/>
    <n v="1135"/>
    <n v="0.5"/>
    <n v="567.5"/>
  </r>
  <r>
    <x v="4"/>
    <s v="ZAIDA ROMERO"/>
    <n v="7"/>
    <n v="36"/>
    <d v="1899-12-31T02:00:00"/>
    <s v="zaida.romero@ejemplo.com"/>
    <x v="2"/>
    <n v="1081.4838"/>
    <n v="7"/>
    <n v="1163.79"/>
    <n v="5.4825867599182097"/>
    <n v="1219.83"/>
    <s v="AD"/>
    <n v="1"/>
    <n v="1330"/>
    <n v="1157"/>
    <n v="0"/>
    <n v="1157"/>
  </r>
  <r>
    <x v="4"/>
    <s v="BRAYAN MARTINEZ GUTIERREZ"/>
    <n v="10"/>
    <n v="36"/>
    <d v="1899-12-31T02:00:00"/>
    <s v="brayan.martinez.gutierrez@ejemplo.com"/>
    <x v="2"/>
    <n v="1081.4291000000001"/>
    <n v="7"/>
    <n v="1163.79"/>
    <n v="5.4825867599182097"/>
    <n v="1219.83"/>
    <s v="AD"/>
    <n v="1"/>
    <n v="1330"/>
    <n v="1157"/>
    <n v="0"/>
    <n v="1157"/>
  </r>
  <r>
    <x v="4"/>
    <s v="ELIZABETH MONTES MACHUCA"/>
    <n v="6"/>
    <n v="36"/>
    <d v="1899-12-31T02:00:00"/>
    <s v="JEDMEH@GMAIL.COM"/>
    <x v="3"/>
    <n v="1081.5139999999999"/>
    <n v="0"/>
    <n v="1163.79"/>
    <n v="0"/>
    <n v="1158.8800000000001"/>
    <s v="AD"/>
    <n v="1"/>
    <n v="1255"/>
    <n v="1082"/>
    <n v="0"/>
    <n v="1082"/>
  </r>
  <r>
    <x v="4"/>
    <s v="ELIZABETH MONTES MACHUCA"/>
    <n v="6"/>
    <n v="36"/>
    <d v="1899-12-31T02:00:00"/>
    <s v="JEDMEH@GMAIL.COM"/>
    <x v="3"/>
    <n v="1081.5139999999999"/>
    <n v="0"/>
    <n v="1163.79"/>
    <n v="0"/>
    <n v="1158.8800000000001"/>
    <s v="AD"/>
    <n v="1"/>
    <n v="1255"/>
    <n v="1082"/>
    <n v="0"/>
    <n v="1082"/>
  </r>
  <r>
    <x v="4"/>
    <s v="JUAN EDUARDO MEJÃA HERNÃNDEZ"/>
    <n v="5"/>
    <n v="36"/>
    <d v="1899-12-31T02:00:00"/>
    <s v="JEDMEH@GMAIL.COM"/>
    <x v="3"/>
    <n v="1081.5323000000001"/>
    <n v="0"/>
    <n v="1163.79"/>
    <n v="0"/>
    <n v="1158.8800000000001"/>
    <s v="AD"/>
    <n v="1"/>
    <n v="1255"/>
    <n v="1082"/>
    <n v="0"/>
    <n v="1082"/>
  </r>
  <r>
    <x v="4"/>
    <s v="JUAN EDUARDO MEJÃA HERNÃNDEZ"/>
    <n v="5"/>
    <n v="36"/>
    <d v="1899-12-31T02:00:00"/>
    <s v="JEDMEH@GMAIL.COM"/>
    <x v="3"/>
    <n v="1081.5323000000001"/>
    <n v="0"/>
    <n v="1163.79"/>
    <n v="0"/>
    <n v="1158.8800000000001"/>
    <s v="AD"/>
    <n v="1"/>
    <n v="1255"/>
    <n v="1082"/>
    <n v="0"/>
    <n v="1082"/>
  </r>
  <r>
    <x v="4"/>
    <s v="CLAUDIO HERNÃNDEZ CORNEJO"/>
    <n v="3"/>
    <n v="36"/>
    <d v="1899-12-31T02:00:00"/>
    <s v="VERONICAARELLANO254@GMAIL.COM"/>
    <x v="3"/>
    <n v="1081.5672999999999"/>
    <n v="0"/>
    <n v="1163.79"/>
    <n v="0"/>
    <n v="1158.8800000000001"/>
    <s v="AD"/>
    <n v="1"/>
    <n v="1255"/>
    <n v="1082"/>
    <n v="0"/>
    <n v="1082"/>
  </r>
  <r>
    <x v="4"/>
    <s v="LUZ ARELI SANDOVAL AGUIRRE"/>
    <n v="22"/>
    <n v="36"/>
    <d v="1899-12-31T02:00:00"/>
    <s v="LUZ_ARELI@OUTLOOK.COM"/>
    <x v="3"/>
    <n v="1081.0931"/>
    <n v="0"/>
    <n v="1163.79"/>
    <n v="0"/>
    <n v="1158.8800000000001"/>
    <s v="AD"/>
    <n v="1"/>
    <n v="1254"/>
    <n v="1081"/>
    <n v="0"/>
    <n v="1081"/>
  </r>
  <r>
    <x v="4"/>
    <s v="MARLON GUSTAVO BUSTOS ZUÃ‘IGA"/>
    <n v="23"/>
    <n v="36"/>
    <d v="1899-12-31T02:00:00"/>
    <s v="LUZ_ARELI@OUTLOOK.COM"/>
    <x v="3"/>
    <n v="1081.0752"/>
    <n v="0"/>
    <n v="1163.79"/>
    <n v="0"/>
    <n v="1158.8800000000001"/>
    <s v="AD"/>
    <n v="1"/>
    <n v="1254"/>
    <n v="1081"/>
    <n v="0"/>
    <n v="1081"/>
  </r>
  <r>
    <x v="4"/>
    <s v="ELIAS VALENCIA"/>
    <n v="18"/>
    <n v="36"/>
    <d v="1899-12-31T06:00:00"/>
    <s v="elias.valencia@ejemplo.com"/>
    <x v="5"/>
    <n v="1081.2826"/>
    <n v="8.5"/>
    <n v="1163.79"/>
    <n v="6.6574267799006801"/>
    <n v="1219.83"/>
    <s v="AD"/>
    <n v="1"/>
    <n v="1346"/>
    <n v="1173"/>
    <n v="0"/>
    <n v="1173"/>
  </r>
  <r>
    <x v="4"/>
    <s v="NORMA ALICIA MARTÃNEZ ZUÃ‘IGA"/>
    <n v="10"/>
    <n v="36"/>
    <d v="1899-12-31T11:00:00"/>
    <s v="ELIAS@CDMIGRANTE.ORG"/>
    <x v="2"/>
    <n v="1081.5914"/>
    <n v="7"/>
    <n v="1163.79"/>
    <n v="5.4825867599182097"/>
    <n v="1097.8399999999999"/>
    <s v="AD"/>
    <n v="1"/>
    <n v="1330"/>
    <n v="1157"/>
    <n v="0"/>
    <n v="1157"/>
  </r>
  <r>
    <x v="4"/>
    <s v="PLABLO GARCIA"/>
    <n v="4"/>
    <n v="35"/>
    <d v="1899-12-31T23:59:00"/>
    <s v="LEO@LEOCOMERCIAL.COM"/>
    <x v="0"/>
    <n v="1081.307"/>
    <n v="2.5"/>
    <n v="1163.79"/>
    <n v="1.9580666999707901"/>
    <n v="1158.8800000000001"/>
    <s v="AD"/>
    <n v="1"/>
    <n v="1281"/>
    <n v="1108"/>
    <n v="0"/>
    <n v="1108"/>
  </r>
  <r>
    <x v="4"/>
    <s v="ONICE ORTIGOZA RODRIGUEZ"/>
    <n v="3"/>
    <n v="36"/>
    <d v="1899-12-31T02:00:00"/>
    <s v="ORTIGOZAONICE555@HOTMAIL.COM"/>
    <x v="0"/>
    <n v="1081.7074"/>
    <n v="2.5"/>
    <n v="1163.79"/>
    <n v="1.9580666999707901"/>
    <n v="1158.8800000000001"/>
    <s v="AD"/>
    <n v="1"/>
    <n v="1282"/>
    <n v="1109"/>
    <n v="0"/>
    <n v="1109"/>
  </r>
  <r>
    <x v="4"/>
    <s v="ONICE DEL CARMEN RODRIGUEZ DE LA TORRE"/>
    <n v="2"/>
    <n v="36"/>
    <d v="1899-12-31T02:00:00"/>
    <s v="ORTIGOZAONICE555@HOTMAIL.COM"/>
    <x v="0"/>
    <n v="1081.7255"/>
    <n v="2.5"/>
    <n v="1163.79"/>
    <n v="1.9580666999707901"/>
    <n v="1158.8800000000001"/>
    <s v="AD"/>
    <n v="1"/>
    <n v="1282"/>
    <n v="1109"/>
    <n v="0"/>
    <n v="1109"/>
  </r>
  <r>
    <x v="4"/>
    <s v="KAREN GARCIA ORDAZ"/>
    <n v="10"/>
    <n v="36"/>
    <d v="1899-12-31T06:00:00"/>
    <s v="ORDAZKAR13@GMAIL.COM"/>
    <x v="2"/>
    <n v="1081.4190000000001"/>
    <n v="7"/>
    <n v="1163.79"/>
    <n v="5.4825867599182097"/>
    <n v="1158.8800000000001"/>
    <s v="AD"/>
    <n v="1"/>
    <n v="1330"/>
    <n v="1157"/>
    <n v="0"/>
    <n v="1157"/>
  </r>
  <r>
    <x v="4"/>
    <s v="ANA TERESA MORENO MARTINEZ"/>
    <n v="16"/>
    <n v="36"/>
    <d v="1899-12-31T23:59:00"/>
    <s v="ANAMORENO.MTZ@HOTMAIL.COM"/>
    <x v="0"/>
    <n v="1081.4023"/>
    <n v="2.5"/>
    <n v="1163.79"/>
    <n v="1.9580666999707901"/>
    <n v="1142.5"/>
    <s v="AD"/>
    <n v="1"/>
    <n v="1281"/>
    <n v="1108"/>
    <n v="0"/>
    <n v="1108"/>
  </r>
  <r>
    <x v="4"/>
    <s v="OSCAR LUIS AMIREZ RICO"/>
    <n v="1"/>
    <n v="35"/>
    <d v="1899-12-31T23:30:00"/>
    <s v="oscar.luis.amirez.rico@ejemplo.com"/>
    <x v="4"/>
    <n v="1081.3315"/>
    <n v="5"/>
    <n v="1163.79"/>
    <n v="3.9161333999415802"/>
    <n v="609.91"/>
    <s v="IN"/>
    <n v="1"/>
    <n v="1308"/>
    <n v="1135"/>
    <n v="0.5"/>
    <n v="567.5"/>
  </r>
  <r>
    <x v="4"/>
    <s v="SUSANA RAMIREZ RICO"/>
    <n v="4"/>
    <n v="35"/>
    <d v="1899-12-31T23:30:00"/>
    <s v="susana.ramirez.rico@ejemplo.com"/>
    <x v="4"/>
    <n v="1081.4103"/>
    <n v="5"/>
    <n v="1163.79"/>
    <n v="3.9161333999415802"/>
    <n v="609.91"/>
    <s v="IN"/>
    <n v="1"/>
    <n v="1309"/>
    <n v="1135"/>
    <n v="0.5"/>
    <n v="567.5"/>
  </r>
  <r>
    <x v="4"/>
    <s v="MARIA CECILIA RAMIREZ RICO"/>
    <n v="7"/>
    <n v="35"/>
    <d v="1899-12-31T23:30:00"/>
    <s v="maria.cecilia.ramirez.rico@ejemplo.com"/>
    <x v="4"/>
    <n v="1081.2239"/>
    <n v="5"/>
    <n v="1163.79"/>
    <n v="3.9161333999415802"/>
    <n v="609.91"/>
    <s v="IN"/>
    <n v="1"/>
    <n v="1308"/>
    <n v="1135"/>
    <n v="0.5"/>
    <n v="567.5"/>
  </r>
  <r>
    <x v="4"/>
    <s v="MARICARMEN ROBLEDO BARCENAS"/>
    <n v="1"/>
    <n v="36"/>
    <d v="1899-12-31T02:00:00"/>
    <s v="maricarmen.robledo.barcenas@ejemplo.com"/>
    <x v="2"/>
    <n v="1081.5696"/>
    <n v="7"/>
    <n v="1163.79"/>
    <n v="5.4825867599182097"/>
    <n v="1034.48"/>
    <s v="AD"/>
    <n v="1"/>
    <n v="1330"/>
    <n v="1157"/>
    <n v="0"/>
    <n v="1157"/>
  </r>
  <r>
    <x v="4"/>
    <s v="URIEL ROA ESTRADA"/>
    <n v="14"/>
    <n v="35"/>
    <d v="1899-12-31T23:59:00"/>
    <s v="CHUBBY2011@LIVE.COM.MX"/>
    <x v="5"/>
    <n v="1081.1215999999999"/>
    <n v="8.5"/>
    <n v="1163.79"/>
    <n v="6.6574267799006801"/>
    <n v="1116.3800000000001"/>
    <s v="AD"/>
    <n v="1"/>
    <n v="1346"/>
    <n v="1173"/>
    <n v="0"/>
    <n v="1173"/>
  </r>
  <r>
    <x v="4"/>
    <s v="DIANA TAPIA MARTÃNEZ"/>
    <n v="7"/>
    <n v="35"/>
    <d v="1899-12-31T23:59:00"/>
    <s v="D.CITLALLI@HOTMAIL.COM"/>
    <x v="0"/>
    <n v="1081.114"/>
    <n v="2.5"/>
    <n v="1163.79"/>
    <n v="1.9580666999707901"/>
    <n v="1120.69"/>
    <s v="AD"/>
    <n v="1"/>
    <n v="1281"/>
    <n v="1108"/>
    <n v="0"/>
    <n v="1108"/>
  </r>
  <r>
    <x v="4"/>
    <s v="GONZALO ALFREDO RUIZ CHAVEZ"/>
    <n v="16"/>
    <n v="36"/>
    <d v="1899-12-31T23:59:00"/>
    <s v="GONZALORUIZ.EF@GMAIL.COM"/>
    <x v="2"/>
    <n v="1081.2687000000001"/>
    <n v="7"/>
    <n v="1163.79"/>
    <n v="5.4825867599182097"/>
    <n v="1158.8800000000001"/>
    <s v="AD"/>
    <n v="1"/>
    <n v="1330"/>
    <n v="1157"/>
    <n v="0"/>
    <n v="1157"/>
  </r>
  <r>
    <x v="4"/>
    <s v="LUZ MARIA VILLA GARCIA"/>
    <n v="11"/>
    <n v="36"/>
    <d v="1899-12-31T23:59:00"/>
    <s v="LINDA.VELAZQUEZ@GCC.MX"/>
    <x v="2"/>
    <n v="1081.1692"/>
    <n v="7"/>
    <n v="1163.79"/>
    <n v="5.4825867599182097"/>
    <n v="1116.3800000000001"/>
    <s v="AD"/>
    <n v="1"/>
    <n v="1330"/>
    <n v="1157"/>
    <n v="0"/>
    <n v="1157"/>
  </r>
  <r>
    <x v="4"/>
    <s v="LUZ MARIA VILLA GARCIA"/>
    <n v="11"/>
    <n v="36"/>
    <d v="1899-12-31T23:59:00"/>
    <s v="LINDA.VELAZQUEZ@GCC.MX"/>
    <x v="2"/>
    <n v="1081.1692"/>
    <n v="7"/>
    <n v="1163.79"/>
    <n v="5.4825867599182097"/>
    <n v="1116.3800000000001"/>
    <s v="AD"/>
    <n v="1"/>
    <n v="1330"/>
    <n v="1157"/>
    <n v="0"/>
    <n v="1157"/>
  </r>
  <r>
    <x v="4"/>
    <s v="MARIO MARTINEZ AVILES"/>
    <n v="12"/>
    <n v="36"/>
    <d v="1899-12-31T23:59:00"/>
    <s v="LINDA.VELAZQUEZ@GCC.MX"/>
    <x v="2"/>
    <n v="1081.1511"/>
    <n v="7"/>
    <n v="1163.79"/>
    <n v="5.4825867599182097"/>
    <n v="1116.3800000000001"/>
    <s v="AD"/>
    <n v="1"/>
    <n v="1330"/>
    <n v="1157"/>
    <n v="0"/>
    <n v="1157"/>
  </r>
  <r>
    <x v="4"/>
    <s v="MARIO MARTINEZ AVILES"/>
    <n v="12"/>
    <n v="36"/>
    <d v="1899-12-31T23:59:00"/>
    <s v="LINDA.VELAZQUEZ@GCC.MX"/>
    <x v="2"/>
    <n v="1081.1511"/>
    <n v="7"/>
    <n v="1163.79"/>
    <n v="5.4825867599182097"/>
    <n v="1116.3800000000001"/>
    <s v="AD"/>
    <n v="1"/>
    <n v="1330"/>
    <n v="1157"/>
    <n v="0"/>
    <n v="1157"/>
  </r>
  <r>
    <x v="4"/>
    <s v="ANDREA ESTRADA CONTRERAS"/>
    <n v="1"/>
    <n v="36"/>
    <d v="1899-12-31T02:00:00"/>
    <s v="andrea.estrada.contreras@ejemplo.com"/>
    <x v="2"/>
    <n v="1081.6243999999999"/>
    <n v="7"/>
    <n v="1163.79"/>
    <n v="5.4825867599182097"/>
    <n v="1202.5899999999999"/>
    <s v="AD"/>
    <n v="1"/>
    <n v="1330"/>
    <n v="1157"/>
    <n v="0"/>
    <n v="1157"/>
  </r>
  <r>
    <x v="4"/>
    <s v="KATIA YAMILA TAVERA RUBIO"/>
    <n v="27"/>
    <n v="36"/>
    <d v="1899-12-31T23:59:00"/>
    <s v="CEMPASAJE@GMAIL.COM"/>
    <x v="2"/>
    <n v="1080.1853000000001"/>
    <n v="7"/>
    <n v="1163.79"/>
    <n v="5.4825867599182097"/>
    <n v="1219.83"/>
    <s v="AD"/>
    <n v="1"/>
    <n v="1329"/>
    <n v="1156"/>
    <n v="0"/>
    <n v="1156"/>
  </r>
  <r>
    <x v="4"/>
    <s v="MARTHA LAURA ESPINOZA CEJA"/>
    <n v="24"/>
    <n v="36"/>
    <d v="1899-12-31T23:59:00"/>
    <s v="CEMPASAJE@GMAIL.COM"/>
    <x v="2"/>
    <n v="1080.239"/>
    <n v="7"/>
    <n v="1163.79"/>
    <n v="5.4825867599182097"/>
    <n v="1219.83"/>
    <s v="AD"/>
    <n v="1"/>
    <n v="1329"/>
    <n v="1156"/>
    <n v="0"/>
    <n v="1156"/>
  </r>
  <r>
    <x v="4"/>
    <s v="NICOLE NAYDELIN DE LA VEGA BOJORGES"/>
    <n v="21"/>
    <n v="36"/>
    <d v="1899-12-31T23:59:00"/>
    <s v="CEMPASAJE@GMAIL.COM"/>
    <x v="2"/>
    <n v="1080.4255000000001"/>
    <n v="7"/>
    <n v="1163.79"/>
    <n v="5.4825867599182097"/>
    <n v="1219.83"/>
    <s v="AD"/>
    <n v="1"/>
    <n v="1329"/>
    <n v="1156"/>
    <n v="0"/>
    <n v="1156"/>
  </r>
  <r>
    <x v="4"/>
    <s v="ALEJANDRA GARCIA ARGUELLES"/>
    <n v="17"/>
    <n v="36"/>
    <d v="1899-12-31T23:59:00"/>
    <s v="CEMPASAJE@GMAIL.COM"/>
    <x v="2"/>
    <n v="1080.4975999999999"/>
    <n v="7"/>
    <n v="1163.79"/>
    <n v="5.4825867599182097"/>
    <n v="1219.83"/>
    <s v="AD"/>
    <n v="1"/>
    <n v="1329"/>
    <n v="1156"/>
    <n v="0"/>
    <n v="1156"/>
  </r>
  <r>
    <x v="4"/>
    <s v="EMILY MARIBEL RAMOS RAMOS"/>
    <n v="18"/>
    <n v="36"/>
    <d v="1899-12-31T23:59:00"/>
    <s v="CEMPASAJE@GMAIL.COM"/>
    <x v="2"/>
    <n v="1080.4793999999999"/>
    <n v="7"/>
    <n v="1163.79"/>
    <n v="5.4825867599182097"/>
    <n v="1219.83"/>
    <s v="AD"/>
    <n v="1"/>
    <n v="1329"/>
    <n v="1156"/>
    <n v="0"/>
    <n v="1156"/>
  </r>
  <r>
    <x v="4"/>
    <s v="AMAYRANI JATZZIRI FERNANDO MARCELO"/>
    <n v="19"/>
    <n v="36"/>
    <d v="1899-12-31T23:59:00"/>
    <s v="CEMPASAJE@GMAIL.COM"/>
    <x v="2"/>
    <n v="1080.4617000000001"/>
    <n v="7"/>
    <n v="1163.79"/>
    <n v="5.4825867599182097"/>
    <n v="1219.83"/>
    <s v="AD"/>
    <n v="1"/>
    <n v="1329"/>
    <n v="1156"/>
    <n v="0"/>
    <n v="1156"/>
  </r>
  <r>
    <x v="4"/>
    <s v="ELEAZAR ESQUIVEL PEDRAZA"/>
    <n v="4"/>
    <n v="36"/>
    <d v="1899-12-31T23:59:00"/>
    <s v="L.E.S.E@OUTLOOK.COM"/>
    <x v="0"/>
    <n v="1081.2184"/>
    <n v="2.5"/>
    <n v="1163.79"/>
    <n v="1.9580666999707901"/>
    <n v="1158.8800000000001"/>
    <s v="AD"/>
    <n v="1"/>
    <n v="1281"/>
    <n v="1108"/>
    <n v="0"/>
    <n v="1108"/>
  </r>
  <r>
    <x v="4"/>
    <s v="TERESA DE LOURDES DIAZ JIMENEZ"/>
    <n v="34"/>
    <n v="36"/>
    <d v="1899-12-31T11:00:00"/>
    <s v="MC_GONZALEZG@HOTMAIL.COM"/>
    <x v="0"/>
    <n v="1080.9059999999999"/>
    <n v="2.5"/>
    <n v="1163.79"/>
    <n v="1.9580666999707901"/>
    <n v="1142.5"/>
    <s v="AD"/>
    <n v="1"/>
    <n v="1281"/>
    <n v="1108"/>
    <n v="0"/>
    <n v="1108"/>
  </r>
  <r>
    <x v="4"/>
    <s v="ADELA TAPIA RAÃREZ"/>
    <n v="17"/>
    <n v="36"/>
    <d v="1899-12-31T11:00:00"/>
    <s v="TEREDELOURDESSJS@GMAIL.COM"/>
    <x v="4"/>
    <n v="1081.3434"/>
    <n v="5"/>
    <n v="1163.79"/>
    <n v="3.9161333999415802"/>
    <n v="1158.8800000000001"/>
    <s v="AD"/>
    <n v="1"/>
    <n v="1308"/>
    <n v="1135"/>
    <n v="0"/>
    <n v="1135"/>
  </r>
  <r>
    <x v="4"/>
    <s v="DANIEL HUMBERTO LÃ“PEZ SALAZAR"/>
    <n v="11"/>
    <n v="35"/>
    <d v="1899-12-31T23:59:00"/>
    <s v="CMEJIAJYT@GMAIL.COM"/>
    <x v="0"/>
    <n v="1081.1722"/>
    <n v="2.5"/>
    <n v="1163.79"/>
    <n v="1.9580666999707901"/>
    <n v="1120.69"/>
    <s v="AD"/>
    <n v="1"/>
    <n v="1281"/>
    <n v="1108"/>
    <n v="0"/>
    <n v="1108"/>
  </r>
  <r>
    <x v="4"/>
    <s v="DANIEL HUMBERTO LÃ“PEZ SALAZAR"/>
    <n v="11"/>
    <n v="35"/>
    <d v="1899-12-31T23:59:00"/>
    <s v="CMEJIAJYT@GMAIL.COM"/>
    <x v="0"/>
    <n v="1081.1722"/>
    <n v="2.5"/>
    <n v="1163.79"/>
    <n v="1.9580666999707901"/>
    <n v="1120.69"/>
    <s v="AD"/>
    <n v="1"/>
    <n v="1281"/>
    <n v="1108"/>
    <n v="0"/>
    <n v="1108"/>
  </r>
  <r>
    <x v="4"/>
    <s v="MARÃA DEL CARMEN MEJIA MÃRQUEZ"/>
    <n v="12"/>
    <n v="35"/>
    <d v="1899-12-31T23:59:00"/>
    <s v="CMEJIAJYT@GMAIL.COM"/>
    <x v="0"/>
    <n v="1081.1543999999999"/>
    <n v="2.5"/>
    <n v="1163.79"/>
    <n v="1.9580666999707901"/>
    <n v="1158.8800000000001"/>
    <s v="AD"/>
    <n v="1"/>
    <n v="1281"/>
    <n v="1108"/>
    <n v="0"/>
    <n v="1108"/>
  </r>
  <r>
    <x v="4"/>
    <s v="MARÃA DEL CARMEN MEJIA MÃRQUEZ"/>
    <n v="12"/>
    <n v="35"/>
    <d v="1899-12-31T23:59:00"/>
    <s v="CMEJIAJYT@GMAIL.COM"/>
    <x v="0"/>
    <n v="1081.1543999999999"/>
    <n v="2.5"/>
    <n v="1163.79"/>
    <n v="1.9580666999707901"/>
    <n v="1158.8800000000001"/>
    <s v="AD"/>
    <n v="1"/>
    <n v="1281"/>
    <n v="1108"/>
    <n v="0"/>
    <n v="1108"/>
  </r>
  <r>
    <x v="4"/>
    <s v="FELIPE ZAPOTECAS GUERRA"/>
    <n v="29"/>
    <n v="36"/>
    <d v="1899-12-31T23:59:00"/>
    <s v="NORMAPALACIOS907@GMAIL.COM"/>
    <x v="0"/>
    <n v="1080.7107000000001"/>
    <n v="2.5"/>
    <n v="1163.79"/>
    <n v="1.9580666999707901"/>
    <n v="1116.3800000000001"/>
    <s v="AD"/>
    <n v="1"/>
    <n v="1281"/>
    <n v="1108"/>
    <n v="0"/>
    <n v="1108"/>
  </r>
  <r>
    <x v="4"/>
    <s v="NORMA PALACIOS HERNANDEZ"/>
    <n v="28"/>
    <n v="36"/>
    <d v="1899-12-31T23:59:00"/>
    <s v="NORMAPALACIOS907@GMAIL.COM"/>
    <x v="0"/>
    <n v="1080.7289000000001"/>
    <n v="2.5"/>
    <n v="1163.79"/>
    <n v="1.9580666999707901"/>
    <n v="609.91"/>
    <s v="IN"/>
    <n v="1"/>
    <n v="1281"/>
    <n v="1108"/>
    <n v="0.5"/>
    <n v="554"/>
  </r>
  <r>
    <x v="4"/>
    <s v="ENRIQUE ESTRADA ROMERO"/>
    <n v="2"/>
    <n v="36"/>
    <d v="1899-12-31T02:00:00"/>
    <s v="enrique.estrada.romero@ejemplo.com"/>
    <x v="4"/>
    <n v="1081.6033"/>
    <n v="5"/>
    <n v="1163.79"/>
    <n v="3.9161333999415802"/>
    <n v="601.29"/>
    <s v="IN"/>
    <n v="1"/>
    <n v="1309"/>
    <n v="1136"/>
    <n v="0.5"/>
    <n v="568"/>
  </r>
  <r>
    <x v="4"/>
    <s v="ENRIQUE ESTRADA MUÃ‘OZ"/>
    <n v="3"/>
    <n v="36"/>
    <d v="1899-12-31T02:00:00"/>
    <s v="enrique.estrada.muÃ±oz@ejemplo.com"/>
    <x v="2"/>
    <n v="1081.5853999999999"/>
    <n v="7"/>
    <n v="1163.79"/>
    <n v="5.4825867599182097"/>
    <n v="1202.5899999999999"/>
    <s v="AD"/>
    <n v="1"/>
    <n v="1330"/>
    <n v="1157"/>
    <n v="0"/>
    <n v="1157"/>
  </r>
  <r>
    <x v="4"/>
    <s v="JOAQUÃN VICTORINO QUIROZ MAULEON"/>
    <n v="15"/>
    <n v="36"/>
    <d v="1899-12-31T23:30:00"/>
    <s v="ALEXFUSSIONE@GMAIL.COM"/>
    <x v="4"/>
    <n v="1081.0645"/>
    <n v="5"/>
    <n v="1163.79"/>
    <n v="3.9161333999415802"/>
    <n v="609.91"/>
    <s v="IN"/>
    <n v="1"/>
    <n v="1308"/>
    <n v="1135"/>
    <n v="0.5"/>
    <n v="567.5"/>
  </r>
  <r>
    <x v="4"/>
    <s v="JOAQUÃN VICTORINO QUIROZ MAULEON"/>
    <n v="15"/>
    <n v="36"/>
    <d v="1899-12-31T23:30:00"/>
    <s v="ALEXFUSSIONE@GMAIL.COM"/>
    <x v="4"/>
    <n v="1081.0645"/>
    <n v="5"/>
    <n v="1163.79"/>
    <n v="3.9161333999415802"/>
    <n v="609.91"/>
    <s v="IN"/>
    <n v="1"/>
    <n v="1308"/>
    <n v="1135"/>
    <n v="0.5"/>
    <n v="567.5"/>
  </r>
  <r>
    <x v="4"/>
    <s v="PEDRO QUIROZ MAULION"/>
    <n v="14"/>
    <n v="36"/>
    <d v="1899-12-31T23:30:00"/>
    <s v="ALEXFUSSIONE@GMAIL.COM"/>
    <x v="4"/>
    <n v="1081.0825"/>
    <n v="5"/>
    <n v="1163.79"/>
    <n v="3.9161333999415802"/>
    <n v="609.91"/>
    <s v="IN"/>
    <n v="1"/>
    <n v="1308"/>
    <n v="1135"/>
    <n v="0.5"/>
    <n v="567.5"/>
  </r>
  <r>
    <x v="4"/>
    <s v="PEDRO QUIROZ MAULION"/>
    <n v="14"/>
    <n v="36"/>
    <d v="1899-12-31T23:30:00"/>
    <s v="ALEXFUSSIONE@GMAIL.COM"/>
    <x v="4"/>
    <n v="1081.0825"/>
    <n v="5"/>
    <n v="1163.79"/>
    <n v="3.9161333999415802"/>
    <n v="609.91"/>
    <s v="IN"/>
    <n v="1"/>
    <n v="1308"/>
    <n v="1135"/>
    <n v="0.5"/>
    <n v="567.5"/>
  </r>
  <r>
    <x v="4"/>
    <s v="FELIPE DE JESÃšS CASTAÃ‘EDA IBARRA"/>
    <n v="36"/>
    <n v="36"/>
    <d v="1899-12-31T23:59:00"/>
    <s v="GDL.GACM@GMAIL.COM"/>
    <x v="2"/>
    <n v="1080.5543"/>
    <n v="7"/>
    <n v="1163.79"/>
    <n v="5.4825867599182097"/>
    <n v="1158.8800000000001"/>
    <s v="AD"/>
    <n v="1"/>
    <n v="1329"/>
    <n v="1156"/>
    <n v="0"/>
    <n v="1156"/>
  </r>
  <r>
    <x v="5"/>
    <s v="RAFAEL GUTIÃ‰RREZ MORALES"/>
    <n v="35"/>
    <n v="36"/>
    <d v="1899-12-31T23:30:00"/>
    <s v="R_GUTIERREZ_69@YAHOO.COM.MX"/>
    <x v="2"/>
    <n v="1080.6548"/>
    <n v="7"/>
    <n v="1163.79"/>
    <n v="5.4825867599182097"/>
    <n v="1142.5"/>
    <s v="AD"/>
    <n v="1"/>
    <n v="1329"/>
    <n v="1156"/>
    <n v="0"/>
    <n v="1156"/>
  </r>
  <r>
    <x v="5"/>
    <s v="GUILLERMO IGNACIO CAÃ‘EDO VELAZQUEZ"/>
    <n v="13"/>
    <n v="36"/>
    <d v="1899-12-31T02:00:00"/>
    <s v="GUILLERMOCANEDO@YAHOO.COM"/>
    <x v="0"/>
    <n v="1081.3526999999999"/>
    <n v="2.5"/>
    <n v="1163.79"/>
    <n v="1.9580666999707901"/>
    <n v="1116.3800000000001"/>
    <s v="AD"/>
    <n v="1"/>
    <n v="1281"/>
    <n v="1108"/>
    <n v="0"/>
    <n v="1108"/>
  </r>
  <r>
    <x v="5"/>
    <s v="CESAR OCTAVIO LUQUIN RINCÃ“N"/>
    <n v="14"/>
    <n v="36"/>
    <d v="1899-12-31T23:59:00"/>
    <s v="CESAR.LUQUIN@ECOCHILLERS.COM"/>
    <x v="2"/>
    <n v="1081.1034999999999"/>
    <n v="7"/>
    <n v="1163.79"/>
    <n v="5.4825867599182097"/>
    <n v="1097.8399999999999"/>
    <s v="AD"/>
    <n v="1"/>
    <n v="1330"/>
    <n v="1157"/>
    <n v="0"/>
    <n v="1157"/>
  </r>
  <r>
    <x v="5"/>
    <s v="CESAR OCTAVIO LUQUIN RINCÃ“N"/>
    <n v="14"/>
    <n v="36"/>
    <d v="1899-12-31T23:59:00"/>
    <s v="LIZBETH.VILLALVAZO@ECOCHILLERS.COM"/>
    <x v="2"/>
    <n v="1081.1034999999999"/>
    <n v="7"/>
    <n v="1163.79"/>
    <n v="5.4825867599182097"/>
    <n v="1097.8399999999999"/>
    <s v="AD"/>
    <n v="1"/>
    <n v="1330"/>
    <n v="1157"/>
    <n v="0"/>
    <n v="1157"/>
  </r>
  <r>
    <x v="5"/>
    <s v="CRISTINA LIZBETH VILLALVAZO MUÃ‘OZ"/>
    <n v="13"/>
    <n v="36"/>
    <d v="1899-12-31T23:59:00"/>
    <s v="CESAR.LUQUIN@ECOCHILLERS.COM"/>
    <x v="2"/>
    <n v="1081.1215999999999"/>
    <n v="7"/>
    <n v="1163.79"/>
    <n v="5.4825867599182097"/>
    <n v="1097.8399999999999"/>
    <s v="AD"/>
    <n v="1"/>
    <n v="1330"/>
    <n v="1157"/>
    <n v="0"/>
    <n v="1157"/>
  </r>
  <r>
    <x v="5"/>
    <s v="CRISTINA LIZBETH VILLALVAZO MUÃ‘OZ"/>
    <n v="13"/>
    <n v="36"/>
    <d v="1899-12-31T23:59:00"/>
    <s v="LIZBETH.VILLALVAZO@ECOCHILLERS.COM"/>
    <x v="2"/>
    <n v="1081.1215999999999"/>
    <n v="7"/>
    <n v="1163.79"/>
    <n v="5.4825867599182097"/>
    <n v="1097.8399999999999"/>
    <s v="AD"/>
    <n v="1"/>
    <n v="1330"/>
    <n v="1157"/>
    <n v="0"/>
    <n v="1157"/>
  </r>
  <r>
    <x v="5"/>
    <s v="ANTONIO ISMAEL GONZALEZ APARICIO"/>
    <n v="17"/>
    <n v="36"/>
    <d v="1899-12-31T02:00:00"/>
    <s v="SOPORTE@ACASOFT.COM.MX"/>
    <x v="2"/>
    <n v="1081.2809"/>
    <n v="7"/>
    <n v="1163.79"/>
    <n v="5.4825867599182097"/>
    <n v="1158.8800000000001"/>
    <s v="AD"/>
    <n v="1"/>
    <n v="1330"/>
    <n v="1157"/>
    <n v="0"/>
    <n v="1157"/>
  </r>
  <r>
    <x v="5"/>
    <s v="ANAYANSI ORGAZ MALDONADO"/>
    <n v="24"/>
    <n v="36"/>
    <d v="1899-12-31T02:00:00"/>
    <s v="HECTORRGZGOMEZ@GMAIL.COM"/>
    <x v="3"/>
    <n v="1081.0219"/>
    <n v="0"/>
    <n v="1163.79"/>
    <n v="0"/>
    <n v="1158.8800000000001"/>
    <s v="AD"/>
    <n v="1"/>
    <n v="1254"/>
    <n v="1081"/>
    <n v="0"/>
    <n v="1081"/>
  </r>
  <r>
    <x v="5"/>
    <s v="MARIA ANTONIETA PAZ PADILLA"/>
    <n v="32"/>
    <n v="36"/>
    <d v="1899-12-31T23:59:00"/>
    <s v="maria.antonieta.paz.padilla@ejemplo.com"/>
    <x v="4"/>
    <n v="1080.69"/>
    <n v="5"/>
    <n v="1163.79"/>
    <n v="3.9161333999415802"/>
    <n v="609.91"/>
    <s v="IN"/>
    <n v="1"/>
    <n v="1308"/>
    <n v="1135"/>
    <n v="0.5"/>
    <n v="567.5"/>
  </r>
  <r>
    <x v="5"/>
    <s v="EDUARDO ALFREDO TORRECILLAS GARCIA"/>
    <n v="35"/>
    <n v="36"/>
    <d v="1899-12-31T23:59:00"/>
    <s v="eduardo.alfredo.torrecillas.garcia@ejemplo.com"/>
    <x v="4"/>
    <n v="1080.6359"/>
    <n v="5"/>
    <n v="1163.79"/>
    <n v="3.9161333999415802"/>
    <n v="609.91"/>
    <s v="IN"/>
    <n v="1"/>
    <n v="1308"/>
    <n v="1135"/>
    <n v="0.5"/>
    <n v="567.5"/>
  </r>
  <r>
    <x v="5"/>
    <s v="CELIA LOPEZ"/>
    <n v="33"/>
    <n v="36"/>
    <d v="1899-12-31T23:10:00"/>
    <s v="INV_SERVINT20@OUTLOOK.COM"/>
    <x v="2"/>
    <n v="1080.7376999999999"/>
    <n v="7"/>
    <n v="1163.79"/>
    <n v="5.4825867599182097"/>
    <n v="1097.8399999999999"/>
    <s v="AD"/>
    <n v="1"/>
    <n v="1329"/>
    <n v="1156"/>
    <n v="0"/>
    <n v="1156"/>
  </r>
  <r>
    <x v="5"/>
    <s v="CELIA LOPEZ"/>
    <n v="33"/>
    <n v="36"/>
    <d v="1899-12-31T23:10:00"/>
    <s v="INV_SERVINT20@OUTLOOK.COM"/>
    <x v="2"/>
    <n v="1080.7376999999999"/>
    <n v="7"/>
    <n v="1163.79"/>
    <n v="5.4825867599182097"/>
    <n v="1097.8399999999999"/>
    <s v="AD"/>
    <n v="1"/>
    <n v="1329"/>
    <n v="1156"/>
    <n v="0"/>
    <n v="1156"/>
  </r>
  <r>
    <x v="5"/>
    <s v="RODRIGO GONZALEZ LOPEZ"/>
    <n v="34"/>
    <n v="36"/>
    <d v="1899-12-31T23:10:00"/>
    <s v="INV_SERVINT20@OUTLOOK.COM"/>
    <x v="2"/>
    <n v="1080.72"/>
    <n v="7"/>
    <n v="1163.79"/>
    <n v="5.4825867599182097"/>
    <n v="1097.8399999999999"/>
    <s v="AD"/>
    <n v="1"/>
    <n v="1329"/>
    <n v="1156"/>
    <n v="0"/>
    <n v="1156"/>
  </r>
  <r>
    <x v="5"/>
    <s v="RODRIGO GONZALEZ LOPEZ"/>
    <n v="34"/>
    <n v="36"/>
    <d v="1899-12-31T23:10:00"/>
    <s v="INV_SERVINT20@OUTLOOK.COM"/>
    <x v="2"/>
    <n v="1080.72"/>
    <n v="7"/>
    <n v="1163.79"/>
    <n v="5.4825867599182097"/>
    <n v="1097.8399999999999"/>
    <s v="AD"/>
    <n v="1"/>
    <n v="1329"/>
    <n v="1156"/>
    <n v="0"/>
    <n v="1156"/>
  </r>
  <r>
    <x v="5"/>
    <s v="JAIME   ALBARRAN"/>
    <n v="5"/>
    <n v="36"/>
    <d v="1899-12-31T23:59:00"/>
    <s v="jaime...albarran@ejemplo.com"/>
    <x v="4"/>
    <n v="1081.2788"/>
    <n v="5"/>
    <n v="1163.79"/>
    <n v="3.9161333999415802"/>
    <n v="609.91"/>
    <s v="IN"/>
    <n v="1"/>
    <n v="1308"/>
    <n v="1135"/>
    <n v="0.5"/>
    <n v="567.5"/>
  </r>
  <r>
    <x v="5"/>
    <s v="JAIME   ELIAS  ALBARRAN"/>
    <n v="6"/>
    <n v="36"/>
    <d v="1899-12-31T23:59:00"/>
    <s v="jaime...elias..albarran@ejemplo.com"/>
    <x v="2"/>
    <n v="1081.2607"/>
    <n v="7"/>
    <n v="1163.79"/>
    <n v="5.4825867599182097"/>
    <n v="1097.8399999999999"/>
    <s v="AD"/>
    <n v="1"/>
    <n v="1330"/>
    <n v="1157"/>
    <n v="0"/>
    <n v="1157"/>
  </r>
  <r>
    <x v="5"/>
    <s v="ESTEFANÃA OLVERA"/>
    <n v="7"/>
    <n v="36"/>
    <d v="1899-12-31T02:00:00"/>
    <s v="estefanÃ­a.olvera@ejemplo.com"/>
    <x v="0"/>
    <n v="1081.4294"/>
    <n v="2.5"/>
    <n v="1163.79"/>
    <n v="1.9580666999707901"/>
    <n v="1158.8800000000001"/>
    <s v="AD"/>
    <n v="1"/>
    <n v="1281"/>
    <n v="1108"/>
    <n v="0"/>
    <n v="1108"/>
  </r>
  <r>
    <x v="5"/>
    <s v="JORGE ARTURO CAMACHO AMDAM"/>
    <n v="30"/>
    <n v="36"/>
    <d v="1899-12-31T23:30:00"/>
    <s v="jorge.arturo.camacho.amdam@ejemplo.com"/>
    <x v="4"/>
    <n v="1080.6224"/>
    <n v="5"/>
    <n v="1163.79"/>
    <n v="3.9161333999415802"/>
    <n v="609.91"/>
    <s v="IN"/>
    <n v="1"/>
    <n v="1308"/>
    <n v="1135"/>
    <n v="0.5"/>
    <n v="567.5"/>
  </r>
  <r>
    <x v="5"/>
    <s v="BEATRIZ ELENA RAMOS COVARRUBIAS"/>
    <n v="31"/>
    <n v="36"/>
    <d v="1899-12-31T23:30:00"/>
    <s v="beatriz.elena.ramos.covarrubias@ejemplo.com"/>
    <x v="4"/>
    <n v="1080.5778"/>
    <n v="5"/>
    <n v="1163.79"/>
    <n v="3.9161333999415802"/>
    <n v="609.91"/>
    <s v="IN"/>
    <n v="1"/>
    <n v="1307"/>
    <n v="1135"/>
    <n v="0.5"/>
    <n v="567.5"/>
  </r>
  <r>
    <x v="5"/>
    <s v="DIEGO OMAR GARCIA RONQUILLO"/>
    <n v="9"/>
    <n v="35"/>
    <d v="1899-12-31T23:59:00"/>
    <s v="GOMARIN94@GMAIL.COM"/>
    <x v="3"/>
    <n v="1081.1958999999999"/>
    <n v="0"/>
    <n v="1163.79"/>
    <n v="0"/>
    <n v="1158.8800000000001"/>
    <s v="AD"/>
    <n v="1"/>
    <n v="1254"/>
    <n v="1081"/>
    <n v="0"/>
    <n v="1081"/>
  </r>
  <r>
    <x v="5"/>
    <s v="LOURDES YESENIA VIDAL"/>
    <n v="29"/>
    <n v="35"/>
    <d v="1899-12-31T23:59:00"/>
    <s v="LULUSITA_PKM@HOTMAIL.COM"/>
    <x v="3"/>
    <n v="1080.703"/>
    <n v="0"/>
    <n v="1163.79"/>
    <n v="0"/>
    <n v="1120.69"/>
    <s v="AD"/>
    <n v="1"/>
    <n v="1254"/>
    <n v="1081"/>
    <n v="0"/>
    <n v="1081"/>
  </r>
  <r>
    <x v="5"/>
    <s v="JOSÃ‰ BENJAMÃN GONZÃLEZ MAURICIO"/>
    <n v="17"/>
    <n v="35"/>
    <d v="1899-12-31T23:59:00"/>
    <s v="LIC.BENJAMIN.GM@GMAIL.COM"/>
    <x v="3"/>
    <n v="1080.9186"/>
    <n v="0"/>
    <n v="1163.79"/>
    <n v="0"/>
    <n v="1082.33"/>
    <s v="AD"/>
    <n v="1"/>
    <n v="1254"/>
    <n v="1081"/>
    <n v="0"/>
    <n v="1081"/>
  </r>
  <r>
    <x v="5"/>
    <s v="MONICA MANZO CHAVEZ"/>
    <n v="21"/>
    <n v="36"/>
    <d v="1899-12-31T06:00:00"/>
    <s v="MONICMANZO@GMAIL.COM"/>
    <x v="4"/>
    <n v="1081.2605000000001"/>
    <n v="5"/>
    <n v="1163.79"/>
    <n v="3.9161333999415802"/>
    <n v="1158.8800000000001"/>
    <s v="AD"/>
    <n v="1"/>
    <n v="1308"/>
    <n v="1135"/>
    <n v="0"/>
    <n v="1135"/>
  </r>
  <r>
    <x v="5"/>
    <s v="MARIANA MORA MANZO"/>
    <n v="20"/>
    <n v="36"/>
    <d v="1899-12-31T06:00:00"/>
    <s v="MONICMANZO@GMAIL.COM"/>
    <x v="4"/>
    <n v="1081.2786000000001"/>
    <n v="5"/>
    <n v="1163.79"/>
    <n v="3.9161333999415802"/>
    <n v="609.91"/>
    <s v="NI"/>
    <n v="1"/>
    <n v="1308"/>
    <n v="1135"/>
    <n v="0.5"/>
    <n v="567.5"/>
  </r>
  <r>
    <x v="5"/>
    <s v="SOFIA MORA MANZO"/>
    <n v="19"/>
    <n v="36"/>
    <d v="1899-12-31T06:00:00"/>
    <s v="MONICMANZO@GMAIL.COM"/>
    <x v="4"/>
    <n v="1081.2964999999999"/>
    <n v="5"/>
    <n v="1163.79"/>
    <n v="3.9161333999415802"/>
    <n v="609.91"/>
    <s v="OD"/>
    <n v="1"/>
    <n v="1308"/>
    <n v="1135"/>
    <n v="0.5"/>
    <n v="567.5"/>
  </r>
  <r>
    <x v="5"/>
    <s v="LORENA JAZMIN LOPEZ LOZADA"/>
    <n v="6"/>
    <n v="36"/>
    <d v="1899-12-31T11:00:00"/>
    <s v="TICOHP@YAHOO.COM"/>
    <x v="0"/>
    <n v="1081.4577999999999"/>
    <n v="2.5"/>
    <n v="1163.79"/>
    <n v="1.9580666999707901"/>
    <n v="1158.8800000000001"/>
    <s v="AD"/>
    <n v="1"/>
    <n v="1282"/>
    <n v="1108"/>
    <n v="0"/>
    <n v="1108"/>
  </r>
  <r>
    <x v="5"/>
    <s v="VANESSA HERNÃNDEZ LÃ“PEZ"/>
    <n v="2"/>
    <n v="36"/>
    <d v="1899-12-31T11:00:00"/>
    <s v="TICOHP@YAHOO.COM"/>
    <x v="0"/>
    <n v="1081.5299"/>
    <n v="2.5"/>
    <n v="1163.79"/>
    <n v="1.9580666999707901"/>
    <n v="1158.8800000000001"/>
    <s v="AD"/>
    <n v="1"/>
    <n v="1282"/>
    <n v="1109"/>
    <n v="0"/>
    <n v="1109"/>
  </r>
  <r>
    <x v="5"/>
    <s v="VALERIA HERNÃNDEZ LÃ“PEZ"/>
    <n v="3"/>
    <n v="36"/>
    <d v="1899-12-31T11:00:00"/>
    <s v="TICOHP@YAHOO.COM"/>
    <x v="0"/>
    <n v="1081.5117"/>
    <n v="2.5"/>
    <n v="1163.79"/>
    <n v="1.9580666999707901"/>
    <n v="609.91"/>
    <s v="NI"/>
    <n v="1"/>
    <n v="1282"/>
    <n v="1109"/>
    <n v="0.5"/>
    <n v="554.5"/>
  </r>
  <r>
    <x v="5"/>
    <s v="MARIA CONCEPCIÃ“N RIVERA LUGO"/>
    <n v="34"/>
    <n v="36"/>
    <d v="1899-12-31T23:59:00"/>
    <s v="BJCAMACHO90@GMAIL.COM"/>
    <x v="4"/>
    <n v="1080.6067"/>
    <n v="5"/>
    <n v="1163.79"/>
    <n v="3.9161333999415802"/>
    <n v="609.91"/>
    <s v="IN"/>
    <n v="1"/>
    <n v="1308"/>
    <n v="1135"/>
    <n v="0.5"/>
    <n v="567.5"/>
  </r>
  <r>
    <x v="5"/>
    <s v="ANA TERESA MORENO MARTINEZ"/>
    <n v="16"/>
    <n v="36"/>
    <d v="1899-12-31T23:59:00"/>
    <s v="ANAMORENO.MTZ@HOTMAIL.COM"/>
    <x v="0"/>
    <n v="1081.1851999999999"/>
    <n v="2.5"/>
    <n v="1163.79"/>
    <n v="1.9580666999707901"/>
    <n v="1142.5"/>
    <s v="AD"/>
    <n v="1"/>
    <n v="1281"/>
    <n v="1108"/>
    <n v="0"/>
    <n v="1108"/>
  </r>
  <r>
    <x v="5"/>
    <s v="ADALBERTO GUTIERREZ"/>
    <n v="36"/>
    <n v="36"/>
    <d v="1899-12-31T23:59:00"/>
    <s v="GUSA07131982@GMAIL.COM"/>
    <x v="3"/>
    <n v="1080.5748000000001"/>
    <n v="0"/>
    <n v="1163.79"/>
    <n v="0"/>
    <n v="1158.8800000000001"/>
    <s v="AD"/>
    <n v="1"/>
    <n v="1253"/>
    <n v="1081"/>
    <n v="0"/>
    <n v="1081"/>
  </r>
  <r>
    <x v="5"/>
    <s v="VICTOR MANUEL FLORES TRUEBA"/>
    <n v="27"/>
    <n v="35"/>
    <d v="1899-12-31T23:45:00"/>
    <s v="victor.manuel.flores.trueba@ejemplo.com"/>
    <x v="3"/>
    <n v="1080.7365"/>
    <n v="0"/>
    <n v="1163.79"/>
    <n v="0"/>
    <n v="1158.8800000000001"/>
    <s v="AD"/>
    <n v="1"/>
    <n v="1254"/>
    <n v="1081"/>
    <n v="0"/>
    <n v="1081"/>
  </r>
  <r>
    <x v="5"/>
    <s v="SOCORRO VARGAS"/>
    <n v="30"/>
    <n v="36"/>
    <d v="1899-12-31T23:10:00"/>
    <s v="socorro.vargas@ejemplo.com"/>
    <x v="4"/>
    <n v="1080.9196999999999"/>
    <n v="5"/>
    <n v="1163.79"/>
    <n v="3.9161333999415802"/>
    <n v="609.91"/>
    <s v="IN"/>
    <n v="1"/>
    <n v="1308"/>
    <n v="1135"/>
    <n v="0.5"/>
    <n v="567.5"/>
  </r>
  <r>
    <x v="5"/>
    <s v="JUAN ERNESTO TELLEZ"/>
    <n v="31"/>
    <n v="36"/>
    <d v="1899-12-31T23:10:00"/>
    <s v="juan.ernesto.tellez@ejemplo.com"/>
    <x v="1"/>
    <n v="1080.902"/>
    <n v="10"/>
    <n v="1163.79"/>
    <n v="7.8322667998831603"/>
    <n v="609.91"/>
    <s v="NI"/>
    <n v="1"/>
    <n v="1362"/>
    <n v="1189"/>
    <n v="0.5"/>
    <n v="594.5"/>
  </r>
  <r>
    <x v="5"/>
    <s v="ALEJANDRO URBIANA ROJAS"/>
    <n v="10"/>
    <n v="36"/>
    <d v="1899-12-31T02:00:00"/>
    <s v="MJIMENEZ@MOSUAV.COM.MX"/>
    <x v="0"/>
    <n v="1081.4011"/>
    <n v="2.5"/>
    <n v="1163.79"/>
    <n v="1.9580666999707901"/>
    <n v="1158.8800000000001"/>
    <s v="AD"/>
    <n v="1"/>
    <n v="1281"/>
    <n v="1108"/>
    <n v="0"/>
    <n v="1108"/>
  </r>
  <r>
    <x v="5"/>
    <s v="ALEJANDRO URBIANA ROJAS"/>
    <n v="10"/>
    <n v="36"/>
    <d v="1899-12-31T02:00:00"/>
    <s v="MJIMENEZ@MOSUAV.COM.MX"/>
    <x v="0"/>
    <n v="1081.4011"/>
    <n v="2.5"/>
    <n v="1163.79"/>
    <n v="1.9580666999707901"/>
    <n v="1158.8800000000001"/>
    <s v="AD"/>
    <n v="1"/>
    <n v="1281"/>
    <n v="1108"/>
    <n v="0"/>
    <n v="1108"/>
  </r>
  <r>
    <x v="5"/>
    <s v="JOSE FERNANDO MARTINEZ CABRERA"/>
    <n v="7"/>
    <n v="36"/>
    <d v="1899-12-31T02:00:00"/>
    <s v="MJIMENEZ@MOSUAV.COM.MX"/>
    <x v="0"/>
    <n v="1081.4552000000001"/>
    <n v="2.5"/>
    <n v="1163.79"/>
    <n v="1.9580666999707901"/>
    <n v="1158.8800000000001"/>
    <s v="AD"/>
    <n v="1"/>
    <n v="1282"/>
    <n v="1108"/>
    <n v="0"/>
    <n v="1108"/>
  </r>
  <r>
    <x v="5"/>
    <s v="JOSE FERNANDO MARTINEZ CABRERA"/>
    <n v="7"/>
    <n v="36"/>
    <d v="1899-12-31T02:00:00"/>
    <s v="MJIMENEZ@MOSUAV.COM.MX"/>
    <x v="0"/>
    <n v="1081.4552000000001"/>
    <n v="2.5"/>
    <n v="1163.79"/>
    <n v="1.9580666999707901"/>
    <n v="1158.8800000000001"/>
    <s v="AD"/>
    <n v="1"/>
    <n v="1282"/>
    <n v="1108"/>
    <n v="0"/>
    <n v="1108"/>
  </r>
  <r>
    <x v="5"/>
    <s v="HIPOLITO PORRAS"/>
    <n v="27"/>
    <n v="35"/>
    <d v="1899-12-31T23:59:00"/>
    <s v="hipolito.porras@ejemplo.com"/>
    <x v="5"/>
    <n v="1080.7376999999999"/>
    <n v="8.5"/>
    <n v="1163.79"/>
    <n v="6.6574267799006801"/>
    <n v="1219.83"/>
    <s v="AD"/>
    <n v="1"/>
    <n v="1346"/>
    <n v="1173"/>
    <n v="0"/>
    <n v="1173"/>
  </r>
  <r>
    <x v="5"/>
    <s v="JAVIER CASTRO SANCHEZ"/>
    <n v="21"/>
    <n v="36"/>
    <d v="1899-12-31T23:59:00"/>
    <s v="javier.castro.sanchez@ejemplo.com"/>
    <x v="1"/>
    <n v="1080.9597000000001"/>
    <n v="10"/>
    <n v="1163.79"/>
    <n v="7.8322667998831603"/>
    <n v="609.91"/>
    <s v="NI"/>
    <n v="1"/>
    <n v="1362"/>
    <n v="1189"/>
    <n v="0.5"/>
    <n v="594.5"/>
  </r>
  <r>
    <x v="5"/>
    <s v="MARIA AURORA ESPINO PEREZ"/>
    <n v="10"/>
    <n v="36"/>
    <d v="1899-12-31T23:59:00"/>
    <s v="VALE.LK@HOTMAIL.COM"/>
    <x v="3"/>
    <n v="1081.1699000000001"/>
    <n v="0"/>
    <n v="1163.79"/>
    <n v="0"/>
    <n v="1158.8800000000001"/>
    <s v="AD"/>
    <n v="1"/>
    <n v="1254"/>
    <n v="1081"/>
    <n v="0"/>
    <n v="1081"/>
  </r>
  <r>
    <x v="5"/>
    <s v="ARTURO ÃLVAREZ"/>
    <n v="6"/>
    <n v="35"/>
    <d v="1899-12-31T23:59:00"/>
    <s v="JULIOCH190806@GMAIL.COM"/>
    <x v="3"/>
    <n v="1081.2457999999999"/>
    <n v="0"/>
    <n v="1163.79"/>
    <n v="0"/>
    <n v="1158.8800000000001"/>
    <s v="AD"/>
    <n v="1"/>
    <n v="1254"/>
    <n v="1081"/>
    <n v="0"/>
    <n v="1081"/>
  </r>
  <r>
    <x v="5"/>
    <s v="ARTURO ÃLVAREZ"/>
    <n v="6"/>
    <n v="35"/>
    <d v="1899-12-31T23:59:00"/>
    <s v="JULIOCH190806@GMAIL.COM"/>
    <x v="3"/>
    <n v="1081.2457999999999"/>
    <n v="0"/>
    <n v="1163.79"/>
    <n v="0"/>
    <n v="1158.8800000000001"/>
    <s v="AD"/>
    <n v="1"/>
    <n v="1254"/>
    <n v="1081"/>
    <n v="0"/>
    <n v="1081"/>
  </r>
  <r>
    <x v="5"/>
    <s v="GERARDO ÃLVAREZ"/>
    <n v="8"/>
    <n v="35"/>
    <d v="1899-12-31T23:59:00"/>
    <s v="JULIOCH190806@GMAIL.COM"/>
    <x v="3"/>
    <n v="1081.2098000000001"/>
    <n v="0"/>
    <n v="1163.79"/>
    <n v="0"/>
    <n v="1158.8800000000001"/>
    <s v="AD"/>
    <n v="1"/>
    <n v="1254"/>
    <n v="1081"/>
    <n v="0"/>
    <n v="1081"/>
  </r>
  <r>
    <x v="5"/>
    <s v="GERARDO ÃLVAREZ"/>
    <n v="8"/>
    <n v="35"/>
    <d v="1899-12-31T23:59:00"/>
    <s v="JULIOCH190806@GMAIL.COM"/>
    <x v="3"/>
    <n v="1081.2098000000001"/>
    <n v="0"/>
    <n v="1163.79"/>
    <n v="0"/>
    <n v="1158.8800000000001"/>
    <s v="AD"/>
    <n v="1"/>
    <n v="1254"/>
    <n v="1081"/>
    <n v="0"/>
    <n v="1081"/>
  </r>
  <r>
    <x v="5"/>
    <s v="HUGO GONZALEZ"/>
    <n v="5"/>
    <n v="35"/>
    <d v="1899-12-31T23:59:00"/>
    <s v="JULIOCH190806@GMAIL.COM"/>
    <x v="3"/>
    <n v="1081.2637"/>
    <n v="0"/>
    <n v="1163.79"/>
    <n v="0"/>
    <n v="1158.8800000000001"/>
    <s v="AD"/>
    <n v="1"/>
    <n v="1254"/>
    <n v="1081"/>
    <n v="0"/>
    <n v="1081"/>
  </r>
  <r>
    <x v="5"/>
    <s v="HUGO GONZALEZ"/>
    <n v="5"/>
    <n v="35"/>
    <d v="1899-12-31T23:59:00"/>
    <s v="JULIOCH190806@GMAIL.COM"/>
    <x v="3"/>
    <n v="1081.2637"/>
    <n v="0"/>
    <n v="1163.79"/>
    <n v="0"/>
    <n v="1158.8800000000001"/>
    <s v="AD"/>
    <n v="1"/>
    <n v="1254"/>
    <n v="1081"/>
    <n v="0"/>
    <n v="1081"/>
  </r>
  <r>
    <x v="5"/>
    <s v="WENDY MARTINEZ ZARATE"/>
    <n v="3"/>
    <n v="35"/>
    <d v="1899-12-31T23:45:00"/>
    <s v="RALCALA@ELEGANTCATERING.COM.MX"/>
    <x v="3"/>
    <n v="1081.2997"/>
    <n v="0"/>
    <n v="1163.79"/>
    <n v="0"/>
    <n v="1158.8800000000001"/>
    <s v="AD"/>
    <n v="1"/>
    <n v="1254"/>
    <n v="1081"/>
    <n v="0"/>
    <n v="1081"/>
  </r>
  <r>
    <x v="5"/>
    <s v="ALEJANDRO BUENDIA LUNA"/>
    <n v="1"/>
    <n v="36"/>
    <d v="1899-12-31T23:59:00"/>
    <s v="LUCIABOROBIA@GMAIL.COM"/>
    <x v="3"/>
    <n v="1081.3308"/>
    <n v="0"/>
    <n v="1163.79"/>
    <n v="0"/>
    <n v="1158.8800000000001"/>
    <s v="AD"/>
    <n v="1"/>
    <n v="1254"/>
    <n v="1081"/>
    <n v="0"/>
    <n v="1081"/>
  </r>
  <r>
    <x v="5"/>
    <s v="ALEJANDRO BUENDIA LUNA"/>
    <n v="1"/>
    <n v="36"/>
    <d v="1899-12-31T23:59:00"/>
    <s v="LUCIABOROBIA@GMAIL.COM"/>
    <x v="3"/>
    <n v="1081.3308"/>
    <n v="0"/>
    <n v="1163.79"/>
    <n v="0"/>
    <n v="1158.8800000000001"/>
    <s v="AD"/>
    <n v="1"/>
    <n v="1254"/>
    <n v="1081"/>
    <n v="0"/>
    <n v="1081"/>
  </r>
  <r>
    <x v="5"/>
    <s v="MIGUEL ANGEL MELCHOR RAFAEL"/>
    <n v="4"/>
    <n v="36"/>
    <d v="1899-12-31T23:59:00"/>
    <s v="LUCIABOROBIA@GMAIL.COM"/>
    <x v="3"/>
    <n v="1081.1442999999999"/>
    <n v="0"/>
    <n v="1163.79"/>
    <n v="0"/>
    <n v="1158.8800000000001"/>
    <s v="AD"/>
    <n v="1"/>
    <n v="1254"/>
    <n v="1081"/>
    <n v="0"/>
    <n v="1081"/>
  </r>
  <r>
    <x v="5"/>
    <s v="MIGUEL ANGEL MELCHOR RAFAEL"/>
    <n v="4"/>
    <n v="36"/>
    <d v="1899-12-31T23:59:00"/>
    <s v="LUCIABOROBIA@GMAIL.COM"/>
    <x v="3"/>
    <n v="1081.1442999999999"/>
    <n v="0"/>
    <n v="1163.79"/>
    <n v="0"/>
    <n v="1158.8800000000001"/>
    <s v="AD"/>
    <n v="1"/>
    <n v="1254"/>
    <n v="1081"/>
    <n v="0"/>
    <n v="1081"/>
  </r>
  <r>
    <x v="5"/>
    <s v="EDWIN RODRIGUEZ JURADO"/>
    <n v="4"/>
    <n v="36"/>
    <d v="1899-12-31T23:30:00"/>
    <s v="YAMILETHJURADO93@GMAIL.COM"/>
    <x v="2"/>
    <n v="1081.1596999999999"/>
    <n v="7"/>
    <n v="1163.79"/>
    <n v="5.4825867599182097"/>
    <n v="609.91"/>
    <s v="NI"/>
    <n v="1"/>
    <n v="1330"/>
    <n v="1157"/>
    <n v="0.5"/>
    <n v="578.5"/>
  </r>
  <r>
    <x v="5"/>
    <s v="ANAYELI RODRIGUEZ JURADO"/>
    <n v="5"/>
    <n v="36"/>
    <d v="1899-12-31T23:30:00"/>
    <s v="YAMILETHJURADO93@GMAIL.COM"/>
    <x v="2"/>
    <n v="1081.2742000000001"/>
    <n v="7"/>
    <n v="1163.79"/>
    <n v="5.4825867599182097"/>
    <n v="1219.83"/>
    <s v="AD"/>
    <n v="1"/>
    <n v="1330"/>
    <n v="1157"/>
    <n v="0"/>
    <n v="1157"/>
  </r>
  <r>
    <x v="5"/>
    <s v="GIOVANI RODRIGUEZ JURADO"/>
    <n v="6"/>
    <n v="36"/>
    <d v="1899-12-31T23:30:00"/>
    <s v="YAMILETHJURADO93@GMAIL.COM"/>
    <x v="2"/>
    <n v="1081.2562"/>
    <n v="7"/>
    <n v="1163.79"/>
    <n v="5.4825867599182097"/>
    <n v="1219.83"/>
    <s v="AD"/>
    <n v="1"/>
    <n v="1330"/>
    <n v="1157"/>
    <n v="0"/>
    <n v="1157"/>
  </r>
  <r>
    <x v="5"/>
    <s v="EVERARDO  D JULIAN NUÃ‘EZ"/>
    <n v="13"/>
    <n v="36"/>
    <d v="1899-12-31T11:00:00"/>
    <s v="everardo..d.julian.nuÃ±ez@ejemplo.com"/>
    <x v="1"/>
    <n v="1081.3295000000001"/>
    <n v="10"/>
    <n v="1163.79"/>
    <n v="7.8322667998831603"/>
    <n v="609.91"/>
    <s v="NI"/>
    <n v="1"/>
    <n v="1362"/>
    <n v="1189"/>
    <n v="0.5"/>
    <n v="594.5"/>
  </r>
  <r>
    <x v="5"/>
    <s v="IGNACIO MESINA ESTARRON"/>
    <n v="13"/>
    <n v="36"/>
    <d v="1899-12-31T02:00:00"/>
    <s v="INMESINA30@GMAIL.COM"/>
    <x v="0"/>
    <n v="1081.5334"/>
    <n v="2.5"/>
    <n v="1163.79"/>
    <n v="1.9580666999707901"/>
    <n v="1158.8800000000001"/>
    <s v="AD"/>
    <n v="1"/>
    <n v="1282"/>
    <n v="1109"/>
    <n v="0"/>
    <n v="1109"/>
  </r>
  <r>
    <x v="5"/>
    <s v="IGNACIO MESINA ESTARRON"/>
    <n v="13"/>
    <n v="36"/>
    <d v="1899-12-31T02:00:00"/>
    <s v="INMESINA30@GMAIL.COM"/>
    <x v="0"/>
    <n v="1081.5334"/>
    <n v="2.5"/>
    <n v="1163.79"/>
    <n v="1.9580666999707901"/>
    <n v="1158.8800000000001"/>
    <s v="AD"/>
    <n v="1"/>
    <n v="1282"/>
    <n v="1109"/>
    <n v="0"/>
    <n v="1109"/>
  </r>
  <r>
    <x v="5"/>
    <s v="LUIS ENRIQUE SANCHEZ ESTARRON"/>
    <n v="16"/>
    <n v="36"/>
    <d v="1899-12-31T02:00:00"/>
    <s v="INMESINA30@GMAIL.COM"/>
    <x v="0"/>
    <n v="1081.4797000000001"/>
    <n v="2.5"/>
    <n v="1163.79"/>
    <n v="1.9580666999707901"/>
    <n v="1158.8800000000001"/>
    <s v="AD"/>
    <n v="1"/>
    <n v="1282"/>
    <n v="1109"/>
    <n v="0"/>
    <n v="1109"/>
  </r>
  <r>
    <x v="5"/>
    <s v="LUIS ENRIQUE SANCHEZ ESTARRON"/>
    <n v="16"/>
    <n v="36"/>
    <d v="1899-12-31T02:00:00"/>
    <s v="INMESINA30@GMAIL.COM"/>
    <x v="0"/>
    <n v="1081.4797000000001"/>
    <n v="2.5"/>
    <n v="1163.79"/>
    <n v="1.9580666999707901"/>
    <n v="1158.8800000000001"/>
    <s v="AD"/>
    <n v="1"/>
    <n v="1282"/>
    <n v="1109"/>
    <n v="0"/>
    <n v="1109"/>
  </r>
  <r>
    <x v="5"/>
    <s v="FRANCISCO PERALTA"/>
    <n v="14"/>
    <n v="36"/>
    <d v="1899-12-31T02:00:00"/>
    <s v="francisco.peralta@ejemplo.com"/>
    <x v="2"/>
    <n v="1081.3145"/>
    <n v="7"/>
    <n v="1163.79"/>
    <n v="5.4825867599182097"/>
    <n v="1219.83"/>
    <s v="AD"/>
    <n v="1"/>
    <n v="1330"/>
    <n v="1157"/>
    <n v="0"/>
    <n v="1157"/>
  </r>
  <r>
    <x v="5"/>
    <s v="GERARDO PORTILLO"/>
    <n v="15"/>
    <n v="36"/>
    <d v="1899-12-31T02:00:00"/>
    <s v="gerardo.portillo@ejemplo.com"/>
    <x v="2"/>
    <n v="1081.2963999999999"/>
    <n v="7"/>
    <n v="1163.79"/>
    <n v="5.4825867599182097"/>
    <n v="1219.83"/>
    <s v="AD"/>
    <n v="1"/>
    <n v="1330"/>
    <n v="1157"/>
    <n v="0"/>
    <n v="1157"/>
  </r>
  <r>
    <x v="5"/>
    <s v="ALONSO GOMEZ SOTO"/>
    <n v="13"/>
    <n v="36"/>
    <d v="1899-12-31T06:00:00"/>
    <s v="ALONZOMX82@GMAIL.COM"/>
    <x v="0"/>
    <n v="1081.3430000000001"/>
    <n v="2.5"/>
    <n v="1163.79"/>
    <n v="1.9580666999707901"/>
    <n v="1116.3800000000001"/>
    <s v="AD"/>
    <n v="1"/>
    <n v="1281"/>
    <n v="1108"/>
    <n v="0"/>
    <n v="1108"/>
  </r>
  <r>
    <x v="5"/>
    <s v="IRVIN ENRIQUE MARTINEZ RIVERA"/>
    <n v="17"/>
    <n v="36"/>
    <d v="1899-12-31T23:59:00"/>
    <s v="ENRIQUEMTZRV@GMAIL.COM"/>
    <x v="2"/>
    <n v="1081.0686000000001"/>
    <n v="7"/>
    <n v="1163.79"/>
    <n v="5.4825867599182097"/>
    <n v="1097.8399999999999"/>
    <s v="AD"/>
    <n v="1"/>
    <n v="1330"/>
    <n v="1157"/>
    <n v="0"/>
    <n v="1157"/>
  </r>
  <r>
    <x v="5"/>
    <s v="RAUL VILLAGRAN"/>
    <n v="18"/>
    <n v="36"/>
    <d v="1899-12-31T02:00:00"/>
    <s v="RAULVILLAGRAN@OUTLOOK.COM"/>
    <x v="0"/>
    <n v="1081.2542000000001"/>
    <n v="2.5"/>
    <n v="1163.79"/>
    <n v="1.9580666999707901"/>
    <n v="1158.8800000000001"/>
    <s v="AD"/>
    <n v="1"/>
    <n v="1281"/>
    <n v="1108"/>
    <n v="0"/>
    <n v="1108"/>
  </r>
  <r>
    <x v="5"/>
    <s v="HECTOR PADILLA"/>
    <n v="27"/>
    <n v="36"/>
    <d v="1899-12-31T06:00:00"/>
    <s v="ELMAILDEPADA@GMAIL.COM"/>
    <x v="2"/>
    <n v="1081.0146"/>
    <n v="7"/>
    <n v="1163.79"/>
    <n v="5.4825867599182097"/>
    <n v="1158.8800000000001"/>
    <s v="AD"/>
    <n v="1"/>
    <n v="1330"/>
    <n v="1157"/>
    <n v="0"/>
    <n v="1157"/>
  </r>
  <r>
    <x v="5"/>
    <s v="CHRISTIAN PEREZ"/>
    <n v="35"/>
    <n v="36"/>
    <d v="1899-12-31T23:59:00"/>
    <s v="christian.perez@ejemplo.com"/>
    <x v="2"/>
    <n v="1080.4000000000001"/>
    <n v="7"/>
    <n v="1163.79"/>
    <n v="5.4825867599182097"/>
    <n v="1097.8399999999999"/>
    <s v="AD"/>
    <n v="1"/>
    <n v="1329"/>
    <n v="1156"/>
    <n v="0"/>
    <n v="1156"/>
  </r>
  <r>
    <x v="5"/>
    <s v="SAUL LOPEZ BUCIO"/>
    <n v="9"/>
    <n v="35"/>
    <d v="1899-12-31T23:45:00"/>
    <s v="BLANCA.TAPIA@KAVATEL.COM.MX"/>
    <x v="3"/>
    <n v="1081.1895999999999"/>
    <n v="0"/>
    <n v="1163.79"/>
    <n v="0"/>
    <n v="1158.8800000000001"/>
    <s v="AD"/>
    <n v="1"/>
    <n v="1254"/>
    <n v="1081"/>
    <n v="0"/>
    <n v="1081"/>
  </r>
  <r>
    <x v="5"/>
    <s v="JAIME GOMEZ CABRERA"/>
    <n v="4"/>
    <n v="36"/>
    <d v="1899-12-31T02:00:00"/>
    <s v="LUISANTONIORAYAG@GMAIL.COM"/>
    <x v="2"/>
    <n v="1081.3726999999999"/>
    <n v="7"/>
    <n v="1163.79"/>
    <n v="5.4825867599182097"/>
    <n v="1158.8800000000001"/>
    <s v="AD"/>
    <n v="1"/>
    <n v="1330"/>
    <n v="1157"/>
    <n v="0"/>
    <n v="1157"/>
  </r>
  <r>
    <x v="5"/>
    <s v="CLAUDIO LOPEZ"/>
    <n v="31"/>
    <n v="36"/>
    <d v="1899-12-31T11:00:00"/>
    <s v="claudio.lopez@ejemplo.com"/>
    <x v="3"/>
    <n v="1080.8829000000001"/>
    <n v="0"/>
    <n v="1163.79"/>
    <n v="0"/>
    <n v="1158.8800000000001"/>
    <s v="AD"/>
    <n v="1"/>
    <n v="1254"/>
    <n v="1081"/>
    <n v="0"/>
    <n v="1081"/>
  </r>
  <r>
    <x v="5"/>
    <s v="MARCELA MALDONADO"/>
    <n v="30"/>
    <n v="36"/>
    <d v="1899-12-31T11:00:00"/>
    <s v="marcela.maldonado@ejemplo.com"/>
    <x v="0"/>
    <n v="1080.9009000000001"/>
    <n v="2.5"/>
    <n v="1163.79"/>
    <n v="1.9580666999707901"/>
    <n v="1158.8800000000001"/>
    <s v="AD"/>
    <n v="1"/>
    <n v="1281"/>
    <n v="1108"/>
    <n v="0"/>
    <n v="1108"/>
  </r>
  <r>
    <x v="5"/>
    <s v="CARMEN JIMÃ‰NEZ DIMAS"/>
    <n v="30"/>
    <n v="36"/>
    <d v="1899-12-31T23:30:00"/>
    <s v="JIDICA.1965@GMAIL.COM"/>
    <x v="4"/>
    <n v="1080.8625"/>
    <n v="5"/>
    <n v="1163.79"/>
    <n v="3.9161333999415802"/>
    <n v="609.91"/>
    <s v="IN"/>
    <n v="1"/>
    <n v="1308"/>
    <n v="1135"/>
    <n v="0.5"/>
    <n v="567.5"/>
  </r>
  <r>
    <x v="5"/>
    <s v="CARMEN JIMÃ‰NEZ DIMAS"/>
    <n v="30"/>
    <n v="36"/>
    <d v="1899-12-31T23:30:00"/>
    <s v="ALVH.64@GMAIL.COM"/>
    <x v="4"/>
    <n v="1080.8625"/>
    <n v="5"/>
    <n v="1163.79"/>
    <n v="3.9161333999415802"/>
    <n v="609.91"/>
    <s v="IN"/>
    <n v="1"/>
    <n v="1308"/>
    <n v="1135"/>
    <n v="0.5"/>
    <n v="567.5"/>
  </r>
  <r>
    <x v="5"/>
    <s v="MARTÃN ALBERTO VALENCIA HERNÃNDEZ"/>
    <n v="31"/>
    <n v="36"/>
    <d v="1899-12-31T23:30:00"/>
    <s v="JIDICA.1965@GMAIL.COM"/>
    <x v="4"/>
    <n v="1080.8445999999999"/>
    <n v="5"/>
    <n v="1163.79"/>
    <n v="3.9161333999415802"/>
    <n v="609.91"/>
    <s v="IN"/>
    <n v="1"/>
    <n v="1308"/>
    <n v="1135"/>
    <n v="0.5"/>
    <n v="567.5"/>
  </r>
  <r>
    <x v="5"/>
    <s v="MARTÃN ALBERTO VALENCIA HERNÃNDEZ"/>
    <n v="31"/>
    <n v="36"/>
    <d v="1899-12-31T23:30:00"/>
    <s v="ALVH.64@GMAIL.COM"/>
    <x v="4"/>
    <n v="1080.8445999999999"/>
    <n v="5"/>
    <n v="1163.79"/>
    <n v="3.9161333999415802"/>
    <n v="609.91"/>
    <s v="IN"/>
    <n v="1"/>
    <n v="1308"/>
    <n v="1135"/>
    <n v="0.5"/>
    <n v="567.5"/>
  </r>
  <r>
    <x v="5"/>
    <s v="INGRID ANYED CASTRO CISNEROS"/>
    <n v="30"/>
    <n v="35"/>
    <d v="1899-12-31T23:59:00"/>
    <s v="ANYED@ME.COM"/>
    <x v="3"/>
    <n v="1080.8112000000001"/>
    <n v="0"/>
    <n v="1163.79"/>
    <n v="0"/>
    <n v="1120.69"/>
    <s v="AD"/>
    <n v="1"/>
    <n v="1254"/>
    <n v="1081"/>
    <n v="0"/>
    <n v="1081"/>
  </r>
  <r>
    <x v="5"/>
    <s v="SANDRA RÃOS GARCÃA"/>
    <n v="21"/>
    <n v="36"/>
    <d v="1899-12-31T11:00:00"/>
    <s v="CAGP-010704@HOTMAIL.COM"/>
    <x v="3"/>
    <n v="1081.2509"/>
    <n v="0"/>
    <n v="1163.79"/>
    <n v="0"/>
    <n v="1158.8800000000001"/>
    <s v="AD"/>
    <n v="1"/>
    <n v="1254"/>
    <n v="1081"/>
    <n v="0"/>
    <n v="1081"/>
  </r>
  <r>
    <x v="5"/>
    <s v="JOSE ANTONIO ELIGIO GARDUÃ‘O"/>
    <n v="31"/>
    <n v="35"/>
    <d v="1899-12-31T23:59:00"/>
    <s v="DISAILES0307@HOTMAIL.COM"/>
    <x v="3"/>
    <n v="1080.6597999999999"/>
    <n v="0"/>
    <n v="1163.79"/>
    <n v="0"/>
    <n v="1158.8800000000001"/>
    <s v="AD"/>
    <n v="1"/>
    <n v="1254"/>
    <n v="1081"/>
    <n v="0"/>
    <n v="1081"/>
  </r>
  <r>
    <x v="5"/>
    <s v="BRIAN ALAN SERRAT ROMERO"/>
    <n v="1"/>
    <n v="36"/>
    <d v="1899-12-31T02:00:00"/>
    <s v="ALEXROMERO3312@GMAIL.COM"/>
    <x v="0"/>
    <n v="1081.5581"/>
    <n v="2.5"/>
    <n v="1163.79"/>
    <n v="1.9580666999707901"/>
    <n v="1158.8800000000001"/>
    <s v="AD"/>
    <n v="1"/>
    <n v="1282"/>
    <n v="1109"/>
    <n v="0"/>
    <n v="1109"/>
  </r>
  <r>
    <x v="5"/>
    <s v="NORMA TERESA MERCADO GARCÃA"/>
    <n v="6"/>
    <n v="36"/>
    <d v="1899-12-31T02:00:00"/>
    <s v="OSCARMERCADO60@YAHOO.COM"/>
    <x v="4"/>
    <n v="1081.4684999999999"/>
    <n v="5"/>
    <n v="1163.79"/>
    <n v="3.9161333999415802"/>
    <n v="609.91"/>
    <s v="IN"/>
    <n v="1"/>
    <n v="1309"/>
    <n v="1136"/>
    <n v="0.5"/>
    <n v="568"/>
  </r>
  <r>
    <x v="5"/>
    <s v="NORMA TERESA MERCADO GARCÃA"/>
    <n v="6"/>
    <n v="36"/>
    <d v="1899-12-31T02:00:00"/>
    <s v="OSCARMERCADO60@YAHOO.COM"/>
    <x v="4"/>
    <n v="1081.4684999999999"/>
    <n v="5"/>
    <n v="1163.79"/>
    <n v="3.9161333999415802"/>
    <n v="609.91"/>
    <s v="IN"/>
    <n v="1"/>
    <n v="1309"/>
    <n v="1136"/>
    <n v="0.5"/>
    <n v="568"/>
  </r>
  <r>
    <x v="5"/>
    <s v="TERESA GARCÃA MOYA"/>
    <n v="5"/>
    <n v="36"/>
    <d v="1899-12-31T02:00:00"/>
    <s v="OSCARMERCADO60@YAHOO.COM"/>
    <x v="4"/>
    <n v="1081.4863"/>
    <n v="5"/>
    <n v="1163.79"/>
    <n v="3.9161333999415802"/>
    <n v="609.91"/>
    <s v="IN"/>
    <n v="1"/>
    <n v="1309"/>
    <n v="1136"/>
    <n v="0.5"/>
    <n v="568"/>
  </r>
  <r>
    <x v="5"/>
    <s v="TERESA GARCÃA MOYA"/>
    <n v="5"/>
    <n v="36"/>
    <d v="1899-12-31T02:00:00"/>
    <s v="OSCARMERCADO60@YAHOO.COM"/>
    <x v="4"/>
    <n v="1081.4863"/>
    <n v="5"/>
    <n v="1163.79"/>
    <n v="3.9161333999415802"/>
    <n v="609.91"/>
    <s v="IN"/>
    <n v="1"/>
    <n v="1309"/>
    <n v="1136"/>
    <n v="0.5"/>
    <n v="568"/>
  </r>
  <r>
    <x v="5"/>
    <s v="DULCE VALERIA GARCIA MARTINEZ"/>
    <n v="8"/>
    <n v="35"/>
    <d v="1899-12-31T23:45:00"/>
    <s v="DULCEIDA2005@GMAIL.COM"/>
    <x v="3"/>
    <n v="1081.2058"/>
    <n v="0"/>
    <n v="1163.79"/>
    <n v="0"/>
    <n v="1158.8800000000001"/>
    <s v="AD"/>
    <n v="1"/>
    <n v="1254"/>
    <n v="1081"/>
    <n v="0"/>
    <n v="1081"/>
  </r>
  <r>
    <x v="5"/>
    <s v="ABIMAEL HERNÃNDEZ SIMÃ“N"/>
    <n v="36"/>
    <n v="36"/>
    <d v="1899-12-31T02:00:00"/>
    <s v="HABIMAELS@HOTMAIL.COM"/>
    <x v="0"/>
    <n v="1080.7964999999999"/>
    <n v="2.5"/>
    <n v="1163.79"/>
    <n v="1.9580666999707901"/>
    <n v="1158.8800000000001"/>
    <s v="AD"/>
    <n v="1"/>
    <n v="1281"/>
    <n v="1108"/>
    <n v="0"/>
    <n v="1108"/>
  </r>
  <r>
    <x v="5"/>
    <s v="ABIMAEL HERNÃNDEZ SIMÃ“N"/>
    <n v="36"/>
    <n v="36"/>
    <d v="1899-12-31T02:00:00"/>
    <s v="HABIMAELS@HOTMAIL.COM"/>
    <x v="0"/>
    <n v="1080.7964999999999"/>
    <n v="2.5"/>
    <n v="1163.79"/>
    <n v="1.9580666999707901"/>
    <n v="1158.8800000000001"/>
    <s v="AD"/>
    <n v="1"/>
    <n v="1281"/>
    <n v="1108"/>
    <n v="0"/>
    <n v="1108"/>
  </r>
  <r>
    <x v="5"/>
    <s v="EDGAR HERNÃNDEZ SIMÃ“N"/>
    <n v="27"/>
    <n v="36"/>
    <d v="1899-12-31T02:00:00"/>
    <s v="HABIMAELS@HOTMAIL.COM"/>
    <x v="0"/>
    <n v="1080.9585"/>
    <n v="2.5"/>
    <n v="1163.79"/>
    <n v="1.9580666999707901"/>
    <n v="1158.8800000000001"/>
    <s v="AD"/>
    <n v="1"/>
    <n v="1281"/>
    <n v="1108"/>
    <n v="0"/>
    <n v="1108"/>
  </r>
  <r>
    <x v="5"/>
    <s v="EDGAR HERNÃNDEZ SIMÃ“N"/>
    <n v="27"/>
    <n v="36"/>
    <d v="1899-12-31T02:00:00"/>
    <s v="HABIMAELS@HOTMAIL.COM"/>
    <x v="0"/>
    <n v="1080.9585"/>
    <n v="2.5"/>
    <n v="1163.79"/>
    <n v="1.9580666999707901"/>
    <n v="1158.8800000000001"/>
    <s v="AD"/>
    <n v="1"/>
    <n v="1281"/>
    <n v="1108"/>
    <n v="0"/>
    <n v="1108"/>
  </r>
  <r>
    <x v="5"/>
    <s v="ARMANDO VIVANCO"/>
    <n v="34"/>
    <n v="35"/>
    <d v="1899-12-31T23:45:00"/>
    <s v="ARMANDOVIVANCOGONZALEZ@GMAIL.COM"/>
    <x v="2"/>
    <n v="1080.6085"/>
    <n v="7"/>
    <n v="1163.79"/>
    <n v="5.4825867599182097"/>
    <n v="1219.83"/>
    <s v="AD"/>
    <n v="1"/>
    <n v="1329"/>
    <n v="1156"/>
    <n v="0"/>
    <n v="1156"/>
  </r>
  <r>
    <x v="5"/>
    <s v="MARLON ALFONSO CUEVAS OLVERA"/>
    <n v="16"/>
    <n v="36"/>
    <d v="1899-12-31T23:10:00"/>
    <s v="MARLONCO42@GMAIL.COM"/>
    <x v="0"/>
    <n v="1081.1702"/>
    <n v="2.5"/>
    <n v="1163.79"/>
    <n v="1.9580666999707901"/>
    <n v="1094.83"/>
    <s v="AD"/>
    <n v="1"/>
    <n v="1281"/>
    <n v="1108"/>
    <n v="0"/>
    <n v="1108"/>
  </r>
  <r>
    <x v="5"/>
    <s v="RUTH MÃ“NICA MARTÃNEZ VERA"/>
    <n v="25"/>
    <n v="36"/>
    <d v="1899-12-31T02:00:00"/>
    <s v="MONNDRATTOO@GMAIL.COM"/>
    <x v="0"/>
    <n v="1080.9935"/>
    <n v="2.5"/>
    <n v="1163.79"/>
    <n v="1.9580666999707901"/>
    <n v="1158.8800000000001"/>
    <s v="AD"/>
    <n v="1"/>
    <n v="1281"/>
    <n v="1108"/>
    <n v="0"/>
    <n v="1108"/>
  </r>
  <r>
    <x v="5"/>
    <s v="ADRIANA GUZMAN AGUILAR"/>
    <n v="8"/>
    <n v="36"/>
    <d v="1899-12-31T23:59:00"/>
    <s v="BEATRIZ.AGA19@GMAIL.COM"/>
    <x v="0"/>
    <n v="1081.2003"/>
    <n v="2.5"/>
    <n v="1163.79"/>
    <n v="1.9580666999707901"/>
    <n v="1158.8800000000001"/>
    <s v="AD"/>
    <n v="1"/>
    <n v="1281"/>
    <n v="1108"/>
    <n v="0"/>
    <n v="1108"/>
  </r>
  <r>
    <x v="5"/>
    <s v="ADRIANA GUZMAN AGUILAR"/>
    <n v="8"/>
    <n v="36"/>
    <d v="1899-12-31T23:59:00"/>
    <s v="DIANAKGT@HOTMAIL.COM"/>
    <x v="0"/>
    <n v="1081.2003"/>
    <n v="2.5"/>
    <n v="1163.79"/>
    <n v="1.9580666999707901"/>
    <n v="1158.8800000000001"/>
    <s v="AD"/>
    <n v="1"/>
    <n v="1281"/>
    <n v="1108"/>
    <n v="0"/>
    <n v="1108"/>
  </r>
  <r>
    <x v="5"/>
    <s v="DIANA GUZMAN TORRES"/>
    <n v="9"/>
    <n v="36"/>
    <d v="1899-12-31T23:59:00"/>
    <s v="BEATRIZ.AGA19@GMAIL.COM"/>
    <x v="0"/>
    <n v="1081.1823999999999"/>
    <n v="2.5"/>
    <n v="1163.79"/>
    <n v="1.9580666999707901"/>
    <n v="1158.8800000000001"/>
    <s v="AD"/>
    <n v="1"/>
    <n v="1281"/>
    <n v="1108"/>
    <n v="0"/>
    <n v="1108"/>
  </r>
  <r>
    <x v="5"/>
    <s v="DIANA GUZMAN TORRES"/>
    <n v="9"/>
    <n v="36"/>
    <d v="1899-12-31T23:59:00"/>
    <s v="DIANAKGT@HOTMAIL.COM"/>
    <x v="0"/>
    <n v="1081.1823999999999"/>
    <n v="2.5"/>
    <n v="1163.79"/>
    <n v="1.9580666999707901"/>
    <n v="1158.8800000000001"/>
    <s v="AD"/>
    <n v="1"/>
    <n v="1281"/>
    <n v="1108"/>
    <n v="0"/>
    <n v="1108"/>
  </r>
  <r>
    <x v="5"/>
    <s v="MARIA BERENICE LOYO HELO"/>
    <n v="22"/>
    <n v="35"/>
    <d v="1899-12-31T23:45:00"/>
    <s v="LOYO.HB@GMAIL.COM"/>
    <x v="2"/>
    <n v="1078.9094"/>
    <n v="7"/>
    <n v="1163.79"/>
    <n v="5.4825867599182097"/>
    <n v="1219.83"/>
    <s v="AD"/>
    <n v="1"/>
    <n v="1327"/>
    <n v="1154"/>
    <n v="0"/>
    <n v="1154"/>
  </r>
  <r>
    <x v="5"/>
    <s v="JOSE CARLOS ALCANTARA MARTINEZ"/>
    <n v="15"/>
    <n v="35"/>
    <d v="1899-12-31T23:59:00"/>
    <s v="jose.carlos.alcantara.martinez@ejemplo.com"/>
    <x v="5"/>
    <n v="1081.0685000000001"/>
    <n v="8.5"/>
    <n v="1163.79"/>
    <n v="6.6574267799006801"/>
    <n v="1219.83"/>
    <s v="AD"/>
    <n v="1"/>
    <n v="1346"/>
    <n v="1173"/>
    <n v="0"/>
    <n v="1173"/>
  </r>
  <r>
    <x v="5"/>
    <s v="JAIME BRAVO"/>
    <n v="16"/>
    <n v="36"/>
    <d v="1899-12-31T02:00:00"/>
    <s v="JBRAVO@MARKETINGMUNDIAL.COM"/>
    <x v="3"/>
    <n v="1081.288"/>
    <n v="0"/>
    <n v="1163.79"/>
    <n v="0"/>
    <n v="1158.8800000000001"/>
    <s v="AD"/>
    <n v="1"/>
    <n v="1254"/>
    <n v="1081"/>
    <n v="0"/>
    <n v="1081"/>
  </r>
  <r>
    <x v="5"/>
    <s v="SANTINO SCHATZLE"/>
    <n v="32"/>
    <n v="36"/>
    <d v="1899-12-31T02:00:00"/>
    <s v="santino.schatzle@ejemplo.com"/>
    <x v="2"/>
    <n v="1080.8552"/>
    <n v="7"/>
    <n v="1163.79"/>
    <n v="5.4825867599182097"/>
    <n v="1219.83"/>
    <s v="AD"/>
    <n v="1"/>
    <n v="1329"/>
    <n v="1157"/>
    <n v="0"/>
    <n v="1157"/>
  </r>
  <r>
    <x v="6"/>
    <s v="VICTOR GUDALUPE CRUZ"/>
    <n v="23"/>
    <n v="36"/>
    <d v="1899-12-31T02:00:00"/>
    <s v="victor.gudalupe.cruz@ejemplo.com"/>
    <x v="2"/>
    <n v="1081.0164"/>
    <n v="7"/>
    <n v="1163.79"/>
    <n v="5.4825867599182097"/>
    <n v="1219.83"/>
    <s v="AD"/>
    <n v="1"/>
    <n v="1330"/>
    <n v="1157"/>
    <n v="0"/>
    <n v="1157"/>
  </r>
  <r>
    <x v="6"/>
    <s v="ADAN TERAN"/>
    <n v="8"/>
    <n v="36"/>
    <d v="1899-12-31T02:00:00"/>
    <s v="adan.teran@ejemplo.com"/>
    <x v="2"/>
    <n v="1081.4183"/>
    <n v="7"/>
    <n v="1163.79"/>
    <n v="5.4825867599182097"/>
    <n v="1219.83"/>
    <s v="AD"/>
    <n v="1"/>
    <n v="1330"/>
    <n v="1157"/>
    <n v="0"/>
    <n v="1157"/>
  </r>
  <r>
    <x v="6"/>
    <s v="KEILA BETANZOS"/>
    <n v="9"/>
    <n v="36"/>
    <d v="1899-12-31T02:00:00"/>
    <s v="keila.betanzos@ejemplo.com"/>
    <x v="2"/>
    <n v="1081.4004"/>
    <n v="7"/>
    <n v="1163.79"/>
    <n v="5.4825867599182097"/>
    <n v="1219.83"/>
    <s v="AD"/>
    <n v="1"/>
    <n v="1330"/>
    <n v="1157"/>
    <n v="0"/>
    <n v="1157"/>
  </r>
  <r>
    <x v="6"/>
    <s v="LUCAS TERAN"/>
    <n v="11"/>
    <n v="36"/>
    <d v="1899-12-31T02:00:00"/>
    <s v="lucas.teran@ejemplo.com"/>
    <x v="1"/>
    <n v="1081.3643999999999"/>
    <n v="10"/>
    <n v="1163.79"/>
    <n v="7.8322667998831603"/>
    <n v="609.91"/>
    <s v="NI"/>
    <n v="1"/>
    <n v="1363"/>
    <n v="1190"/>
    <n v="0.5"/>
    <n v="595"/>
  </r>
  <r>
    <x v="6"/>
    <s v="LEAH TERAN"/>
    <n v="12"/>
    <n v="36"/>
    <d v="1899-12-31T02:00:00"/>
    <s v="leah.teran@ejemplo.com"/>
    <x v="1"/>
    <n v="1081.3462999999999"/>
    <n v="10"/>
    <n v="1163.79"/>
    <n v="7.8322667998831603"/>
    <n v="609.91"/>
    <s v="NI"/>
    <n v="1"/>
    <n v="1362"/>
    <n v="1189"/>
    <n v="0.5"/>
    <n v="594.5"/>
  </r>
  <r>
    <x v="6"/>
    <s v="CESAR ROBERTO GARCIA SALINAS"/>
    <n v="35"/>
    <n v="36"/>
    <d v="1899-12-31T02:00:00"/>
    <s v="cesar.roberto.garcia.salinas@ejemplo.com"/>
    <x v="0"/>
    <n v="1080.8004000000001"/>
    <n v="2.5"/>
    <n v="1163.79"/>
    <n v="1.9580666999707901"/>
    <n v="975.86"/>
    <s v="PE"/>
    <n v="1"/>
    <n v="1281"/>
    <n v="1108"/>
    <n v="0"/>
    <n v="1108"/>
  </r>
  <r>
    <x v="6"/>
    <s v="FABIAN SALINAS MEDINA"/>
    <n v="28"/>
    <n v="36"/>
    <d v="1899-12-31T02:00:00"/>
    <s v="fabian.salinas.medina@ejemplo.com"/>
    <x v="2"/>
    <n v="1080.9263000000001"/>
    <n v="7"/>
    <n v="1163.79"/>
    <n v="5.4825867599182097"/>
    <n v="1219.83"/>
    <s v="AD"/>
    <n v="1"/>
    <n v="1330"/>
    <n v="1157"/>
    <n v="0"/>
    <n v="1157"/>
  </r>
  <r>
    <x v="6"/>
    <s v="YOLANDA MEDINA GALVAN"/>
    <n v="29"/>
    <n v="36"/>
    <d v="1899-12-31T02:00:00"/>
    <s v="yolanda.medina.galvan@ejemplo.com"/>
    <x v="2"/>
    <n v="1080.9083000000001"/>
    <n v="7"/>
    <n v="1163.79"/>
    <n v="5.4825867599182097"/>
    <n v="1219.83"/>
    <s v="AD"/>
    <n v="1"/>
    <n v="1330"/>
    <n v="1157"/>
    <n v="0"/>
    <n v="1157"/>
  </r>
  <r>
    <x v="6"/>
    <s v="SEBASTIAN LOPEZ ORTEGA"/>
    <n v="34"/>
    <n v="36"/>
    <d v="1899-12-31T02:00:00"/>
    <s v="sebastian.lopez.ortega@ejemplo.com"/>
    <x v="2"/>
    <n v="1080.8176000000001"/>
    <n v="7"/>
    <n v="1163.79"/>
    <n v="5.4825867599182097"/>
    <n v="1219.83"/>
    <s v="AD"/>
    <n v="1"/>
    <n v="1329"/>
    <n v="1156"/>
    <n v="0"/>
    <n v="1156"/>
  </r>
  <r>
    <x v="6"/>
    <s v="MARIA DE JESUS LOPEZ TORRES"/>
    <n v="30"/>
    <n v="36"/>
    <d v="1899-12-31T02:00:00"/>
    <s v="maria.de.jesus.lopez.torres@ejemplo.com"/>
    <x v="2"/>
    <n v="1080.8895"/>
    <n v="7"/>
    <n v="1163.79"/>
    <n v="5.4825867599182097"/>
    <n v="1219.83"/>
    <s v="AD"/>
    <n v="1"/>
    <n v="1329"/>
    <n v="1157"/>
    <n v="0"/>
    <n v="1157"/>
  </r>
  <r>
    <x v="6"/>
    <s v="VICTOR ENRIQUE PARTIDA RICARDO"/>
    <n v="22"/>
    <n v="36"/>
    <d v="1899-12-31T02:00:00"/>
    <s v="RICARDOPARTIDA083@GMAIL.COM"/>
    <x v="0"/>
    <n v="1081.0332000000001"/>
    <n v="2.5"/>
    <n v="1163.79"/>
    <n v="1.9580666999707901"/>
    <n v="1142.5"/>
    <s v="AD"/>
    <n v="1"/>
    <n v="1281"/>
    <n v="1108"/>
    <n v="0"/>
    <n v="1108"/>
  </r>
  <r>
    <x v="6"/>
    <s v="DANIEL LOPEZ ANDRADE"/>
    <n v="31"/>
    <n v="36"/>
    <d v="1899-12-31T02:00:00"/>
    <s v="daniel.lopez.andrade@ejemplo.com"/>
    <x v="2"/>
    <n v="1080.8716999999999"/>
    <n v="7"/>
    <n v="1163.79"/>
    <n v="5.4825867599182097"/>
    <n v="1219.83"/>
    <s v="AD"/>
    <n v="1"/>
    <n v="1329"/>
    <n v="1157"/>
    <n v="0"/>
    <n v="1157"/>
  </r>
  <r>
    <x v="6"/>
    <s v="ARMANDO SANCHEZ NAVA"/>
    <n v="3"/>
    <n v="36"/>
    <d v="1899-12-31T02:00:00"/>
    <s v="ALANVIVAS@GMAIL.COM"/>
    <x v="3"/>
    <n v="1081.5208"/>
    <n v="0"/>
    <n v="1163.79"/>
    <n v="0"/>
    <n v="1158.8800000000001"/>
    <s v="AD"/>
    <n v="1"/>
    <n v="1255"/>
    <n v="1082"/>
    <n v="0"/>
    <n v="1082"/>
  </r>
  <r>
    <x v="6"/>
    <s v="ARMANDO SANCHEZ NAVA"/>
    <n v="3"/>
    <n v="36"/>
    <d v="1899-12-31T02:00:00"/>
    <s v="ALANVIVAS@GMAIL.COM"/>
    <x v="3"/>
    <n v="1081.5208"/>
    <n v="0"/>
    <n v="1163.79"/>
    <n v="0"/>
    <n v="1158.8800000000001"/>
    <s v="AD"/>
    <n v="1"/>
    <n v="1255"/>
    <n v="1082"/>
    <n v="0"/>
    <n v="1082"/>
  </r>
  <r>
    <x v="6"/>
    <s v="CARLOS SANCHEZ NAVA"/>
    <n v="2"/>
    <n v="36"/>
    <d v="1899-12-31T02:00:00"/>
    <s v="ALANVIVAS@GMAIL.COM"/>
    <x v="3"/>
    <n v="1081.5387000000001"/>
    <n v="0"/>
    <n v="1163.79"/>
    <n v="0"/>
    <n v="1158.8800000000001"/>
    <s v="AD"/>
    <n v="1"/>
    <n v="1255"/>
    <n v="1082"/>
    <n v="0"/>
    <n v="1082"/>
  </r>
  <r>
    <x v="6"/>
    <s v="CARLOS SANCHEZ NAVA"/>
    <n v="2"/>
    <n v="36"/>
    <d v="1899-12-31T02:00:00"/>
    <s v="ALANVIVAS@GMAIL.COM"/>
    <x v="3"/>
    <n v="1081.5387000000001"/>
    <n v="0"/>
    <n v="1163.79"/>
    <n v="0"/>
    <n v="1158.8800000000001"/>
    <s v="AD"/>
    <n v="1"/>
    <n v="1255"/>
    <n v="1082"/>
    <n v="0"/>
    <n v="1082"/>
  </r>
  <r>
    <x v="6"/>
    <s v="DIANA NATALIA HERRERA GÃ“MEZ"/>
    <n v="26"/>
    <n v="36"/>
    <d v="1899-12-31T02:00:00"/>
    <s v="DIANAHERRERA@CONSORCIO100.COM"/>
    <x v="3"/>
    <n v="1080.9740999999999"/>
    <n v="0"/>
    <n v="1163.79"/>
    <n v="0"/>
    <n v="1158.8800000000001"/>
    <s v="AD"/>
    <n v="1"/>
    <n v="1254"/>
    <n v="1081"/>
    <n v="0"/>
    <n v="1081"/>
  </r>
  <r>
    <x v="6"/>
    <s v="HUGO RODRÃGUEZ"/>
    <n v="33"/>
    <n v="36"/>
    <d v="1899-12-31T02:00:00"/>
    <s v="SAILERW9@HOTMAIL.COM"/>
    <x v="3"/>
    <n v="1080.8480999999999"/>
    <n v="0"/>
    <n v="1163.79"/>
    <n v="0"/>
    <n v="1158.8800000000001"/>
    <s v="AD"/>
    <n v="1"/>
    <n v="1254"/>
    <n v="1081"/>
    <n v="0"/>
    <n v="1081"/>
  </r>
  <r>
    <x v="6"/>
    <s v="ANDRES RUELAS"/>
    <n v="17"/>
    <n v="36"/>
    <d v="1899-12-31T06:00:00"/>
    <s v="andres.ruelas@ejemplo.com"/>
    <x v="5"/>
    <n v="1081.2521999999999"/>
    <n v="8.5"/>
    <n v="1163.79"/>
    <n v="6.6574267799006801"/>
    <n v="1219.83"/>
    <s v="AD"/>
    <n v="1"/>
    <n v="1346"/>
    <n v="1173"/>
    <n v="0"/>
    <n v="1173"/>
  </r>
  <r>
    <x v="6"/>
    <s v="MILDA ALVARES"/>
    <n v="33"/>
    <n v="36"/>
    <d v="1899-12-31T06:00:00"/>
    <s v="milda.alvares@ejemplo.com"/>
    <x v="5"/>
    <n v="1080.8322000000001"/>
    <n v="8.5"/>
    <n v="1163.79"/>
    <n v="6.6574267799006801"/>
    <n v="1219.83"/>
    <s v="AD"/>
    <n v="1"/>
    <n v="1346"/>
    <n v="1173"/>
    <n v="0"/>
    <n v="1173"/>
  </r>
  <r>
    <x v="6"/>
    <s v="AMMISADDAY ROMERO"/>
    <n v="12"/>
    <n v="36"/>
    <d v="1899-12-31T11:00:00"/>
    <s v="ammisadday.romero@ejemplo.com"/>
    <x v="3"/>
    <n v="1081.3507999999999"/>
    <n v="0"/>
    <n v="1163.79"/>
    <n v="0"/>
    <n v="1158.8800000000001"/>
    <s v="AD"/>
    <n v="1"/>
    <n v="1254"/>
    <n v="1081"/>
    <n v="0"/>
    <n v="1081"/>
  </r>
  <r>
    <x v="6"/>
    <s v="HUMBERTO HERNÃNDEZ"/>
    <n v="11"/>
    <n v="36"/>
    <d v="1899-12-31T11:00:00"/>
    <s v="humberto.hernÃ¡ndez@ejemplo.com"/>
    <x v="3"/>
    <n v="1081.3687"/>
    <n v="0"/>
    <n v="1163.79"/>
    <n v="0"/>
    <n v="1158.8800000000001"/>
    <s v="AD"/>
    <n v="1"/>
    <n v="1254"/>
    <n v="1081"/>
    <n v="0"/>
    <n v="1081"/>
  </r>
  <r>
    <x v="6"/>
    <s v="ESTHER ESTRADA SEVERIANO"/>
    <n v="7"/>
    <n v="36"/>
    <d v="1899-12-31T06:00:00"/>
    <s v="esther.estrada.severiano@ejemplo.com"/>
    <x v="5"/>
    <n v="1081.4304"/>
    <n v="8.5"/>
    <n v="1163.79"/>
    <n v="6.6574267799006801"/>
    <n v="1219.83"/>
    <s v="AD"/>
    <n v="1"/>
    <n v="1346"/>
    <n v="1173"/>
    <n v="0"/>
    <n v="1173"/>
  </r>
  <r>
    <x v="6"/>
    <s v="JESUS GALANEA"/>
    <n v="18"/>
    <n v="36"/>
    <d v="1899-12-31T06:00:00"/>
    <s v="jesus.galanea@ejemplo.com"/>
    <x v="5"/>
    <n v="1081.2327"/>
    <n v="8.5"/>
    <n v="1163.79"/>
    <n v="6.6574267799006801"/>
    <n v="1219.83"/>
    <s v="AD"/>
    <n v="1"/>
    <n v="1346"/>
    <n v="1173"/>
    <n v="0"/>
    <n v="1173"/>
  </r>
  <r>
    <x v="6"/>
    <s v="ELIZABETH MARGARITA VELAZCO BARAJAS"/>
    <n v="26"/>
    <n v="36"/>
    <d v="1899-12-31T11:00:00"/>
    <s v="ROGELIO.ACQUATIX@GMAIL.COM"/>
    <x v="3"/>
    <n v="1080.9640999999999"/>
    <n v="0"/>
    <n v="1163.79"/>
    <n v="0"/>
    <n v="1158.8800000000001"/>
    <s v="AD"/>
    <n v="1"/>
    <n v="1254"/>
    <n v="1081"/>
    <n v="0"/>
    <n v="1081"/>
  </r>
  <r>
    <x v="6"/>
    <s v="MARIA JOSE LOPEZ ULLOA"/>
    <n v="28"/>
    <n v="36"/>
    <d v="1899-12-31T11:00:00"/>
    <s v="ROGELIO.ACQUATIX@GMAIL.COM"/>
    <x v="3"/>
    <n v="1080.9282000000001"/>
    <n v="0"/>
    <n v="1163.79"/>
    <n v="0"/>
    <n v="1158.8800000000001"/>
    <s v="AD"/>
    <n v="1"/>
    <n v="1254"/>
    <n v="1081"/>
    <n v="0"/>
    <n v="1081"/>
  </r>
  <r>
    <x v="6"/>
    <s v="ROGELIO MORALES DORANTES"/>
    <n v="25"/>
    <n v="36"/>
    <d v="1899-12-31T11:00:00"/>
    <s v="ROGELIO.ACQUATIX@GMAIL.COM"/>
    <x v="3"/>
    <n v="1080.9821999999999"/>
    <n v="0"/>
    <n v="1163.79"/>
    <n v="0"/>
    <n v="1158.8800000000001"/>
    <s v="AD"/>
    <n v="1"/>
    <n v="1254"/>
    <n v="1081"/>
    <n v="0"/>
    <n v="1081"/>
  </r>
  <r>
    <x v="6"/>
    <s v="ROGELIO MORALES VELASCO"/>
    <n v="29"/>
    <n v="36"/>
    <d v="1899-12-31T11:00:00"/>
    <s v="ROGELIO.ACQUATIX@GMAIL.COM"/>
    <x v="3"/>
    <n v="1080.9100000000001"/>
    <n v="0"/>
    <n v="1163.79"/>
    <n v="0"/>
    <n v="1158.8800000000001"/>
    <s v="AD"/>
    <n v="1"/>
    <n v="1254"/>
    <n v="1081"/>
    <n v="0"/>
    <n v="1081"/>
  </r>
  <r>
    <x v="6"/>
    <s v="KARINA SÃNCHEZ TREJO"/>
    <n v="7"/>
    <n v="36"/>
    <d v="1899-12-31T11:00:00"/>
    <s v="STREJOKARINA69@GMAIL.COM"/>
    <x v="3"/>
    <n v="1081.4373000000001"/>
    <n v="0"/>
    <n v="1163.79"/>
    <n v="0"/>
    <n v="1142.5"/>
    <s v="AD"/>
    <n v="1"/>
    <n v="1254"/>
    <n v="1081"/>
    <n v="0"/>
    <n v="1081"/>
  </r>
  <r>
    <x v="6"/>
    <s v="RUBEN ROMO"/>
    <n v="24"/>
    <n v="36"/>
    <d v="1899-12-31T11:00:00"/>
    <s v="ruben.romo@ejemplo.com"/>
    <x v="5"/>
    <n v="1080.9938"/>
    <n v="8.5"/>
    <n v="1163.79"/>
    <n v="6.6574267799006801"/>
    <n v="1219.83"/>
    <s v="AD"/>
    <n v="1"/>
    <n v="1346"/>
    <n v="1173"/>
    <n v="0"/>
    <n v="1173"/>
  </r>
  <r>
    <x v="6"/>
    <s v="MANUEL ESPINOSA"/>
    <n v="7"/>
    <n v="36"/>
    <d v="1899-12-31T06:00:00"/>
    <s v="ESPINOSA.CHAVEZ.MANUEL@GMAIL.COM"/>
    <x v="0"/>
    <n v="1081.4829"/>
    <n v="2.5"/>
    <n v="1163.79"/>
    <n v="1.9580666999707901"/>
    <n v="1142.5"/>
    <s v="AD"/>
    <n v="1"/>
    <n v="1282"/>
    <n v="1109"/>
    <n v="0"/>
    <n v="1109"/>
  </r>
  <r>
    <x v="6"/>
    <s v="MANUEL ESPINOSA"/>
    <n v="10"/>
    <n v="36"/>
    <d v="1899-12-31T02:00:00"/>
    <s v="ESPINOSA.CHAVEZ.MANUEL@GMAIL.COM"/>
    <x v="0"/>
    <n v="1081.4313"/>
    <n v="2.5"/>
    <n v="1163.79"/>
    <n v="1.9580666999707901"/>
    <n v="1142.5"/>
    <s v="AD"/>
    <n v="1"/>
    <n v="1281"/>
    <n v="1108"/>
    <n v="0"/>
    <n v="1108"/>
  </r>
  <r>
    <x v="6"/>
    <s v="ALFREDO OLIVARES"/>
    <n v="4"/>
    <n v="36"/>
    <d v="1899-12-31T23:59:00"/>
    <s v="KARENLENACANCINO@GMAIL.COM"/>
    <x v="2"/>
    <n v="1081.1587"/>
    <n v="7"/>
    <n v="1163.79"/>
    <n v="5.4825867599182097"/>
    <n v="1097.8399999999999"/>
    <s v="AD"/>
    <n v="1"/>
    <n v="1330"/>
    <n v="1157"/>
    <n v="0"/>
    <n v="1157"/>
  </r>
  <r>
    <x v="6"/>
    <s v="MARISOL PASALAGUA PALACIOS"/>
    <n v="18"/>
    <n v="36"/>
    <d v="1899-12-31T11:00:00"/>
    <s v="INFO@CAAMSE.COM.MX"/>
    <x v="0"/>
    <n v="1081.2954999999999"/>
    <n v="2.5"/>
    <n v="1163.79"/>
    <n v="1.9580666999707901"/>
    <n v="1158.8800000000001"/>
    <s v="AD"/>
    <n v="1"/>
    <n v="1281"/>
    <n v="1108"/>
    <n v="0"/>
    <n v="1108"/>
  </r>
  <r>
    <x v="6"/>
    <s v="IRVING PAUL ROMERO"/>
    <n v="7"/>
    <n v="36"/>
    <d v="1899-12-31T23:59:00"/>
    <s v="KARENLENACANCINO@GMAIL.COM"/>
    <x v="2"/>
    <n v="1081.2374"/>
    <n v="7"/>
    <n v="1163.79"/>
    <n v="5.4825867599182097"/>
    <n v="1097.8399999999999"/>
    <s v="AD"/>
    <n v="1"/>
    <n v="1330"/>
    <n v="1157"/>
    <n v="0"/>
    <n v="1157"/>
  </r>
  <r>
    <x v="6"/>
    <s v="ALEJANDRO JIMENEZ"/>
    <n v="13"/>
    <n v="36"/>
    <d v="1899-12-31T11:00:00"/>
    <s v="alejandro.jimenez@ejemplo.com"/>
    <x v="2"/>
    <n v="1081.5173"/>
    <n v="7"/>
    <n v="1163.79"/>
    <n v="5.4825867599182097"/>
    <n v="1219.83"/>
    <s v="AD"/>
    <n v="1"/>
    <n v="1330"/>
    <n v="1157"/>
    <n v="0"/>
    <n v="1157"/>
  </r>
  <r>
    <x v="6"/>
    <s v="MARTHA ELENA GÃ“MEZ REYNOSO"/>
    <n v="2"/>
    <n v="36"/>
    <d v="1899-12-31T23:30:00"/>
    <s v="GOREYMAREL@YAHOO.COM.MX"/>
    <x v="2"/>
    <n v="1081.4164000000001"/>
    <n v="7"/>
    <n v="1163.79"/>
    <n v="5.4825867599182097"/>
    <n v="1097.8399999999999"/>
    <s v="AD"/>
    <n v="1"/>
    <n v="1330"/>
    <n v="1157"/>
    <n v="0"/>
    <n v="1157"/>
  </r>
  <r>
    <x v="6"/>
    <s v="MARTHA ELENA GÃ“MEZ REYNOSO"/>
    <n v="2"/>
    <n v="36"/>
    <d v="1899-12-31T23:30:00"/>
    <s v="GOREYMAREL@YAHOO.COM.MX"/>
    <x v="2"/>
    <n v="1081.4164000000001"/>
    <n v="7"/>
    <n v="1163.79"/>
    <n v="5.4825867599182097"/>
    <n v="1097.8399999999999"/>
    <s v="AD"/>
    <n v="1"/>
    <n v="1330"/>
    <n v="1157"/>
    <n v="0"/>
    <n v="1157"/>
  </r>
  <r>
    <x v="6"/>
    <s v="OLIVIA GÃ“MEZ REYNOSO"/>
    <n v="3"/>
    <n v="36"/>
    <d v="1899-12-31T23:30:00"/>
    <s v="GOREYMAREL@YAHOO.COM.MX"/>
    <x v="2"/>
    <n v="1081.3986"/>
    <n v="7"/>
    <n v="1163.79"/>
    <n v="5.4825867599182097"/>
    <n v="1097.8399999999999"/>
    <s v="AD"/>
    <n v="1"/>
    <n v="1330"/>
    <n v="1157"/>
    <n v="0"/>
    <n v="1157"/>
  </r>
  <r>
    <x v="6"/>
    <s v="OLIVIA GÃ“MEZ REYNOSO"/>
    <n v="3"/>
    <n v="36"/>
    <d v="1899-12-31T23:30:00"/>
    <s v="GOREYMAREL@YAHOO.COM.MX"/>
    <x v="2"/>
    <n v="1081.3986"/>
    <n v="7"/>
    <n v="1163.79"/>
    <n v="5.4825867599182097"/>
    <n v="1097.8399999999999"/>
    <s v="AD"/>
    <n v="1"/>
    <n v="1330"/>
    <n v="1157"/>
    <n v="0"/>
    <n v="1157"/>
  </r>
  <r>
    <x v="6"/>
    <s v="MARIA GUADALUPE LOIZAGA CORCUERA"/>
    <n v="16"/>
    <n v="36"/>
    <d v="1899-12-31T11:00:00"/>
    <s v="maria.guadalupe.loizaga.corcuera@ejemplo.com"/>
    <x v="4"/>
    <n v="1081.2616"/>
    <n v="5"/>
    <n v="1163.79"/>
    <n v="3.9161333999415802"/>
    <n v="601.29"/>
    <s v="IN"/>
    <n v="1"/>
    <n v="1308"/>
    <n v="1135"/>
    <n v="0.5"/>
    <n v="567.5"/>
  </r>
  <r>
    <x v="6"/>
    <s v="JUAN CARLOS PEREZ"/>
    <n v="24"/>
    <n v="36"/>
    <d v="1899-12-31T23:59:00"/>
    <s v="juan.carlos.perez@ejemplo.com"/>
    <x v="3"/>
    <n v="1080.77"/>
    <n v="0"/>
    <n v="1163.79"/>
    <n v="0"/>
    <n v="1158.8800000000001"/>
    <s v="AD"/>
    <n v="1"/>
    <n v="1254"/>
    <n v="1081"/>
    <n v="0"/>
    <n v="1081"/>
  </r>
  <r>
    <x v="6"/>
    <s v="JOSE EDUARDO RIVERA BELECHE"/>
    <n v="18"/>
    <n v="36"/>
    <d v="1899-12-31T23:59:00"/>
    <s v="jose.eduardo.rivera.beleche@ejemplo.com"/>
    <x v="5"/>
    <n v="1080.9979000000001"/>
    <n v="8.5"/>
    <n v="1163.79"/>
    <n v="6.6574267799006801"/>
    <n v="1219.83"/>
    <s v="AD"/>
    <n v="1"/>
    <n v="1346"/>
    <n v="1173"/>
    <n v="0"/>
    <n v="1173"/>
  </r>
  <r>
    <x v="6"/>
    <s v="JORGE ALAIN SÃNCHEZ SANDOVAL"/>
    <n v="10"/>
    <n v="36"/>
    <d v="1899-12-31T11:00:00"/>
    <s v="JORGE.SANCHEZ@PELICULASUTILES.COM"/>
    <x v="0"/>
    <n v="1081.6356000000001"/>
    <n v="2.5"/>
    <n v="1163.79"/>
    <n v="1.9580666999707901"/>
    <n v="1099.1400000000001"/>
    <s v="AD"/>
    <n v="1"/>
    <n v="1282"/>
    <n v="1109"/>
    <n v="0"/>
    <n v="1109"/>
  </r>
  <r>
    <x v="6"/>
    <s v="ALEJANDRO ALAVEZ"/>
    <n v="6"/>
    <n v="36"/>
    <d v="1899-12-31T23:59:00"/>
    <s v="AALAVEZ25@GMAIL.COM"/>
    <x v="2"/>
    <n v="1081.2260000000001"/>
    <n v="7"/>
    <n v="1163.79"/>
    <n v="5.4825867599182097"/>
    <n v="1158.8800000000001"/>
    <s v="AD"/>
    <n v="1"/>
    <n v="1330"/>
    <n v="1157"/>
    <n v="0"/>
    <n v="1157"/>
  </r>
  <r>
    <x v="6"/>
    <s v="JORGE QUEZADA"/>
    <n v="10"/>
    <n v="36"/>
    <d v="1899-12-31T23:30:00"/>
    <s v="jorge.quezada@ejemplo.com"/>
    <x v="4"/>
    <n v="1081.1981000000001"/>
    <n v="5"/>
    <n v="1163.79"/>
    <n v="3.9161333999415802"/>
    <n v="609.91"/>
    <s v="IN"/>
    <n v="1"/>
    <n v="1308"/>
    <n v="1135"/>
    <n v="0.5"/>
    <n v="567.5"/>
  </r>
  <r>
    <x v="6"/>
    <s v="DULCE MARIA ITZEB CHACON FREGOSO"/>
    <n v="27"/>
    <n v="36"/>
    <d v="1899-12-31T11:00:00"/>
    <s v="DULCINEA.CHACON@GMAIL.COM"/>
    <x v="0"/>
    <n v="1080.9698000000001"/>
    <n v="2.5"/>
    <n v="1163.79"/>
    <n v="1.9580666999707901"/>
    <n v="1158.8800000000001"/>
    <s v="AD"/>
    <n v="1"/>
    <n v="1281"/>
    <n v="1108"/>
    <n v="0"/>
    <n v="1108"/>
  </r>
  <r>
    <x v="6"/>
    <s v="ARMANDO CARMONA GONZÃLEZ"/>
    <n v="18"/>
    <n v="36"/>
    <d v="1899-12-31T02:00:00"/>
    <s v="ARMANDOMPNL@GMAIL.COM"/>
    <x v="4"/>
    <n v="1081.2119"/>
    <n v="5"/>
    <n v="1163.79"/>
    <n v="3.9161333999415802"/>
    <n v="609.91"/>
    <s v="IN"/>
    <n v="1"/>
    <n v="1308"/>
    <n v="1135"/>
    <n v="0.5"/>
    <n v="567.5"/>
  </r>
  <r>
    <x v="6"/>
    <s v="JAIME MEZA"/>
    <n v="32"/>
    <n v="36"/>
    <d v="1899-12-31T06:00:00"/>
    <s v="jaime.meza@ejemplo.com"/>
    <x v="1"/>
    <n v="1080.8988999999999"/>
    <n v="10"/>
    <n v="1163.79"/>
    <n v="7.8322667998831603"/>
    <n v="609.91"/>
    <s v="NI"/>
    <n v="1"/>
    <n v="1362"/>
    <n v="1189"/>
    <n v="0.5"/>
    <n v="594.5"/>
  </r>
  <r>
    <x v="6"/>
    <s v="ALBERTO MARTINEZ CORTES"/>
    <n v="14"/>
    <n v="36"/>
    <d v="1899-12-31T11:00:00"/>
    <s v="SFLORES.SC@GMAIL.COM"/>
    <x v="0"/>
    <n v="1081.3651"/>
    <n v="2.5"/>
    <n v="1163.79"/>
    <n v="1.9580666999707901"/>
    <n v="1158.8800000000001"/>
    <s v="AD"/>
    <n v="1"/>
    <n v="1281"/>
    <n v="1108"/>
    <n v="0"/>
    <n v="1108"/>
  </r>
  <r>
    <x v="6"/>
    <s v="MOISES CASTILLO APARICIO"/>
    <n v="3"/>
    <n v="36"/>
    <d v="1899-12-31T23:59:00"/>
    <s v="moises.castillo.aparicio@ejemplo.com"/>
    <x v="2"/>
    <n v="1081.3231000000001"/>
    <n v="7"/>
    <n v="1163.79"/>
    <n v="5.4825867599182097"/>
    <n v="1082.33"/>
    <s v="AD"/>
    <n v="1"/>
    <n v="1330"/>
    <n v="1157"/>
    <n v="0"/>
    <n v="1157"/>
  </r>
  <r>
    <x v="6"/>
    <s v="MARIO CAMPISTRANO MEJIA"/>
    <n v="1"/>
    <n v="36"/>
    <d v="1899-12-31T11:00:00"/>
    <s v="MIRIAMCAMPIS81@GMAIL.COM"/>
    <x v="0"/>
    <n v="1081.7108000000001"/>
    <n v="2.5"/>
    <n v="1163.79"/>
    <n v="1.9580666999707901"/>
    <n v="1158.8800000000001"/>
    <s v="AD"/>
    <n v="1"/>
    <n v="1282"/>
    <n v="1109"/>
    <n v="0"/>
    <n v="1109"/>
  </r>
  <r>
    <x v="6"/>
    <s v="BERNARDO PEREZ"/>
    <n v="32"/>
    <n v="36"/>
    <d v="1899-12-31T23:59:00"/>
    <s v="BERNARDOMIGUEL360@GMAIL.COM"/>
    <x v="0"/>
    <n v="1080.6524999999999"/>
    <n v="2.5"/>
    <n v="1163.79"/>
    <n v="1.9580666999707901"/>
    <n v="1158.8800000000001"/>
    <s v="AD"/>
    <n v="1"/>
    <n v="1281"/>
    <n v="1108"/>
    <n v="0"/>
    <n v="1108"/>
  </r>
  <r>
    <x v="6"/>
    <s v="ISSAC ISRAEL ARMENDÃRIZ"/>
    <n v="9"/>
    <n v="36"/>
    <d v="1899-12-31T02:00:00"/>
    <s v="issac.israel.armendÃ¡riz@ejemplo.com"/>
    <x v="0"/>
    <n v="1081.4576"/>
    <n v="2.5"/>
    <n v="1163.79"/>
    <n v="1.9580666999707901"/>
    <n v="1158.8800000000001"/>
    <s v="AD"/>
    <n v="1"/>
    <n v="1282"/>
    <n v="1108"/>
    <n v="0"/>
    <n v="1108"/>
  </r>
  <r>
    <x v="6"/>
    <s v="JOSE LUIS BRACAMONTES"/>
    <n v="8"/>
    <n v="36"/>
    <d v="1899-12-31T02:00:00"/>
    <s v="jose.luis.bracamontes@ejemplo.com"/>
    <x v="0"/>
    <n v="1081.4757"/>
    <n v="2.5"/>
    <n v="1163.79"/>
    <n v="1.9580666999707901"/>
    <n v="1158.8800000000001"/>
    <s v="AD"/>
    <n v="1"/>
    <n v="1282"/>
    <n v="1109"/>
    <n v="0"/>
    <n v="1109"/>
  </r>
  <r>
    <x v="6"/>
    <s v="ELVIRA GUTIÃ‰RREZ BUSTAMANTE"/>
    <n v="32"/>
    <n v="36"/>
    <d v="1899-12-31T23:59:00"/>
    <s v="COPETOTE04@HOTMAIL.COM"/>
    <x v="2"/>
    <n v="1080.7463"/>
    <n v="7"/>
    <n v="1163.79"/>
    <n v="5.4825867599182097"/>
    <n v="609.91"/>
    <s v="IN"/>
    <n v="1"/>
    <n v="1329"/>
    <n v="1156"/>
    <n v="0.5"/>
    <n v="578"/>
  </r>
  <r>
    <x v="6"/>
    <s v="JOSÃ‰ DOMINGO HERNÃNDEZ ACOSTA"/>
    <n v="16"/>
    <n v="36"/>
    <d v="1899-12-31T23:59:00"/>
    <s v="JSHERNANDEZ991@GMAIL.COM"/>
    <x v="2"/>
    <n v="1080.3624"/>
    <n v="7"/>
    <n v="1163.79"/>
    <n v="5.4825867599182097"/>
    <n v="1219.83"/>
    <s v="AD"/>
    <n v="1"/>
    <n v="1329"/>
    <n v="1156"/>
    <n v="0"/>
    <n v="1156"/>
  </r>
  <r>
    <x v="6"/>
    <s v="JOSÃ‰ ANTONIO RULFO ZARAGOZA"/>
    <n v="31"/>
    <n v="36"/>
    <d v="1899-12-31T23:59:00"/>
    <s v="JOSE.RULFO@BROXEL.COM"/>
    <x v="3"/>
    <n v="1080.6410000000001"/>
    <n v="0"/>
    <n v="1163.79"/>
    <n v="0"/>
    <n v="1175.17"/>
    <s v="AD"/>
    <n v="1"/>
    <n v="1254"/>
    <n v="1081"/>
    <n v="0"/>
    <n v="1081"/>
  </r>
  <r>
    <x v="6"/>
    <s v="JORGE NORBERTO HERRERA"/>
    <n v="5"/>
    <n v="36"/>
    <d v="1899-12-31T23:59:00"/>
    <s v="jorge.norberto.herrera@ejemplo.com"/>
    <x v="1"/>
    <n v="1081.2291"/>
    <n v="10"/>
    <n v="1163.79"/>
    <n v="7.8322667998831603"/>
    <n v="618.53"/>
    <s v="NI"/>
    <n v="1"/>
    <n v="1362"/>
    <n v="1189"/>
    <n v="0.5"/>
    <n v="594.5"/>
  </r>
  <r>
    <x v="6"/>
    <s v="HANAEL AGUILAR"/>
    <n v="26"/>
    <n v="36"/>
    <d v="1899-12-31T23:59:00"/>
    <s v="OJDCRZ_22@HOTMAIL.COM"/>
    <x v="3"/>
    <n v="1080.73"/>
    <n v="0"/>
    <n v="1163.79"/>
    <n v="0"/>
    <n v="1175.17"/>
    <s v="AD"/>
    <n v="1"/>
    <n v="1254"/>
    <n v="1081"/>
    <n v="0"/>
    <n v="1081"/>
  </r>
  <r>
    <x v="6"/>
    <s v="RAYMUNDO GONZÃLEZ LÃ“PEZ"/>
    <n v="25"/>
    <n v="36"/>
    <d v="1899-12-31T23:59:00"/>
    <s v="CREDITOYCOBRANZA@GRUPOEDM.COM.MX"/>
    <x v="3"/>
    <n v="1080.7474"/>
    <n v="0"/>
    <n v="1163.79"/>
    <n v="0"/>
    <n v="1175.17"/>
    <s v="AD"/>
    <n v="1"/>
    <n v="1254"/>
    <n v="1081"/>
    <n v="0"/>
    <n v="1081"/>
  </r>
  <r>
    <x v="6"/>
    <s v="ERIC JIRAM GABRIEL CRESPO"/>
    <n v="3"/>
    <n v="36"/>
    <d v="1899-12-31T06:00:00"/>
    <s v="ERICJIRAM@GMAIL.COM"/>
    <x v="2"/>
    <n v="1081.5613000000001"/>
    <n v="7"/>
    <n v="1163.79"/>
    <n v="5.4825867599182097"/>
    <n v="1175.17"/>
    <s v="AD"/>
    <n v="1"/>
    <n v="1330"/>
    <n v="1157"/>
    <n v="0"/>
    <n v="1157"/>
  </r>
  <r>
    <x v="6"/>
    <s v="SADOT LARA GONZALEZ"/>
    <n v="1"/>
    <n v="36"/>
    <d v="1899-12-31T23:10:00"/>
    <s v="SADOTLARA@GMAIL.COM"/>
    <x v="3"/>
    <n v="1081.3105"/>
    <n v="0"/>
    <n v="1163.79"/>
    <n v="0"/>
    <n v="1175.17"/>
    <s v="AD"/>
    <n v="1"/>
    <n v="1254"/>
    <n v="1081"/>
    <n v="0"/>
    <n v="1081"/>
  </r>
  <r>
    <x v="6"/>
    <s v="NICOLAS VARGAS VERGARA"/>
    <n v="19"/>
    <n v="36"/>
    <d v="1899-12-31T11:00:00"/>
    <s v="NICOLASVARGASVERGARA@GMAIL.COM"/>
    <x v="2"/>
    <n v="1081.2695000000001"/>
    <n v="7"/>
    <n v="1163.79"/>
    <n v="5.4825867599182097"/>
    <n v="1175.17"/>
    <s v="AD"/>
    <n v="1"/>
    <n v="1330"/>
    <n v="1157"/>
    <n v="0"/>
    <n v="1157"/>
  </r>
  <r>
    <x v="6"/>
    <s v="NICOLAS VARGAS VERGARA"/>
    <n v="19"/>
    <n v="36"/>
    <d v="1899-12-31T11:00:00"/>
    <s v="PALOMAFAC8@GMAIL.COM"/>
    <x v="2"/>
    <n v="1081.2695000000001"/>
    <n v="7"/>
    <n v="1163.79"/>
    <n v="5.4825867599182097"/>
    <n v="1175.17"/>
    <s v="AD"/>
    <n v="1"/>
    <n v="1330"/>
    <n v="1157"/>
    <n v="0"/>
    <n v="1157"/>
  </r>
  <r>
    <x v="6"/>
    <s v="PALOMA AYALA CALDERÃ“N"/>
    <n v="20"/>
    <n v="36"/>
    <d v="1899-12-31T11:00:00"/>
    <s v="NICOLASVARGASVERGARA@GMAIL.COM"/>
    <x v="2"/>
    <n v="1081.2516000000001"/>
    <n v="7"/>
    <n v="1163.79"/>
    <n v="5.4825867599182097"/>
    <n v="1175.17"/>
    <s v="AD"/>
    <n v="1"/>
    <n v="1330"/>
    <n v="1157"/>
    <n v="0"/>
    <n v="1157"/>
  </r>
  <r>
    <x v="6"/>
    <s v="PALOMA AYALA CALDERÃ“N"/>
    <n v="20"/>
    <n v="36"/>
    <d v="1899-12-31T11:00:00"/>
    <s v="PALOMAFAC8@GMAIL.COM"/>
    <x v="2"/>
    <n v="1081.2516000000001"/>
    <n v="7"/>
    <n v="1163.79"/>
    <n v="5.4825867599182097"/>
    <n v="1175.17"/>
    <s v="AD"/>
    <n v="1"/>
    <n v="1330"/>
    <n v="1157"/>
    <n v="0"/>
    <n v="1157"/>
  </r>
  <r>
    <x v="6"/>
    <s v="SAMARA LUJAN CHOY"/>
    <n v="30"/>
    <n v="36"/>
    <d v="1899-12-31T23:59:00"/>
    <s v="CHOY_THRU@HOTMAIL.COM"/>
    <x v="0"/>
    <n v="1080.7125000000001"/>
    <n v="2.5"/>
    <n v="1163.79"/>
    <n v="1.9580666999707901"/>
    <n v="1175.17"/>
    <s v="AD"/>
    <n v="1"/>
    <n v="1281"/>
    <n v="1108"/>
    <n v="0"/>
    <n v="1108"/>
  </r>
  <r>
    <x v="6"/>
    <s v="HELIODORO MAGAÃ‘A ALVAREZ"/>
    <n v="4"/>
    <n v="36"/>
    <d v="1899-12-31T23:10:00"/>
    <s v="heliodoro.magaÃ±a.alvarez@ejemplo.com"/>
    <x v="1"/>
    <n v="1081.1270999999999"/>
    <n v="10"/>
    <n v="1163.79"/>
    <n v="7.8322667998831603"/>
    <n v="618.53"/>
    <s v="NI"/>
    <n v="1"/>
    <n v="1362"/>
    <n v="1189"/>
    <n v="0.5"/>
    <n v="594.5"/>
  </r>
  <r>
    <x v="6"/>
    <s v="ARMANDO TLACAELEL LÃ“PEZ CHÃVEZ"/>
    <n v="9"/>
    <n v="36"/>
    <d v="1899-12-31T06:00:00"/>
    <s v="MA09GAMBORINO@GMAIL.COM"/>
    <x v="0"/>
    <n v="1081.4518"/>
    <n v="2.5"/>
    <n v="1163.79"/>
    <n v="1.9580666999707901"/>
    <n v="1175.17"/>
    <s v="AD"/>
    <n v="1"/>
    <n v="1282"/>
    <n v="1108"/>
    <n v="0"/>
    <n v="1108"/>
  </r>
  <r>
    <x v="6"/>
    <s v="ARMANDO TLACAELEL LÃ“PEZ CHÃVEZ"/>
    <n v="9"/>
    <n v="36"/>
    <d v="1899-12-31T06:00:00"/>
    <s v="MA09GAMBORINO@GMAIL.COM"/>
    <x v="0"/>
    <n v="1081.4518"/>
    <n v="2.5"/>
    <n v="1163.79"/>
    <n v="1.9580666999707901"/>
    <n v="1175.17"/>
    <s v="AD"/>
    <n v="1"/>
    <n v="1282"/>
    <n v="1108"/>
    <n v="0"/>
    <n v="1108"/>
  </r>
  <r>
    <x v="6"/>
    <s v="MIGUEL ANGEL GAMBORINO RAMIREZ"/>
    <n v="8"/>
    <n v="36"/>
    <d v="1899-12-31T06:00:00"/>
    <s v="MA09GAMBORINO@GMAIL.COM"/>
    <x v="0"/>
    <n v="1081.4697000000001"/>
    <n v="2.5"/>
    <n v="1163.79"/>
    <n v="1.9580666999707901"/>
    <n v="1175.17"/>
    <s v="AD"/>
    <n v="1"/>
    <n v="1282"/>
    <n v="1109"/>
    <n v="0"/>
    <n v="1109"/>
  </r>
  <r>
    <x v="6"/>
    <s v="MIGUEL ANGEL GAMBORINO RAMIREZ"/>
    <n v="8"/>
    <n v="36"/>
    <d v="1899-12-31T06:00:00"/>
    <s v="MA09GAMBORINO@GMAIL.COM"/>
    <x v="0"/>
    <n v="1081.4697000000001"/>
    <n v="2.5"/>
    <n v="1163.79"/>
    <n v="1.9580666999707901"/>
    <n v="1175.17"/>
    <s v="AD"/>
    <n v="1"/>
    <n v="1282"/>
    <n v="1109"/>
    <n v="0"/>
    <n v="1109"/>
  </r>
  <r>
    <x v="6"/>
    <s v="ESTHER FLORES LOPEZ"/>
    <n v="7"/>
    <n v="36"/>
    <d v="1899-12-31T23:10:00"/>
    <s v="esther.flores.lopez@ejemplo.com"/>
    <x v="1"/>
    <n v="1081.1913"/>
    <n v="10"/>
    <n v="1163.79"/>
    <n v="7.8322667998831603"/>
    <n v="618.53"/>
    <s v="NI"/>
    <n v="1"/>
    <n v="1362"/>
    <n v="1189"/>
    <n v="0.5"/>
    <n v="594.5"/>
  </r>
  <r>
    <x v="6"/>
    <s v="JESÃšS ADRIÃN MORENO PALACIOS"/>
    <n v="17"/>
    <n v="36"/>
    <d v="1899-12-31T02:00:00"/>
    <s v="ADRIAN.MORENO6@OUTLOOK.COM"/>
    <x v="0"/>
    <n v="1081.3091999999999"/>
    <n v="2.5"/>
    <n v="1163.79"/>
    <n v="1.9580666999707901"/>
    <n v="1175.17"/>
    <s v="AD"/>
    <n v="1"/>
    <n v="1281"/>
    <n v="1108"/>
    <n v="0"/>
    <n v="1108"/>
  </r>
  <r>
    <x v="6"/>
    <s v="GABRIEL OLGUIN"/>
    <n v="14"/>
    <n v="36"/>
    <d v="1899-12-31T23:10:00"/>
    <s v="gabriel.olguin@ejemplo.com"/>
    <x v="5"/>
    <n v="1081.0650000000001"/>
    <n v="8.5"/>
    <n v="1163.79"/>
    <n v="6.6574267799006801"/>
    <n v="1237.07"/>
    <s v="AD"/>
    <n v="1"/>
    <n v="1346"/>
    <n v="1173"/>
    <n v="0"/>
    <n v="1173"/>
  </r>
  <r>
    <x v="6"/>
    <s v="MARÃA DE JESÃšS PATRICIA ALCARAZ PEREZ"/>
    <n v="16"/>
    <n v="36"/>
    <d v="1899-12-31T23:10:00"/>
    <s v="CASTILLOALCARAZ@YAHOO.COM.MX"/>
    <x v="0"/>
    <n v="1081.0287000000001"/>
    <n v="2.5"/>
    <n v="1163.79"/>
    <n v="1.9580666999707901"/>
    <n v="609.91"/>
    <s v="NI"/>
    <n v="1"/>
    <n v="1281"/>
    <n v="1108"/>
    <n v="0.5"/>
    <n v="554"/>
  </r>
  <r>
    <x v="6"/>
    <s v="ISMAEL RUBIANO CASTILLO"/>
    <n v="35"/>
    <n v="36"/>
    <d v="1899-12-31T23:30:00"/>
    <s v="MAYORUBIANO@GMAIL.COM"/>
    <x v="4"/>
    <n v="1080.6744000000001"/>
    <n v="5"/>
    <n v="1163.79"/>
    <n v="3.9161333999415802"/>
    <n v="609.91"/>
    <s v="IN"/>
    <n v="1"/>
    <n v="1308"/>
    <n v="1135"/>
    <n v="0.5"/>
    <n v="567.5"/>
  </r>
  <r>
    <x v="6"/>
    <s v="MIYU UCHIDA"/>
    <n v="15"/>
    <n v="36"/>
    <d v="1899-12-31T23:59:00"/>
    <s v="IAMUNODU@GMAIL.COM"/>
    <x v="2"/>
    <n v="1081.0841"/>
    <n v="7"/>
    <n v="1163.79"/>
    <n v="5.4825867599182097"/>
    <n v="1175.17"/>
    <s v="AD"/>
    <n v="1"/>
    <n v="1330"/>
    <n v="1157"/>
    <n v="0"/>
    <n v="1157"/>
  </r>
  <r>
    <x v="6"/>
    <s v="YU UCHIDA"/>
    <n v="14"/>
    <n v="36"/>
    <d v="1899-12-31T23:59:00"/>
    <s v="YUUCHI1994@GMAIL.COM"/>
    <x v="2"/>
    <n v="1081.1018999999999"/>
    <n v="7"/>
    <n v="1163.79"/>
    <n v="5.4825867599182097"/>
    <n v="1175.17"/>
    <s v="AD"/>
    <n v="1"/>
    <n v="1330"/>
    <n v="1157"/>
    <n v="0"/>
    <n v="1157"/>
  </r>
  <r>
    <x v="6"/>
    <s v="MIGUEL ANGEL MACEDO GRANADOS"/>
    <n v="4"/>
    <n v="36"/>
    <d v="1899-12-31T11:00:00"/>
    <s v="M.MACEDOGRA@GMAIL.COM"/>
    <x v="0"/>
    <n v="1081.4051999999999"/>
    <n v="2.5"/>
    <n v="1163.79"/>
    <n v="1.9580666999707901"/>
    <n v="1175.17"/>
    <s v="AD"/>
    <n v="1"/>
    <n v="1281"/>
    <n v="1108"/>
    <n v="0"/>
    <n v="1108"/>
  </r>
  <r>
    <x v="6"/>
    <s v="DAMIAN MARTÃNEZ LIZAMA"/>
    <n v="13"/>
    <n v="36"/>
    <d v="1899-12-31T02:00:00"/>
    <s v="DMLIZAMA@OUTLOOK.COM"/>
    <x v="0"/>
    <n v="1081.3795"/>
    <n v="2.5"/>
    <n v="1163.79"/>
    <n v="1.9580666999707901"/>
    <n v="618.53"/>
    <s v="OD"/>
    <n v="1"/>
    <n v="1281"/>
    <n v="1108"/>
    <n v="0.5"/>
    <n v="554"/>
  </r>
  <r>
    <x v="6"/>
    <s v="ELIZABETH FLORES GALVÃN"/>
    <n v="11"/>
    <n v="36"/>
    <d v="1899-12-31T02:00:00"/>
    <s v="LIZ_FLORES95@HOTMAIL.COM"/>
    <x v="2"/>
    <n v="1081.5473999999999"/>
    <n v="7"/>
    <n v="1163.79"/>
    <n v="5.4825867599182097"/>
    <n v="1175.17"/>
    <s v="AD"/>
    <n v="1"/>
    <n v="1330"/>
    <n v="1157"/>
    <n v="0"/>
    <n v="1157"/>
  </r>
  <r>
    <x v="6"/>
    <s v="ELIZABETH FLORES GALVÃN"/>
    <n v="11"/>
    <n v="36"/>
    <d v="1899-12-31T02:00:00"/>
    <s v="LIZ_FLORES95@HOTMAIL.COM"/>
    <x v="2"/>
    <n v="1081.5473999999999"/>
    <n v="7"/>
    <n v="1163.79"/>
    <n v="5.4825867599182097"/>
    <n v="1175.17"/>
    <s v="AD"/>
    <n v="1"/>
    <n v="1330"/>
    <n v="1157"/>
    <n v="0"/>
    <n v="1157"/>
  </r>
  <r>
    <x v="6"/>
    <s v="VICTOR FERNÃNDEZ MONDRAGÃ“N"/>
    <n v="12"/>
    <n v="36"/>
    <d v="1899-12-31T02:00:00"/>
    <s v="LIZ_FLORES95@HOTMAIL.COM"/>
    <x v="2"/>
    <n v="1081.5295000000001"/>
    <n v="7"/>
    <n v="1163.79"/>
    <n v="5.4825867599182097"/>
    <n v="1175.17"/>
    <s v="AD"/>
    <n v="1"/>
    <n v="1330"/>
    <n v="1157"/>
    <n v="0"/>
    <n v="1157"/>
  </r>
  <r>
    <x v="6"/>
    <s v="VICTOR FERNÃNDEZ MONDRAGÃ“N"/>
    <n v="12"/>
    <n v="36"/>
    <d v="1899-12-31T02:00:00"/>
    <s v="LIZ_FLORES95@HOTMAIL.COM"/>
    <x v="2"/>
    <n v="1081.5295000000001"/>
    <n v="7"/>
    <n v="1163.79"/>
    <n v="5.4825867599182097"/>
    <n v="1175.17"/>
    <s v="AD"/>
    <n v="1"/>
    <n v="1330"/>
    <n v="1157"/>
    <n v="0"/>
    <n v="1157"/>
  </r>
  <r>
    <x v="6"/>
    <s v="MARIA DEMETRIA VELAZQUEZ MARTINEZ"/>
    <n v="19"/>
    <n v="36"/>
    <d v="1899-12-31T02:00:00"/>
    <s v="maria.demetria.velazquez.martinez@ejemplo.com"/>
    <x v="4"/>
    <n v="1081.2592999999999"/>
    <n v="5"/>
    <n v="1163.79"/>
    <n v="3.9161333999415802"/>
    <n v="618.53"/>
    <s v="IN"/>
    <n v="1"/>
    <n v="1308"/>
    <n v="1135"/>
    <n v="0.5"/>
    <n v="567.5"/>
  </r>
  <r>
    <x v="6"/>
    <s v="JOSE LUIS GOMEZ MEZA"/>
    <n v="20"/>
    <n v="36"/>
    <d v="1899-12-31T02:00:00"/>
    <s v="jose.luis.gomez.meza@ejemplo.com"/>
    <x v="1"/>
    <n v="1081.2411"/>
    <n v="10"/>
    <n v="1163.79"/>
    <n v="7.8322667998831603"/>
    <n v="618.53"/>
    <s v="NI"/>
    <n v="1"/>
    <n v="1362"/>
    <n v="1189"/>
    <n v="0.5"/>
    <n v="594.5"/>
  </r>
  <r>
    <x v="6"/>
    <s v="MIGUE EDUARDO GOMEZ"/>
    <n v="21"/>
    <n v="36"/>
    <d v="1899-12-31T02:00:00"/>
    <s v="migue.eduardo.gomez@ejemplo.com"/>
    <x v="2"/>
    <n v="1081.2234000000001"/>
    <n v="7"/>
    <n v="1163.79"/>
    <n v="5.4825867599182097"/>
    <n v="1237.07"/>
    <s v="AD"/>
    <n v="1"/>
    <n v="1330"/>
    <n v="1157"/>
    <n v="0"/>
    <n v="1157"/>
  </r>
  <r>
    <x v="6"/>
    <s v="ALFREDO SANCHEZ"/>
    <n v="30"/>
    <n v="36"/>
    <d v="1899-12-31T23:59:00"/>
    <s v="alfredo.sanchez@ejemplo.com"/>
    <x v="5"/>
    <n v="1080.6578"/>
    <n v="8.5"/>
    <n v="1163.79"/>
    <n v="6.6574267799006801"/>
    <n v="1237.07"/>
    <s v="AD"/>
    <n v="1"/>
    <n v="1345"/>
    <n v="1173"/>
    <n v="0"/>
    <n v="1173"/>
  </r>
  <r>
    <x v="6"/>
    <s v="LUIS MANUEL ORTIZ"/>
    <n v="33"/>
    <n v="36"/>
    <d v="1899-12-31T23:59:00"/>
    <s v="luis.manuel.ortiz@ejemplo.com"/>
    <x v="5"/>
    <n v="1080.6041"/>
    <n v="8.5"/>
    <n v="1163.79"/>
    <n v="6.6574267799006801"/>
    <n v="1237.07"/>
    <s v="AD"/>
    <n v="1"/>
    <n v="1345"/>
    <n v="1172"/>
    <n v="0"/>
    <n v="1172"/>
  </r>
  <r>
    <x v="7"/>
    <s v="SABAS CARRASCO"/>
    <n v="32"/>
    <n v="36"/>
    <d v="1899-12-31T02:00:00"/>
    <s v="sabas.carrasco@ejemplo.com"/>
    <x v="1"/>
    <n v="1080.8921"/>
    <n v="10"/>
    <n v="1163.79"/>
    <n v="7.8322667998831603"/>
    <n v="618.53"/>
    <s v="NI"/>
    <n v="1"/>
    <n v="1362"/>
    <n v="1189"/>
    <n v="0.5"/>
    <n v="594.5"/>
  </r>
  <r>
    <x v="7"/>
    <s v="SANDRA MARTINEZ CORONADO"/>
    <n v="16"/>
    <n v="36"/>
    <d v="1899-12-31T02:00:00"/>
    <s v="sandra.martinez.coronado@ejemplo.com"/>
    <x v="2"/>
    <n v="1081.3124"/>
    <n v="7"/>
    <n v="1163.79"/>
    <n v="5.4825867599182097"/>
    <n v="1237.07"/>
    <s v="AD"/>
    <n v="1"/>
    <n v="1330"/>
    <n v="1157"/>
    <n v="0"/>
    <n v="1157"/>
  </r>
  <r>
    <x v="7"/>
    <s v="BRANDON ESCALANTE"/>
    <n v="23"/>
    <n v="36"/>
    <d v="1899-12-31T02:00:00"/>
    <s v="brandon.escalante@ejemplo.com"/>
    <x v="2"/>
    <n v="1081.0531000000001"/>
    <n v="7"/>
    <n v="1163.79"/>
    <n v="5.4825867599182097"/>
    <n v="1237.07"/>
    <s v="AD"/>
    <n v="1"/>
    <n v="1330"/>
    <n v="1157"/>
    <n v="0"/>
    <n v="1157"/>
  </r>
  <r>
    <x v="7"/>
    <s v="LUIS RODRIGUEZ"/>
    <n v="26"/>
    <n v="36"/>
    <d v="1899-12-31T02:00:00"/>
    <s v="luis.rodriguez@ejemplo.com"/>
    <x v="5"/>
    <n v="1080.9992999999999"/>
    <n v="8.5"/>
    <n v="1163.79"/>
    <n v="6.6574267799006801"/>
    <n v="1237.07"/>
    <s v="AD"/>
    <n v="1"/>
    <n v="1346"/>
    <n v="1173"/>
    <n v="0"/>
    <n v="1173"/>
  </r>
  <r>
    <x v="7"/>
    <s v="JESUS DAVID CORDOBA"/>
    <n v="27"/>
    <n v="36"/>
    <d v="1899-12-31T02:00:00"/>
    <s v="jesus.david.cordoba@ejemplo.com"/>
    <x v="2"/>
    <n v="1080.9811999999999"/>
    <n v="7"/>
    <n v="1163.79"/>
    <n v="5.4825867599182097"/>
    <n v="1237.07"/>
    <s v="AD"/>
    <n v="1"/>
    <n v="1330"/>
    <n v="1157"/>
    <n v="0"/>
    <n v="1157"/>
  </r>
  <r>
    <x v="7"/>
    <s v="CALOS PRESIADO"/>
    <n v="7"/>
    <n v="36"/>
    <d v="1899-12-31T02:00:00"/>
    <s v="calos.presiado@ejemplo.com"/>
    <x v="2"/>
    <n v="1081.4730999999999"/>
    <n v="7"/>
    <n v="1163.79"/>
    <n v="5.4825867599182097"/>
    <n v="1237.07"/>
    <s v="AD"/>
    <n v="1"/>
    <n v="1330"/>
    <n v="1157"/>
    <n v="0"/>
    <n v="1157"/>
  </r>
  <r>
    <x v="7"/>
    <s v="LI DENGTIN"/>
    <n v="5"/>
    <n v="36"/>
    <d v="1899-12-31T02:00:00"/>
    <s v="li.dengtin@ejemplo.com"/>
    <x v="2"/>
    <n v="1081.5092999999999"/>
    <n v="7"/>
    <n v="1163.79"/>
    <n v="5.4825867599182097"/>
    <n v="1237.07"/>
    <s v="AD"/>
    <n v="1"/>
    <n v="1330"/>
    <n v="1157"/>
    <n v="0"/>
    <n v="1157"/>
  </r>
  <r>
    <x v="7"/>
    <s v="BRIAN FERNANDO AGUIRRE"/>
    <n v="24"/>
    <n v="36"/>
    <d v="1899-12-31T02:00:00"/>
    <s v="FERNANDOAGUIRREFOTO@GMAIL.COM"/>
    <x v="0"/>
    <n v="1081.0485000000001"/>
    <n v="2.5"/>
    <n v="1163.79"/>
    <n v="1.9580666999707901"/>
    <n v="1175.17"/>
    <s v="AD"/>
    <n v="1"/>
    <n v="1281"/>
    <n v="1108"/>
    <n v="0"/>
    <n v="1108"/>
  </r>
  <r>
    <x v="7"/>
    <s v="MIYU UCHIDA"/>
    <n v="14"/>
    <n v="36"/>
    <d v="1899-12-31T23:59:00"/>
    <s v="IAMUNODU@GMAIL.COM"/>
    <x v="2"/>
    <n v="1081.0437999999999"/>
    <n v="7"/>
    <n v="1163.79"/>
    <n v="5.4825867599182097"/>
    <n v="1175.17"/>
    <s v="AD"/>
    <n v="1"/>
    <n v="1330"/>
    <n v="1157"/>
    <n v="0"/>
    <n v="1157"/>
  </r>
  <r>
    <x v="7"/>
    <s v="YU UCHIDA"/>
    <n v="15"/>
    <n v="36"/>
    <d v="1899-12-31T23:59:00"/>
    <s v="YUUCHI1994@GMAIL.COM"/>
    <x v="2"/>
    <n v="1081.0259000000001"/>
    <n v="7"/>
    <n v="1163.79"/>
    <n v="5.4825867599182097"/>
    <n v="1175.17"/>
    <s v="AD"/>
    <n v="1"/>
    <n v="1330"/>
    <n v="1157"/>
    <n v="0"/>
    <n v="1157"/>
  </r>
  <r>
    <x v="7"/>
    <s v="FRIDA GARDUÃ‘O RUIZ"/>
    <n v="15"/>
    <n v="36"/>
    <d v="1899-12-31T02:00:00"/>
    <s v="PINEDA.EMILIO69@GMAIL.COM"/>
    <x v="3"/>
    <n v="1081.3422"/>
    <n v="0"/>
    <n v="1163.79"/>
    <n v="0"/>
    <n v="1175.17"/>
    <s v="AD"/>
    <n v="1"/>
    <n v="1254"/>
    <n v="1081"/>
    <n v="0"/>
    <n v="1081"/>
  </r>
  <r>
    <x v="7"/>
    <s v="FRIDA GARDUÃ‘O RUIZ"/>
    <n v="15"/>
    <n v="36"/>
    <d v="1899-12-31T02:00:00"/>
    <s v="PINEDA.EMILIO69@GMAIL.COM"/>
    <x v="3"/>
    <n v="1081.3422"/>
    <n v="0"/>
    <n v="1163.79"/>
    <n v="0"/>
    <n v="1175.17"/>
    <s v="AD"/>
    <n v="1"/>
    <n v="1254"/>
    <n v="1081"/>
    <n v="0"/>
    <n v="1081"/>
  </r>
  <r>
    <x v="7"/>
    <s v="MAURICIO PLASCENCIA PALIZADA"/>
    <n v="14"/>
    <n v="36"/>
    <d v="1899-12-31T02:00:00"/>
    <s v="PINEDA.EMILIO69@GMAIL.COM"/>
    <x v="3"/>
    <n v="1081.3599999999999"/>
    <n v="0"/>
    <n v="1163.79"/>
    <n v="0"/>
    <n v="1175.17"/>
    <s v="AD"/>
    <n v="1"/>
    <n v="1254"/>
    <n v="1081"/>
    <n v="0"/>
    <n v="1081"/>
  </r>
  <r>
    <x v="7"/>
    <s v="MAURICIO PLASCENCIA PALIZADA"/>
    <n v="14"/>
    <n v="36"/>
    <d v="1899-12-31T02:00:00"/>
    <s v="PINEDA.EMILIO69@GMAIL.COM"/>
    <x v="3"/>
    <n v="1081.3599999999999"/>
    <n v="0"/>
    <n v="1163.79"/>
    <n v="0"/>
    <n v="1175.17"/>
    <s v="AD"/>
    <n v="1"/>
    <n v="1254"/>
    <n v="1081"/>
    <n v="0"/>
    <n v="1081"/>
  </r>
  <r>
    <x v="7"/>
    <s v="ANTONIO MONTES"/>
    <n v="4"/>
    <n v="36"/>
    <d v="1899-12-31T06:00:00"/>
    <s v="antonio.montes@ejemplo.com"/>
    <x v="5"/>
    <n v="1081.3914"/>
    <n v="8.5"/>
    <n v="1163.79"/>
    <n v="6.6574267799006801"/>
    <n v="1237.07"/>
    <s v="AD"/>
    <n v="1"/>
    <n v="1346"/>
    <n v="1173"/>
    <n v="0"/>
    <n v="1173"/>
  </r>
  <r>
    <x v="7"/>
    <s v="DAVID GARCIA"/>
    <n v="1"/>
    <n v="36"/>
    <d v="1899-12-31T06:00:00"/>
    <s v="david.garcia@ejemplo.com"/>
    <x v="5"/>
    <n v="1081.5762"/>
    <n v="8.5"/>
    <n v="1163.79"/>
    <n v="6.6574267799006801"/>
    <n v="1237.07"/>
    <s v="AD"/>
    <n v="1"/>
    <n v="1347"/>
    <n v="1174"/>
    <n v="0"/>
    <n v="1174"/>
  </r>
  <r>
    <x v="7"/>
    <s v="OSCAR PEREZ BONILLA"/>
    <n v="7"/>
    <n v="36"/>
    <d v="1899-12-31T06:00:00"/>
    <s v="oscar.perez.bonilla@ejemplo.com"/>
    <x v="5"/>
    <n v="1081.4680000000001"/>
    <n v="8.5"/>
    <n v="1163.79"/>
    <n v="6.6574267799006801"/>
    <n v="1237.07"/>
    <s v="AD"/>
    <n v="1"/>
    <n v="1346"/>
    <n v="1173"/>
    <n v="0"/>
    <n v="1173"/>
  </r>
  <r>
    <x v="7"/>
    <s v="MICHEL LIRA"/>
    <n v="18"/>
    <n v="36"/>
    <d v="1899-12-31T06:00:00"/>
    <s v="michel.lira@ejemplo.com"/>
    <x v="5"/>
    <n v="1081.2705000000001"/>
    <n v="8.5"/>
    <n v="1163.79"/>
    <n v="6.6574267799006801"/>
    <n v="1237.07"/>
    <s v="AD"/>
    <n v="1"/>
    <n v="1346"/>
    <n v="1173"/>
    <n v="0"/>
    <n v="1173"/>
  </r>
  <r>
    <x v="7"/>
    <s v="MANUEL GONZALEZ"/>
    <n v="36"/>
    <n v="36"/>
    <d v="1899-12-31T06:00:00"/>
    <s v="manuel.gonzalez@ejemplo.com"/>
    <x v="5"/>
    <n v="1080.8142"/>
    <n v="8.5"/>
    <n v="1163.79"/>
    <n v="6.6574267799006801"/>
    <n v="1237.07"/>
    <s v="AD"/>
    <n v="1"/>
    <n v="1346"/>
    <n v="1173"/>
    <n v="0"/>
    <n v="1173"/>
  </r>
  <r>
    <x v="7"/>
    <s v="DAVID GONZALEZ"/>
    <n v="5"/>
    <n v="36"/>
    <d v="1899-12-31T06:00:00"/>
    <s v="david.gonzalez@ejemplo.com"/>
    <x v="5"/>
    <n v="1081.5043000000001"/>
    <n v="8.5"/>
    <n v="1163.79"/>
    <n v="6.6574267799006801"/>
    <n v="1237.07"/>
    <s v="AD"/>
    <n v="1"/>
    <n v="1346"/>
    <n v="1173"/>
    <n v="0"/>
    <n v="1173"/>
  </r>
  <r>
    <x v="7"/>
    <s v="JOSE LUIS GONZALEZ"/>
    <n v="6"/>
    <n v="36"/>
    <d v="1899-12-31T06:00:00"/>
    <s v="jose.luis.gonzalez@ejemplo.com"/>
    <x v="5"/>
    <n v="1081.4861000000001"/>
    <n v="8.5"/>
    <n v="1163.79"/>
    <n v="6.6574267799006801"/>
    <n v="1237.07"/>
    <s v="AD"/>
    <n v="1"/>
    <n v="1346"/>
    <n v="1173"/>
    <n v="0"/>
    <n v="1173"/>
  </r>
  <r>
    <x v="7"/>
    <s v="KRIZIA VALDIVIA MONTES DE OCA"/>
    <n v="25"/>
    <n v="36"/>
    <d v="1899-12-31T06:00:00"/>
    <s v="KRIZIAVALDIVIA56@GMAIL.COM"/>
    <x v="2"/>
    <n v="1078.9806000000001"/>
    <n v="7"/>
    <n v="1163.79"/>
    <n v="5.4825867599182097"/>
    <n v="1219.83"/>
    <s v="AD"/>
    <n v="1"/>
    <n v="1327"/>
    <n v="1155"/>
    <n v="0"/>
    <n v="1155"/>
  </r>
  <r>
    <x v="7"/>
    <s v="RAQUEL DIAZ"/>
    <n v="30"/>
    <n v="36"/>
    <d v="1899-12-31T23:30:00"/>
    <s v="raquel.diaz@ejemplo.com"/>
    <x v="1"/>
    <n v="1080.7023999999999"/>
    <n v="10"/>
    <n v="1163.79"/>
    <n v="7.8322667998831603"/>
    <n v="609.91"/>
    <s v="NI"/>
    <n v="1"/>
    <n v="1362"/>
    <n v="1189"/>
    <n v="0.5"/>
    <n v="594.5"/>
  </r>
  <r>
    <x v="7"/>
    <s v="JOSEFINO LOPEZ"/>
    <n v="31"/>
    <n v="36"/>
    <d v="1899-12-31T23:30:00"/>
    <s v="josefino.lopez@ejemplo.com"/>
    <x v="1"/>
    <n v="1080.6844000000001"/>
    <n v="10"/>
    <n v="1163.79"/>
    <n v="7.8322667998831603"/>
    <n v="618.53"/>
    <s v="NI"/>
    <n v="1"/>
    <n v="1362"/>
    <n v="1189"/>
    <n v="0.5"/>
    <n v="594.5"/>
  </r>
  <r>
    <x v="7"/>
    <s v="LORENA RODRIGUEZ RIVAS"/>
    <n v="17"/>
    <n v="36"/>
    <d v="1899-12-31T23:59:00"/>
    <s v="LORENARR22@HOTMAIL.COM"/>
    <x v="2"/>
    <n v="1081.0698"/>
    <n v="7"/>
    <n v="1163.79"/>
    <n v="5.4825867599182097"/>
    <n v="1175.17"/>
    <s v="AD"/>
    <n v="1"/>
    <n v="1330"/>
    <n v="1157"/>
    <n v="0"/>
    <n v="1157"/>
  </r>
  <r>
    <x v="7"/>
    <s v="KIM JINHO"/>
    <n v="2"/>
    <n v="36"/>
    <d v="1899-12-31T11:00:00"/>
    <s v="NICE_YOUNG-9JMURX1Y@M.PFORWARD.NET"/>
    <x v="2"/>
    <n v="1081.6977999999999"/>
    <n v="7"/>
    <n v="1163.79"/>
    <n v="5.4825867599182097"/>
    <n v="1237.07"/>
    <s v="AD"/>
    <n v="1"/>
    <n v="1330"/>
    <n v="1157"/>
    <n v="0"/>
    <n v="1157"/>
  </r>
  <r>
    <x v="7"/>
    <s v="KIM JINHO"/>
    <n v="2"/>
    <n v="36"/>
    <d v="1899-12-31T11:00:00"/>
    <s v="NICE_YOUNG-9JMURX1Y@M.PFORWARD.NET"/>
    <x v="2"/>
    <n v="1081.6977999999999"/>
    <n v="7"/>
    <n v="1163.79"/>
    <n v="5.4825867599182097"/>
    <n v="1237.07"/>
    <s v="AD"/>
    <n v="1"/>
    <n v="1330"/>
    <n v="1157"/>
    <n v="0"/>
    <n v="1157"/>
  </r>
  <r>
    <x v="7"/>
    <s v="KIM CHAIM"/>
    <n v="3"/>
    <n v="36"/>
    <d v="1899-12-31T11:00:00"/>
    <s v="NICE_YOUNG-9JMURX1Y@M.PFORWARD.NET"/>
    <x v="2"/>
    <n v="1081.6799000000001"/>
    <n v="7"/>
    <n v="1163.79"/>
    <n v="5.4825867599182097"/>
    <n v="1237.07"/>
    <s v="AD"/>
    <n v="1"/>
    <n v="1330"/>
    <n v="1157"/>
    <n v="0"/>
    <n v="1157"/>
  </r>
  <r>
    <x v="7"/>
    <s v="KIM CHAIM"/>
    <n v="3"/>
    <n v="36"/>
    <d v="1899-12-31T11:00:00"/>
    <s v="NICE_YOUNG-9JMURX1Y@M.PFORWARD.NET"/>
    <x v="2"/>
    <n v="1081.6799000000001"/>
    <n v="7"/>
    <n v="1163.79"/>
    <n v="5.4825867599182097"/>
    <n v="1237.07"/>
    <s v="AD"/>
    <n v="1"/>
    <n v="1330"/>
    <n v="1157"/>
    <n v="0"/>
    <n v="1157"/>
  </r>
  <r>
    <x v="7"/>
    <s v="VÃCTOR HUGO ESPINOSA"/>
    <n v="2"/>
    <n v="36"/>
    <d v="1899-12-31T23:59:00"/>
    <s v="HUGO-1995@LIVE.COM.MX"/>
    <x v="3"/>
    <n v="1081.338"/>
    <n v="0"/>
    <n v="1163.79"/>
    <n v="0"/>
    <n v="1175.17"/>
    <s v="AD"/>
    <n v="1"/>
    <n v="1254"/>
    <n v="1081"/>
    <n v="0"/>
    <n v="1081"/>
  </r>
  <r>
    <x v="7"/>
    <s v="ROCIO SILVA"/>
    <n v="22"/>
    <n v="36"/>
    <d v="1899-12-31T11:00:00"/>
    <s v="rocio.silva@ejemplo.com"/>
    <x v="3"/>
    <n v="1081.0655999999999"/>
    <n v="0"/>
    <n v="1163.79"/>
    <n v="0"/>
    <n v="989.65"/>
    <s v="PE"/>
    <n v="1"/>
    <n v="1254"/>
    <n v="1081"/>
    <n v="0"/>
    <n v="1081"/>
  </r>
  <r>
    <x v="7"/>
    <s v="MAYRA VALERIA SILVA"/>
    <n v="23"/>
    <n v="36"/>
    <d v="1899-12-31T11:00:00"/>
    <s v="mayra.valeria.silva@ejemplo.com"/>
    <x v="5"/>
    <n v="1081.0476000000001"/>
    <n v="8.5"/>
    <n v="1163.79"/>
    <n v="6.6574267799006801"/>
    <n v="1237.07"/>
    <s v="AD"/>
    <n v="1"/>
    <n v="1346"/>
    <n v="1173"/>
    <n v="0"/>
    <n v="1173"/>
  </r>
  <r>
    <x v="7"/>
    <s v="SERGIO HERIBERTO OSORNO GONZALEZ"/>
    <n v="10"/>
    <n v="36"/>
    <d v="1899-12-31T23:59:00"/>
    <s v="sergio.heriberto.osorno.gonzalez@ejemplo.com"/>
    <x v="5"/>
    <n v="1080.4878000000001"/>
    <n v="8.5"/>
    <n v="1163.79"/>
    <n v="6.6574267799006801"/>
    <n v="1237.07"/>
    <s v="AD"/>
    <n v="1"/>
    <n v="1345"/>
    <n v="1172"/>
    <n v="0"/>
    <n v="1172"/>
  </r>
  <r>
    <x v="7"/>
    <s v="JOSE RODRIGUEZ CHAVOYA"/>
    <n v="13"/>
    <n v="36"/>
    <d v="1899-12-31T23:30:00"/>
    <s v="jose.rodriguez.chavoya@ejemplo.com"/>
    <x v="4"/>
    <n v="1081.2399"/>
    <n v="5"/>
    <n v="1163.79"/>
    <n v="3.9161333999415802"/>
    <n v="609.91"/>
    <s v="IN"/>
    <n v="1"/>
    <n v="1308"/>
    <n v="1135"/>
    <n v="0.5"/>
    <n v="567.5"/>
  </r>
  <r>
    <x v="7"/>
    <s v="RAUL HERNANDEZ"/>
    <n v="36"/>
    <n v="36"/>
    <d v="1899-12-31T11:00:00"/>
    <s v="raul.hernandez@ejemplo.com"/>
    <x v="5"/>
    <n v="1080.8132000000001"/>
    <n v="8.5"/>
    <n v="1163.79"/>
    <n v="6.6574267799006801"/>
    <n v="1082.33"/>
    <s v="AD"/>
    <n v="1"/>
    <n v="1346"/>
    <n v="1173"/>
    <n v="0"/>
    <n v="1173"/>
  </r>
  <r>
    <x v="7"/>
    <s v="LUIS JAVIER GARCIA FLORES"/>
    <n v="18"/>
    <n v="36"/>
    <d v="1899-12-31T23:30:00"/>
    <s v="JAVIERFLORES9@HOTMAIL.COM"/>
    <x v="3"/>
    <n v="1081.0498"/>
    <n v="0"/>
    <n v="1163.79"/>
    <n v="0"/>
    <n v="1175.17"/>
    <s v="AD"/>
    <n v="1"/>
    <n v="1254"/>
    <n v="1081"/>
    <n v="0"/>
    <n v="1081"/>
  </r>
  <r>
    <x v="7"/>
    <s v="CAROLINA MARTINEZ ISLAS"/>
    <n v="1"/>
    <n v="36"/>
    <d v="1899-12-31T23:30:00"/>
    <s v="CAROMISLAS@HOTMAIL.COM"/>
    <x v="4"/>
    <n v="1079.2260000000001"/>
    <n v="5"/>
    <n v="1163.79"/>
    <n v="3.9161333999415802"/>
    <n v="609.91"/>
    <s v="IN"/>
    <n v="1"/>
    <n v="1306"/>
    <n v="1133"/>
    <n v="0.5"/>
    <n v="566.5"/>
  </r>
  <r>
    <x v="7"/>
    <s v="CARLOS MAURICIO CRUZ"/>
    <n v="32"/>
    <n v="36"/>
    <d v="1899-12-31T23:30:00"/>
    <s v="C_MAURICIOCRUZ_M@HOTMAIL.COM"/>
    <x v="3"/>
    <n v="1080.8585"/>
    <n v="0"/>
    <n v="1163.79"/>
    <n v="0"/>
    <n v="1158.8800000000001"/>
    <s v="AD"/>
    <n v="1"/>
    <n v="1254"/>
    <n v="1081"/>
    <n v="0"/>
    <n v="1081"/>
  </r>
  <r>
    <x v="7"/>
    <s v="SANDRA RÃOS GARCÃA"/>
    <n v="21"/>
    <n v="36"/>
    <d v="1899-12-31T11:00:00"/>
    <s v="CAGP-010704@HOTMAIL.COM"/>
    <x v="3"/>
    <n v="1081.2101"/>
    <n v="0"/>
    <n v="1163.79"/>
    <n v="0"/>
    <n v="1158.8800000000001"/>
    <s v="AD"/>
    <n v="1"/>
    <n v="1254"/>
    <n v="1081"/>
    <n v="0"/>
    <n v="1081"/>
  </r>
  <r>
    <x v="7"/>
    <s v="PERLA CRUZ BAEZ"/>
    <n v="18"/>
    <n v="36"/>
    <d v="1899-12-31T23:59:00"/>
    <s v="perla.cruz.baez@ejemplo.com"/>
    <x v="2"/>
    <n v="1080.4857"/>
    <n v="7"/>
    <n v="1163.79"/>
    <n v="5.4825867599182097"/>
    <n v="1237.07"/>
    <s v="AD"/>
    <n v="1"/>
    <n v="1329"/>
    <n v="1156"/>
    <n v="0"/>
    <n v="1156"/>
  </r>
  <r>
    <x v="7"/>
    <s v="SERGIO MALDONADO LOPEZ"/>
    <n v="35"/>
    <n v="36"/>
    <d v="1899-12-31T23:59:00"/>
    <s v="EMIBUS13@GMAIL.COM"/>
    <x v="2"/>
    <n v="1080.1423"/>
    <n v="7"/>
    <n v="1163.79"/>
    <n v="5.4825867599182097"/>
    <n v="609.91"/>
    <s v="IN"/>
    <n v="1"/>
    <n v="1329"/>
    <n v="1156"/>
    <n v="0.5"/>
    <n v="578"/>
  </r>
  <r>
    <x v="7"/>
    <s v="VICTOR MONROY RAMIREZ"/>
    <n v="34"/>
    <n v="36"/>
    <d v="1899-12-31T23:30:00"/>
    <s v="victor.monroy.ramirez@ejemplo.com"/>
    <x v="4"/>
    <n v="1080.7483"/>
    <n v="5"/>
    <n v="1163.79"/>
    <n v="3.9161333999415802"/>
    <n v="618.53"/>
    <s v="IN"/>
    <n v="1"/>
    <n v="1308"/>
    <n v="1135"/>
    <n v="0.5"/>
    <n v="567.5"/>
  </r>
  <r>
    <x v="7"/>
    <s v="GERARDO SÃNCHEZ BAUTISTA"/>
    <n v="21"/>
    <n v="36"/>
    <d v="1899-12-31T11:00:00"/>
    <s v="GERARDO.SANCHEZ@PELICULASUTILES.COM"/>
    <x v="0"/>
    <n v="1081.4197999999999"/>
    <n v="2.5"/>
    <n v="1163.79"/>
    <n v="1.9580666999707901"/>
    <n v="1158.8800000000001"/>
    <s v="AD"/>
    <n v="1"/>
    <n v="1281"/>
    <n v="1108"/>
    <n v="0"/>
    <n v="1108"/>
  </r>
  <r>
    <x v="7"/>
    <s v="LIZETTE EUGENIA FUENTES CUEVAS"/>
    <n v="2"/>
    <n v="35"/>
    <d v="1899-12-31T23:30:00"/>
    <s v="VINICIO.PASROD@GMAIL.COM"/>
    <x v="0"/>
    <n v="1081.3916999999999"/>
    <n v="2.5"/>
    <n v="1163.79"/>
    <n v="1.9580666999707901"/>
    <n v="1158.8800000000001"/>
    <s v="AD"/>
    <n v="1"/>
    <n v="1281"/>
    <n v="1108"/>
    <n v="0"/>
    <n v="1108"/>
  </r>
  <r>
    <x v="7"/>
    <s v="LIZETTE EUGENIA FUENTES CUEVAS"/>
    <n v="2"/>
    <n v="35"/>
    <d v="1899-12-31T23:30:00"/>
    <s v="VINICIO.PASROD@GMAIL.COM"/>
    <x v="0"/>
    <n v="1081.3916999999999"/>
    <n v="2.5"/>
    <n v="1163.79"/>
    <n v="1.9580666999707901"/>
    <n v="1158.8800000000001"/>
    <s v="AD"/>
    <n v="1"/>
    <n v="1281"/>
    <n v="1108"/>
    <n v="0"/>
    <n v="1108"/>
  </r>
  <r>
    <x v="7"/>
    <s v="MARCOS VINICIO PASTRAN RODRIGUEZ"/>
    <n v="3"/>
    <n v="35"/>
    <d v="1899-12-31T23:30:00"/>
    <s v="VINICIO.PASROD@GMAIL.COM"/>
    <x v="0"/>
    <n v="1081.374"/>
    <n v="2.5"/>
    <n v="1163.79"/>
    <n v="1.9580666999707901"/>
    <n v="1158.8800000000001"/>
    <s v="AD"/>
    <n v="1"/>
    <n v="1281"/>
    <n v="1108"/>
    <n v="0"/>
    <n v="1108"/>
  </r>
  <r>
    <x v="7"/>
    <s v="MARCOS VINICIO PASTRAN RODRIGUEZ"/>
    <n v="3"/>
    <n v="35"/>
    <d v="1899-12-31T23:30:00"/>
    <s v="VINICIO.PASROD@GMAIL.COM"/>
    <x v="0"/>
    <n v="1081.374"/>
    <n v="2.5"/>
    <n v="1163.79"/>
    <n v="1.9580666999707901"/>
    <n v="1158.8800000000001"/>
    <s v="AD"/>
    <n v="1"/>
    <n v="1281"/>
    <n v="1108"/>
    <n v="0"/>
    <n v="1108"/>
  </r>
  <r>
    <x v="7"/>
    <s v="SERGIO ROGELIO MARTINEZ CUEVAS"/>
    <n v="13"/>
    <n v="36"/>
    <d v="1899-12-31T23:30:00"/>
    <s v="OHERSUA.MARVI@GMAIL.COM"/>
    <x v="3"/>
    <n v="1081.1370999999999"/>
    <n v="0"/>
    <n v="1163.79"/>
    <n v="0"/>
    <n v="1175.17"/>
    <s v="AD"/>
    <n v="1"/>
    <n v="1254"/>
    <n v="1081"/>
    <n v="0"/>
    <n v="1081"/>
  </r>
  <r>
    <x v="7"/>
    <s v="MARIA ELENA ALMANZA ORTIZ"/>
    <n v="32"/>
    <n v="36"/>
    <d v="1899-12-31T11:00:00"/>
    <s v="ASTRIDALMANZA93@GMAIL.COM"/>
    <x v="4"/>
    <n v="1080.9933000000001"/>
    <n v="5"/>
    <n v="1163.79"/>
    <n v="3.9161333999415802"/>
    <n v="609.91"/>
    <s v="IN"/>
    <n v="1"/>
    <n v="1308"/>
    <n v="1135"/>
    <n v="0.5"/>
    <n v="567.5"/>
  </r>
  <r>
    <x v="7"/>
    <s v="MANUEL BALDERAS ESPINOZA"/>
    <n v="7"/>
    <n v="36"/>
    <d v="1899-12-31T23:30:00"/>
    <s v="manuel.balderas.espinoza@ejemplo.com"/>
    <x v="2"/>
    <n v="1081.3348000000001"/>
    <n v="7"/>
    <n v="1163.79"/>
    <n v="5.4825867599182097"/>
    <n v="1097.8399999999999"/>
    <s v="AD"/>
    <n v="1"/>
    <n v="1330"/>
    <n v="1157"/>
    <n v="0"/>
    <n v="1157"/>
  </r>
  <r>
    <x v="7"/>
    <s v="IVAN JAVIER GARCIA GARCIA"/>
    <n v="29"/>
    <n v="36"/>
    <d v="1899-12-31T11:00:00"/>
    <s v="POTENTUR@GMAIL.COM"/>
    <x v="0"/>
    <n v="1080.9143999999999"/>
    <n v="2.5"/>
    <n v="1163.79"/>
    <n v="1.9580666999707901"/>
    <n v="1175.17"/>
    <s v="AD"/>
    <n v="1"/>
    <n v="1281"/>
    <n v="1108"/>
    <n v="0"/>
    <n v="1108"/>
  </r>
  <r>
    <x v="7"/>
    <s v="MARIA DEL CARMEN   CERVANTES   AHUM"/>
    <n v="33"/>
    <n v="36"/>
    <d v="1899-12-31T23:30:00"/>
    <s v="maria.del.carmen...cervantes...ahum@ejemplo.com"/>
    <x v="1"/>
    <n v="1080.6442"/>
    <n v="10"/>
    <n v="1163.79"/>
    <n v="7.8322667998831603"/>
    <n v="618.53"/>
    <s v="NI"/>
    <n v="1"/>
    <n v="1362"/>
    <n v="1189"/>
    <n v="0.5"/>
    <n v="594.5"/>
  </r>
  <r>
    <x v="7"/>
    <s v="JOSE ERNESTO VELAZQUEZ CERVANTES"/>
    <n v="34"/>
    <n v="36"/>
    <d v="1899-12-31T23:30:00"/>
    <s v="jose.ernesto.velazquez.cervantes@ejemplo.com"/>
    <x v="5"/>
    <n v="1080.6265000000001"/>
    <n v="8.5"/>
    <n v="1163.79"/>
    <n v="6.6574267799006801"/>
    <n v="1237.07"/>
    <s v="AD"/>
    <n v="1"/>
    <n v="1345"/>
    <n v="1172"/>
    <n v="0"/>
    <n v="1172"/>
  </r>
  <r>
    <x v="7"/>
    <s v="HECTOR GONZALEZ CHAVEZ"/>
    <n v="24"/>
    <n v="36"/>
    <d v="1899-12-31T11:00:00"/>
    <s v="HGCH473@OUTLOOK.COM"/>
    <x v="0"/>
    <n v="1081.0043000000001"/>
    <n v="2.5"/>
    <n v="1163.79"/>
    <n v="1.9580666999707901"/>
    <n v="1175.17"/>
    <s v="AD"/>
    <n v="1"/>
    <n v="1281"/>
    <n v="1108"/>
    <n v="0"/>
    <n v="1108"/>
  </r>
  <r>
    <x v="7"/>
    <s v="ELIZABETH MIRANDA"/>
    <n v="4"/>
    <n v="36"/>
    <d v="1899-12-31T23:59:00"/>
    <s v="ELIZABETH.MIRANDA@CYMARKETING.COM.MX"/>
    <x v="2"/>
    <n v="1081.222"/>
    <n v="7"/>
    <n v="1163.79"/>
    <n v="5.4825867599182097"/>
    <n v="1158.8800000000001"/>
    <s v="AD"/>
    <n v="1"/>
    <n v="1330"/>
    <n v="1157"/>
    <n v="0"/>
    <n v="1157"/>
  </r>
  <r>
    <x v="7"/>
    <s v="AGUSTIN CAYETANO BARRAGAN"/>
    <n v="5"/>
    <n v="36"/>
    <d v="1899-12-31T06:00:00"/>
    <s v="PAULINA.ARI.M08@GMAIL.COM"/>
    <x v="0"/>
    <n v="1081.4232"/>
    <n v="2.5"/>
    <n v="1163.79"/>
    <n v="1.9580666999707901"/>
    <n v="1175.17"/>
    <s v="AD"/>
    <n v="1"/>
    <n v="1281"/>
    <n v="1108"/>
    <n v="0"/>
    <n v="1108"/>
  </r>
  <r>
    <x v="7"/>
    <s v="AURELIO CABRERA ZAMORA"/>
    <n v="6"/>
    <n v="36"/>
    <d v="1899-12-31T06:00:00"/>
    <s v="PAULINA.ARI.M08@GMAIL.COM"/>
    <x v="0"/>
    <n v="1081.4051999999999"/>
    <n v="2.5"/>
    <n v="1163.79"/>
    <n v="1.9580666999707901"/>
    <n v="1175.17"/>
    <s v="AD"/>
    <n v="1"/>
    <n v="1281"/>
    <n v="1108"/>
    <n v="0"/>
    <n v="1108"/>
  </r>
  <r>
    <x v="7"/>
    <s v="JOEL JIMENEZ LINCE"/>
    <n v="2"/>
    <n v="36"/>
    <d v="1899-12-31T06:00:00"/>
    <s v="PAULINA.ARI.M08@GMAIL.COM"/>
    <x v="0"/>
    <n v="1081.4773"/>
    <n v="2.5"/>
    <n v="1163.79"/>
    <n v="1.9580666999707901"/>
    <n v="1175.17"/>
    <s v="AD"/>
    <n v="1"/>
    <n v="1282"/>
    <n v="1109"/>
    <n v="0"/>
    <n v="1109"/>
  </r>
  <r>
    <x v="7"/>
    <s v="LEONARDO JIMENEZ LOERA"/>
    <n v="3"/>
    <n v="36"/>
    <d v="1899-12-31T06:00:00"/>
    <s v="PAULINA.ARI.M08@GMAIL.COM"/>
    <x v="0"/>
    <n v="1081.4592"/>
    <n v="2.5"/>
    <n v="1163.79"/>
    <n v="1.9580666999707901"/>
    <n v="1175.17"/>
    <s v="AD"/>
    <n v="1"/>
    <n v="1282"/>
    <n v="1108"/>
    <n v="0"/>
    <n v="1108"/>
  </r>
  <r>
    <x v="7"/>
    <s v="MARIA DEL CARMEN YEPEZ OROZCO"/>
    <n v="32"/>
    <n v="36"/>
    <d v="1899-12-31T23:30:00"/>
    <s v="maria.del.carmen.yepez.orozco@ejemplo.com"/>
    <x v="4"/>
    <n v="1080.7139"/>
    <n v="5"/>
    <n v="1163.79"/>
    <n v="3.9161333999415802"/>
    <n v="609.91"/>
    <s v="IN"/>
    <n v="1"/>
    <n v="1308"/>
    <n v="1135"/>
    <n v="0.5"/>
    <n v="567.5"/>
  </r>
  <r>
    <x v="7"/>
    <s v="LUIS EDUARDO CHÃVEZ ZÃšÃ‘IGA"/>
    <n v="22"/>
    <n v="36"/>
    <d v="1899-12-31T02:00:00"/>
    <s v="LUISCHAVEZZ@ME.COM"/>
    <x v="0"/>
    <n v="1081.0419999999999"/>
    <n v="2.5"/>
    <n v="1163.79"/>
    <n v="1.9580666999707901"/>
    <n v="1175.17"/>
    <s v="AD"/>
    <n v="1"/>
    <n v="1281"/>
    <n v="1108"/>
    <n v="0"/>
    <n v="1108"/>
  </r>
  <r>
    <x v="7"/>
    <s v="MARÃA FERNANDA ALVO DIAZ"/>
    <n v="23"/>
    <n v="36"/>
    <d v="1899-12-31T02:00:00"/>
    <s v="LUISCHAVEZZ@ME.COM"/>
    <x v="0"/>
    <n v="1081.0242000000001"/>
    <n v="2.5"/>
    <n v="1163.79"/>
    <n v="1.9580666999707901"/>
    <n v="1175.17"/>
    <s v="AD"/>
    <n v="1"/>
    <n v="1281"/>
    <n v="1108"/>
    <n v="0"/>
    <n v="1108"/>
  </r>
  <r>
    <x v="7"/>
    <s v="MARIA DE FÃTIMA OCHOA LUNA"/>
    <n v="20"/>
    <n v="36"/>
    <d v="1899-12-31T11:00:00"/>
    <s v="ESTELACASTROOC@GMAIL.COM"/>
    <x v="4"/>
    <n v="1081.2063000000001"/>
    <n v="5"/>
    <n v="1163.79"/>
    <n v="3.9161333999415802"/>
    <n v="618.53"/>
    <s v="IN"/>
    <n v="1"/>
    <n v="1308"/>
    <n v="1135"/>
    <n v="0.5"/>
    <n v="567.5"/>
  </r>
  <r>
    <x v="7"/>
    <s v="LUZ ARELLANO"/>
    <n v="1"/>
    <n v="36"/>
    <d v="1899-12-31T02:00:00"/>
    <s v="LUZ@STANDBYME.COM.MX"/>
    <x v="0"/>
    <n v="1081.6268"/>
    <n v="2.5"/>
    <n v="1163.79"/>
    <n v="1.9580666999707901"/>
    <n v="1158.8800000000001"/>
    <s v="AD"/>
    <n v="1"/>
    <n v="1282"/>
    <n v="1109"/>
    <n v="0"/>
    <n v="1109"/>
  </r>
  <r>
    <x v="7"/>
    <s v="ANA LIA OREGON MENDEZ"/>
    <n v="7"/>
    <n v="36"/>
    <d v="1899-12-31T23:59:00"/>
    <s v="JOHNOREGON@LIVE.COM"/>
    <x v="3"/>
    <n v="1081.2411999999999"/>
    <n v="0"/>
    <n v="1163.79"/>
    <n v="0"/>
    <n v="1175.17"/>
    <s v="AD"/>
    <n v="1"/>
    <n v="1254"/>
    <n v="1081"/>
    <n v="0"/>
    <n v="1081"/>
  </r>
  <r>
    <x v="7"/>
    <s v="LILIANA MARTINEZ DIAZ"/>
    <n v="5"/>
    <n v="36"/>
    <d v="1899-12-31T23:59:00"/>
    <s v="LILIZ.DIAZ98@GMAIL.COM"/>
    <x v="2"/>
    <n v="1079.2329999999999"/>
    <n v="7"/>
    <n v="1163.79"/>
    <n v="5.4825867599182097"/>
    <n v="1219.83"/>
    <s v="AD"/>
    <n v="1"/>
    <n v="1327"/>
    <n v="1155"/>
    <n v="0"/>
    <n v="1155"/>
  </r>
  <r>
    <x v="7"/>
    <s v="ELISA GUTIERREZ MARTINEZ"/>
    <n v="6"/>
    <n v="36"/>
    <d v="1899-12-31T23:59:00"/>
    <s v="LILIZ.DIAZ98@GMAIL.COM"/>
    <x v="2"/>
    <n v="1079.2150999999999"/>
    <n v="7"/>
    <n v="1163.79"/>
    <n v="5.4825867599182097"/>
    <n v="1219.83"/>
    <s v="AD"/>
    <n v="1"/>
    <n v="1327"/>
    <n v="1155"/>
    <n v="0"/>
    <n v="1155"/>
  </r>
  <r>
    <x v="7"/>
    <s v="RUBEN IVÃN MORALES GOMEZ"/>
    <n v="18"/>
    <n v="36"/>
    <d v="1899-12-31T23:59:00"/>
    <s v="RUBENMORALESGOMEZ@GMAIL.COM"/>
    <x v="3"/>
    <n v="1081.0426"/>
    <n v="0"/>
    <n v="1163.79"/>
    <n v="0"/>
    <n v="1175.17"/>
    <s v="AD"/>
    <n v="1"/>
    <n v="1254"/>
    <n v="1081"/>
    <n v="0"/>
    <n v="1081"/>
  </r>
  <r>
    <x v="7"/>
    <s v="ROBERTO VALDEZ PULIDO"/>
    <n v="4"/>
    <n v="36"/>
    <d v="1899-12-31T11:00:00"/>
    <s v="RVALDPUL@GMAIL.COM"/>
    <x v="0"/>
    <n v="1081.3032000000001"/>
    <n v="2.5"/>
    <n v="1163.79"/>
    <n v="1.9580666999707901"/>
    <n v="1175.17"/>
    <s v="AD"/>
    <n v="1"/>
    <n v="1281"/>
    <n v="1108"/>
    <n v="0"/>
    <n v="1108"/>
  </r>
  <r>
    <x v="7"/>
    <s v="ERICK MARTIN VALDIVIA LAZARO"/>
    <n v="4"/>
    <n v="36"/>
    <d v="1899-12-31T06:00:00"/>
    <s v="CORP@BSHOPTRAVEL.COM"/>
    <x v="0"/>
    <n v="1081.5231000000001"/>
    <n v="2.5"/>
    <n v="1163.79"/>
    <n v="1.9580666999707901"/>
    <n v="1175.17"/>
    <s v="AD"/>
    <n v="1"/>
    <n v="1282"/>
    <n v="1109"/>
    <n v="0"/>
    <n v="1109"/>
  </r>
  <r>
    <x v="7"/>
    <s v="ALFREDO GONZALEZ CORIA"/>
    <n v="23"/>
    <n v="36"/>
    <d v="1899-12-31T23:59:00"/>
    <s v="CREDITOYCOBRANZA@GRUPOEDM.COM.MX"/>
    <x v="3"/>
    <n v="1080.8202000000001"/>
    <n v="0"/>
    <n v="1163.79"/>
    <n v="0"/>
    <n v="1175.17"/>
    <s v="AD"/>
    <n v="1"/>
    <n v="1254"/>
    <n v="1081"/>
    <n v="0"/>
    <n v="1081"/>
  </r>
  <r>
    <x v="7"/>
    <s v="ALFREDO GONZALEZ CORIA"/>
    <n v="23"/>
    <n v="36"/>
    <d v="1899-12-31T23:59:00"/>
    <s v="CREDITOYCOBRANZA@GRUPOEDM.COM.MX"/>
    <x v="3"/>
    <n v="1080.8202000000001"/>
    <n v="0"/>
    <n v="1163.79"/>
    <n v="0"/>
    <n v="1175.17"/>
    <s v="AD"/>
    <n v="1"/>
    <n v="1254"/>
    <n v="1081"/>
    <n v="0"/>
    <n v="1081"/>
  </r>
  <r>
    <x v="7"/>
    <s v="ISAAC NOE SANCHES LÃ“PEZ"/>
    <n v="22"/>
    <n v="36"/>
    <d v="1899-12-31T23:59:00"/>
    <s v="CREDITOYCOBRANZA@GRUPOEDM.COM.MX"/>
    <x v="3"/>
    <n v="1080.8380999999999"/>
    <n v="0"/>
    <n v="1163.79"/>
    <n v="0"/>
    <n v="1175.17"/>
    <s v="AD"/>
    <n v="1"/>
    <n v="1254"/>
    <n v="1081"/>
    <n v="0"/>
    <n v="1081"/>
  </r>
  <r>
    <x v="7"/>
    <s v="ISAAC NOE SANCHES LÃ“PEZ"/>
    <n v="22"/>
    <n v="36"/>
    <d v="1899-12-31T23:59:00"/>
    <s v="CREDITOYCOBRANZA@GRUPOEDM.COM.MX"/>
    <x v="3"/>
    <n v="1080.8380999999999"/>
    <n v="0"/>
    <n v="1163.79"/>
    <n v="0"/>
    <n v="1175.17"/>
    <s v="AD"/>
    <n v="1"/>
    <n v="1254"/>
    <n v="1081"/>
    <n v="0"/>
    <n v="1081"/>
  </r>
  <r>
    <x v="7"/>
    <s v="HERMELINDA HERNANDEZ RUELAS"/>
    <n v="16"/>
    <n v="36"/>
    <d v="1899-12-31T02:00:00"/>
    <s v="hermelinda.hernandez.ruelas@ejemplo.com"/>
    <x v="2"/>
    <n v="1080.5143"/>
    <n v="7"/>
    <n v="1163.79"/>
    <n v="5.4825867599182097"/>
    <n v="618.53"/>
    <s v="IN"/>
    <n v="1"/>
    <n v="1329"/>
    <n v="1156"/>
    <n v="0.5"/>
    <n v="578"/>
  </r>
  <r>
    <x v="7"/>
    <s v="MARIA MAGDALENA HERNANDEZ RUELAS"/>
    <n v="17"/>
    <n v="36"/>
    <d v="1899-12-31T02:00:00"/>
    <s v="maria.magdalena.hernandez.ruelas@ejemplo.com"/>
    <x v="4"/>
    <n v="1080.4962"/>
    <n v="5"/>
    <n v="1163.79"/>
    <n v="3.9161333999415802"/>
    <n v="618.53"/>
    <s v="IN"/>
    <n v="1"/>
    <n v="1307"/>
    <n v="1135"/>
    <n v="0.5"/>
    <n v="567.5"/>
  </r>
  <r>
    <x v="7"/>
    <s v="ARTURO RAMOS PEREZ"/>
    <n v="15"/>
    <n v="36"/>
    <d v="1899-12-31T23:59:00"/>
    <s v="ING.CGO@GMAIL.COM"/>
    <x v="0"/>
    <n v="1081.067"/>
    <n v="2.5"/>
    <n v="1163.79"/>
    <n v="1.9580666999707901"/>
    <n v="1175.17"/>
    <s v="AD"/>
    <n v="1"/>
    <n v="1281"/>
    <n v="1108"/>
    <n v="0"/>
    <n v="1108"/>
  </r>
  <r>
    <x v="7"/>
    <s v="ARTURO RAMOS PEREZ"/>
    <n v="15"/>
    <n v="36"/>
    <d v="1899-12-31T23:59:00"/>
    <s v="ING.CGO@GMAIL.COM"/>
    <x v="0"/>
    <n v="1081.067"/>
    <n v="2.5"/>
    <n v="1163.79"/>
    <n v="1.9580666999707901"/>
    <n v="1175.17"/>
    <s v="AD"/>
    <n v="1"/>
    <n v="1281"/>
    <n v="1108"/>
    <n v="0"/>
    <n v="1108"/>
  </r>
  <r>
    <x v="7"/>
    <s v="CARLOS GONZÃLEZ OLIVARES"/>
    <n v="9"/>
    <n v="36"/>
    <d v="1899-12-31T23:59:00"/>
    <s v="ING.CGO@GMAIL.COM"/>
    <x v="0"/>
    <n v="1081.1746000000001"/>
    <n v="2.5"/>
    <n v="1163.79"/>
    <n v="1.9580666999707901"/>
    <n v="1175.17"/>
    <s v="AD"/>
    <n v="1"/>
    <n v="1281"/>
    <n v="1108"/>
    <n v="0"/>
    <n v="1108"/>
  </r>
  <r>
    <x v="7"/>
    <s v="CARLOS GONZÃLEZ OLIVARES"/>
    <n v="9"/>
    <n v="36"/>
    <d v="1899-12-31T23:59:00"/>
    <s v="ING.CGO@GMAIL.COM"/>
    <x v="0"/>
    <n v="1081.1746000000001"/>
    <n v="2.5"/>
    <n v="1163.79"/>
    <n v="1.9580666999707901"/>
    <n v="1175.17"/>
    <s v="AD"/>
    <n v="1"/>
    <n v="1281"/>
    <n v="1108"/>
    <n v="0"/>
    <n v="1108"/>
  </r>
  <r>
    <x v="7"/>
    <s v="MA DEL CARMEN TORRES GUTIÃ‰RREZ"/>
    <n v="7"/>
    <n v="36"/>
    <d v="1899-12-31T23:30:00"/>
    <s v="VMARTOR611@GMAIL.COM"/>
    <x v="4"/>
    <n v="1081.2098000000001"/>
    <n v="5"/>
    <n v="1163.79"/>
    <n v="3.9161333999415802"/>
    <n v="618.53"/>
    <s v="IN"/>
    <n v="1"/>
    <n v="1308"/>
    <n v="1135"/>
    <n v="0.5"/>
    <n v="567.5"/>
  </r>
  <r>
    <x v="7"/>
    <s v="MARIA MAGDALENA LOPEZ NAVARRO"/>
    <n v="3"/>
    <n v="36"/>
    <d v="1899-12-31T23:59:00"/>
    <s v="ARGELIAROJASLOPEZ25@GMAIL.COM"/>
    <x v="4"/>
    <n v="1081.2252000000001"/>
    <n v="5"/>
    <n v="1163.79"/>
    <n v="3.9161333999415802"/>
    <n v="618.53"/>
    <s v="IN"/>
    <n v="1"/>
    <n v="1308"/>
    <n v="1135"/>
    <n v="0.5"/>
    <n v="567.5"/>
  </r>
  <r>
    <x v="7"/>
    <s v="MA DE JESUS AVILA"/>
    <n v="16"/>
    <n v="36"/>
    <d v="1899-12-31T23:59:00"/>
    <s v="ma.de.jesus.avila@ejemplo.com"/>
    <x v="1"/>
    <n v="1081.0652"/>
    <n v="10"/>
    <n v="1163.79"/>
    <n v="7.8322667998831603"/>
    <n v="618.53"/>
    <s v="NI"/>
    <n v="1"/>
    <n v="1362"/>
    <n v="1189"/>
    <n v="0.5"/>
    <n v="594.5"/>
  </r>
  <r>
    <x v="7"/>
    <s v="RAFAEL ZAMUDIO JIMENEZ"/>
    <n v="18"/>
    <n v="36"/>
    <d v="1899-12-31T11:00:00"/>
    <s v="RAFAZAJ@YAHOO.COM.MX"/>
    <x v="2"/>
    <n v="1081.4650999999999"/>
    <n v="7"/>
    <n v="1163.79"/>
    <n v="5.4825867599182097"/>
    <n v="1097.8399999999999"/>
    <s v="AD"/>
    <n v="1"/>
    <n v="1330"/>
    <n v="1157"/>
    <n v="0"/>
    <n v="1157"/>
  </r>
  <r>
    <x v="7"/>
    <s v="INSEN CLEOTILDE FLORES RUBIO"/>
    <n v="2"/>
    <n v="36"/>
    <d v="1899-12-31T23:30:00"/>
    <s v="insen.cleotilde.flores.rubio@ejemplo.com"/>
    <x v="4"/>
    <n v="1081.3167000000001"/>
    <n v="5"/>
    <n v="1163.79"/>
    <n v="3.9161333999415802"/>
    <n v="601.29"/>
    <s v="IN"/>
    <n v="1"/>
    <n v="1308"/>
    <n v="1135"/>
    <n v="0.5"/>
    <n v="567.5"/>
  </r>
  <r>
    <x v="7"/>
    <s v="JUAN VASQUEZ QUIJAS"/>
    <n v="17"/>
    <n v="36"/>
    <d v="1899-12-31T23:30:00"/>
    <s v="juan.vasquez.quijas@ejemplo.com"/>
    <x v="4"/>
    <n v="1081.0465999999999"/>
    <n v="5"/>
    <n v="1163.79"/>
    <n v="3.9161333999415802"/>
    <n v="618.53"/>
    <s v="IN"/>
    <n v="1"/>
    <n v="1308"/>
    <n v="1135"/>
    <n v="0.5"/>
    <n v="567.5"/>
  </r>
  <r>
    <x v="7"/>
    <s v="RAUL FIGUEROA LEMUS"/>
    <n v="32"/>
    <n v="36"/>
    <d v="1899-12-31T23:30:00"/>
    <s v="RAUL.FIGUEROA@CARBON-CARBON.COM.MX"/>
    <x v="3"/>
    <n v="1080.6270999999999"/>
    <n v="0"/>
    <n v="1163.79"/>
    <n v="0"/>
    <n v="1175.17"/>
    <s v="AD"/>
    <n v="1"/>
    <n v="1254"/>
    <n v="1081"/>
    <n v="0"/>
    <n v="1081"/>
  </r>
  <r>
    <x v="7"/>
    <s v="RODOLFO ONTIVEROS GOMEZ"/>
    <n v="28"/>
    <n v="36"/>
    <d v="1899-12-31T23:30:00"/>
    <s v="rodolfo.ontiveros.gomez@ejemplo.com"/>
    <x v="3"/>
    <n v="1080.73"/>
    <n v="0"/>
    <n v="1163.79"/>
    <n v="0"/>
    <n v="989.65"/>
    <s v="PE"/>
    <n v="1"/>
    <n v="1254"/>
    <n v="1081"/>
    <n v="0"/>
    <n v="1081"/>
  </r>
  <r>
    <x v="7"/>
    <s v="JOSE MANUEL LOPEZ NAVARRETE"/>
    <n v="13"/>
    <n v="36"/>
    <d v="1899-12-31T02:00:00"/>
    <s v="PEPE@LOGHANPARTNERS.COM"/>
    <x v="2"/>
    <n v="1079.2311999999999"/>
    <n v="7"/>
    <n v="1163.79"/>
    <n v="5.4825867599182097"/>
    <n v="1219.83"/>
    <s v="AD"/>
    <n v="1"/>
    <n v="1327"/>
    <n v="1155"/>
    <n v="0"/>
    <n v="1155"/>
  </r>
  <r>
    <x v="7"/>
    <s v="EDWIN EMMANUEL AGUILERA"/>
    <n v="33"/>
    <n v="36"/>
    <d v="1899-12-31T11:00:00"/>
    <s v="GARCHAJP@GMAIL.COM"/>
    <x v="2"/>
    <n v="1080.8353"/>
    <n v="7"/>
    <n v="1163.79"/>
    <n v="5.4825867599182097"/>
    <n v="1175.17"/>
    <s v="AD"/>
    <n v="1"/>
    <n v="1329"/>
    <n v="1156"/>
    <n v="0"/>
    <n v="1156"/>
  </r>
  <r>
    <x v="7"/>
    <s v="JUAN PABLO GARCÃA"/>
    <n v="34"/>
    <n v="36"/>
    <d v="1899-12-31T11:00:00"/>
    <s v="GARCHAJP@GMAIL.COM"/>
    <x v="2"/>
    <n v="1080.8172999999999"/>
    <n v="7"/>
    <n v="1163.79"/>
    <n v="5.4825867599182097"/>
    <n v="1175.17"/>
    <s v="AD"/>
    <n v="1"/>
    <n v="1329"/>
    <n v="1156"/>
    <n v="0"/>
    <n v="1156"/>
  </r>
  <r>
    <x v="8"/>
    <s v="ANA KMARIA GARCIA PINETE"/>
    <n v="32"/>
    <n v="36"/>
    <d v="1899-12-31T02:00:00"/>
    <s v="ana.kmaria.garcia.pinete@ejemplo.com"/>
    <x v="1"/>
    <n v="1080.7888"/>
    <n v="10"/>
    <n v="1163.79"/>
    <n v="7.8322667998831603"/>
    <n v="618.53"/>
    <s v="NI"/>
    <n v="1"/>
    <n v="1362"/>
    <n v="1189"/>
    <n v="0.5"/>
    <n v="594.5"/>
  </r>
  <r>
    <x v="8"/>
    <s v="JUAN MARTINEZ DIAZ"/>
    <n v="35"/>
    <n v="36"/>
    <d v="1899-12-31T02:00:00"/>
    <s v="juan.martinez.diaz@ejemplo.com"/>
    <x v="1"/>
    <n v="1080.7348999999999"/>
    <n v="10"/>
    <n v="1163.79"/>
    <n v="7.8322667998831603"/>
    <n v="618.53"/>
    <s v="NI"/>
    <n v="1"/>
    <n v="1362"/>
    <n v="1189"/>
    <n v="0.5"/>
    <n v="594.5"/>
  </r>
  <r>
    <x v="8"/>
    <s v="VICTOR MANUEL TREJO DEL ANGEL"/>
    <n v="24"/>
    <n v="36"/>
    <d v="1899-12-31T02:00:00"/>
    <s v="victor.manuel.trejo.del.angel@ejemplo.com"/>
    <x v="2"/>
    <n v="1080.9321"/>
    <n v="7"/>
    <n v="1163.79"/>
    <n v="5.4825867599182097"/>
    <n v="1237.07"/>
    <s v="AD"/>
    <n v="1"/>
    <n v="1330"/>
    <n v="1157"/>
    <n v="0"/>
    <n v="1157"/>
  </r>
  <r>
    <x v="8"/>
    <s v="DIEGO ARMANDO MAESTRO OCEGUERA"/>
    <n v="8"/>
    <n v="36"/>
    <d v="1899-12-31T02:00:00"/>
    <s v="LICDIEGOMAESTRO@GMAIL.COM"/>
    <x v="2"/>
    <n v="1081.3510000000001"/>
    <n v="7"/>
    <n v="1163.79"/>
    <n v="5.4825867599182097"/>
    <n v="1237.07"/>
    <s v="AD"/>
    <n v="1"/>
    <n v="1330"/>
    <n v="1157"/>
    <n v="0"/>
    <n v="1157"/>
  </r>
  <r>
    <x v="8"/>
    <s v="ADRIANA VELAZQUEZ DE LA CRUZ"/>
    <n v="12"/>
    <n v="36"/>
    <d v="1899-12-31T02:00:00"/>
    <s v="ADRIANA845333@HOTMAIL.COM"/>
    <x v="0"/>
    <n v="1081.2925"/>
    <n v="2.5"/>
    <n v="1163.79"/>
    <n v="1.9580666999707901"/>
    <n v="1175.17"/>
    <s v="AD"/>
    <n v="1"/>
    <n v="1281"/>
    <n v="1108"/>
    <n v="0"/>
    <n v="1108"/>
  </r>
  <r>
    <x v="8"/>
    <s v="JOHAN TRISTÃN"/>
    <n v="28"/>
    <n v="36"/>
    <d v="1899-12-31T02:00:00"/>
    <s v="johan.tristÃ¡n@ejemplo.com"/>
    <x v="3"/>
    <n v="1080.8722"/>
    <n v="0"/>
    <n v="1163.79"/>
    <n v="0"/>
    <n v="1175.17"/>
    <s v="AD"/>
    <n v="1"/>
    <n v="1254"/>
    <n v="1081"/>
    <n v="0"/>
    <n v="1081"/>
  </r>
  <r>
    <x v="8"/>
    <s v="ISAAC SÃNCHEZ GONZÃLEZ"/>
    <n v="32"/>
    <n v="36"/>
    <d v="1899-12-31T23:30:00"/>
    <s v="ISAACSNZGLZ@GMAIL.COM"/>
    <x v="0"/>
    <n v="1080.5688"/>
    <n v="2.5"/>
    <n v="1163.79"/>
    <n v="1.9580666999707901"/>
    <n v="1175.17"/>
    <s v="AD"/>
    <n v="1"/>
    <n v="1280"/>
    <n v="1108"/>
    <n v="0"/>
    <n v="1108"/>
  </r>
  <r>
    <x v="8"/>
    <s v="DAVID TOVAR ESCOBAR"/>
    <n v="29"/>
    <n v="36"/>
    <d v="1899-12-31T02:00:00"/>
    <s v="DVDTXO@GMAIL.COM"/>
    <x v="0"/>
    <n v="1080.9855"/>
    <n v="2.5"/>
    <n v="1163.79"/>
    <n v="1.9580666999707901"/>
    <n v="1158.8800000000001"/>
    <s v="AD"/>
    <n v="1"/>
    <n v="1281"/>
    <n v="1108"/>
    <n v="0"/>
    <n v="1108"/>
  </r>
  <r>
    <x v="8"/>
    <s v="ADOLFO ROMERO"/>
    <n v="21"/>
    <n v="36"/>
    <d v="1899-12-31T23:59:00"/>
    <s v="adolfo.romero@ejemplo.com"/>
    <x v="2"/>
    <n v="1080.9409000000001"/>
    <n v="7"/>
    <n v="1163.79"/>
    <n v="5.4825867599182097"/>
    <n v="1237.07"/>
    <s v="AD"/>
    <n v="1"/>
    <n v="1330"/>
    <n v="1157"/>
    <n v="0"/>
    <n v="1157"/>
  </r>
  <r>
    <x v="8"/>
    <s v="JHON IRVIN HERNANDEZ LIRA"/>
    <n v="36"/>
    <n v="36"/>
    <d v="1899-12-31T23:59:00"/>
    <s v="jhon.irvin.hernandez.lira@ejemplo.com"/>
    <x v="2"/>
    <n v="1080.3347000000001"/>
    <n v="7"/>
    <n v="1163.79"/>
    <n v="5.4825867599182097"/>
    <n v="1237.07"/>
    <s v="AD"/>
    <n v="1"/>
    <n v="1329"/>
    <n v="1156"/>
    <n v="0"/>
    <n v="1156"/>
  </r>
  <r>
    <x v="8"/>
    <s v="DINORA MARISCAL"/>
    <n v="32"/>
    <n v="36"/>
    <d v="1899-12-31T02:00:00"/>
    <s v="dinora.mariscal@ejemplo.com"/>
    <x v="0"/>
    <n v="1080.8535999999999"/>
    <n v="2.5"/>
    <n v="1163.79"/>
    <n v="1.9580666999707901"/>
    <n v="1175.17"/>
    <s v="AD"/>
    <n v="1"/>
    <n v="1281"/>
    <n v="1108"/>
    <n v="0"/>
    <n v="1108"/>
  </r>
  <r>
    <x v="8"/>
    <s v="SAUL ORTEGA"/>
    <n v="21"/>
    <n v="36"/>
    <d v="1899-12-31T06:00:00"/>
    <s v="saul.ortega@ejemplo.com"/>
    <x v="5"/>
    <n v="1081.1129000000001"/>
    <n v="8.5"/>
    <n v="1163.79"/>
    <n v="6.6574267799006801"/>
    <n v="1237.07"/>
    <s v="AD"/>
    <n v="1"/>
    <n v="1346"/>
    <n v="1173"/>
    <n v="0"/>
    <n v="1173"/>
  </r>
  <r>
    <x v="8"/>
    <s v="VICTOR MANUEL CORTES"/>
    <n v="22"/>
    <n v="36"/>
    <d v="1899-12-31T06:00:00"/>
    <s v="victor.manuel.cortes@ejemplo.com"/>
    <x v="5"/>
    <n v="1080.9694"/>
    <n v="8.5"/>
    <n v="1163.79"/>
    <n v="6.6574267799006801"/>
    <n v="1237.07"/>
    <s v="AD"/>
    <n v="1"/>
    <n v="1346"/>
    <n v="1173"/>
    <n v="0"/>
    <n v="1173"/>
  </r>
  <r>
    <x v="8"/>
    <s v="HECTOR GAMALLIEL"/>
    <n v="13"/>
    <n v="36"/>
    <d v="1899-12-31T06:00:00"/>
    <s v="hector.gamalliel@ejemplo.com"/>
    <x v="5"/>
    <n v="1081.2560000000001"/>
    <n v="8.5"/>
    <n v="1163.79"/>
    <n v="6.6574267799006801"/>
    <n v="1237.07"/>
    <s v="AD"/>
    <n v="1"/>
    <n v="1346"/>
    <n v="1173"/>
    <n v="0"/>
    <n v="1173"/>
  </r>
  <r>
    <x v="8"/>
    <s v="ANTONIO AVILES MORALES"/>
    <n v="18"/>
    <n v="36"/>
    <d v="1899-12-31T06:00:00"/>
    <s v="antonio.aviles.morales@ejemplo.com"/>
    <x v="5"/>
    <n v="1081.1659999999999"/>
    <n v="8.5"/>
    <n v="1163.79"/>
    <n v="6.6574267799006801"/>
    <n v="1237.07"/>
    <s v="AD"/>
    <n v="1"/>
    <n v="1346"/>
    <n v="1173"/>
    <n v="0"/>
    <n v="1173"/>
  </r>
  <r>
    <x v="8"/>
    <s v="ANGEL ESQUIVEL"/>
    <n v="23"/>
    <n v="36"/>
    <d v="1899-12-31T23:59:00"/>
    <s v="angel.esquivel@ejemplo.com"/>
    <x v="5"/>
    <n v="1080.7336"/>
    <n v="8.5"/>
    <n v="1163.79"/>
    <n v="6.6574267799006801"/>
    <n v="1237.07"/>
    <s v="AD"/>
    <n v="1"/>
    <n v="1346"/>
    <n v="1173"/>
    <n v="0"/>
    <n v="1173"/>
  </r>
  <r>
    <x v="8"/>
    <s v="ANGEL ESQUIVEL"/>
    <n v="13"/>
    <n v="36"/>
    <d v="1899-12-31T02:00:00"/>
    <s v="angel.esquivel@ejemplo.com"/>
    <x v="5"/>
    <n v="1081.3136"/>
    <n v="8.5"/>
    <n v="1163.79"/>
    <n v="6.6574267799006801"/>
    <n v="1237.07"/>
    <s v="AD"/>
    <n v="1"/>
    <n v="1346"/>
    <n v="1173"/>
    <n v="0"/>
    <n v="1173"/>
  </r>
  <r>
    <x v="8"/>
    <s v="MARIA ALICIA HERNANDEZ VAZQUEZ"/>
    <n v="30"/>
    <n v="36"/>
    <d v="1899-12-31T23:30:00"/>
    <s v="maria.alicia.hernandez.vazquez@ejemplo.com"/>
    <x v="1"/>
    <n v="1080.6067"/>
    <n v="10"/>
    <n v="1163.79"/>
    <n v="7.8322667998831603"/>
    <n v="618.53"/>
    <s v="NI"/>
    <n v="1"/>
    <n v="1362"/>
    <n v="1189"/>
    <n v="0.5"/>
    <n v="594.5"/>
  </r>
  <r>
    <x v="8"/>
    <s v="CRISTIAN SANTOS"/>
    <n v="31"/>
    <n v="36"/>
    <d v="1899-12-31T23:30:00"/>
    <s v="cristian.santos@ejemplo.com"/>
    <x v="5"/>
    <n v="1080.5887"/>
    <n v="8.5"/>
    <n v="1163.79"/>
    <n v="6.6574267799006801"/>
    <n v="1237.07"/>
    <s v="AD"/>
    <n v="1"/>
    <n v="1345"/>
    <n v="1172"/>
    <n v="0"/>
    <n v="1172"/>
  </r>
  <r>
    <x v="8"/>
    <s v="NICOLE NAYDELIN DE LA VEGA BOJORGES"/>
    <n v="21"/>
    <n v="36"/>
    <d v="1899-12-31T23:59:00"/>
    <s v="CEMPASAJE@GMAIL.COM"/>
    <x v="2"/>
    <n v="1080.8866"/>
    <n v="7"/>
    <n v="1163.79"/>
    <n v="5.4825867599182097"/>
    <n v="1219.83"/>
    <s v="AD"/>
    <n v="1"/>
    <n v="1329"/>
    <n v="1157"/>
    <n v="0"/>
    <n v="1157"/>
  </r>
  <r>
    <x v="8"/>
    <s v="NICOLE NAYDELIN DE LA VEGA BOJORGES"/>
    <n v="14"/>
    <n v="36"/>
    <d v="1899-12-31T23:59:00"/>
    <s v="CEMPASAJE@GMAIL.COM"/>
    <x v="2"/>
    <n v="1081.0619999999999"/>
    <n v="7"/>
    <n v="1163.79"/>
    <n v="5.4825867599182097"/>
    <n v="1237.07"/>
    <s v="AD"/>
    <n v="1"/>
    <n v="1330"/>
    <n v="1157"/>
    <n v="0"/>
    <n v="1157"/>
  </r>
  <r>
    <x v="8"/>
    <s v="M DOLORES ROCHA"/>
    <n v="35"/>
    <n v="36"/>
    <d v="1899-12-31T11:00:00"/>
    <s v="m.dolores.rocha@ejemplo.com"/>
    <x v="4"/>
    <n v="1080.7373"/>
    <n v="5"/>
    <n v="1163.79"/>
    <n v="3.9161333999415802"/>
    <n v="618.53"/>
    <s v="IN"/>
    <n v="1"/>
    <n v="1308"/>
    <n v="1135"/>
    <n v="0.5"/>
    <n v="567.5"/>
  </r>
  <r>
    <x v="8"/>
    <s v="EMILY MARIBEL RAMOS RAMOS"/>
    <n v="18"/>
    <n v="36"/>
    <d v="1899-12-31T23:59:00"/>
    <s v="CEMPASAJE@GMAIL.COM"/>
    <x v="2"/>
    <n v="1080.9405999999999"/>
    <n v="7"/>
    <n v="1163.79"/>
    <n v="5.4825867599182097"/>
    <n v="1219.83"/>
    <s v="AD"/>
    <n v="1"/>
    <n v="1330"/>
    <n v="1157"/>
    <n v="0"/>
    <n v="1157"/>
  </r>
  <r>
    <x v="8"/>
    <s v="AMAYRANI JATZZIRI FERNANDO MARCELO"/>
    <n v="19"/>
    <n v="36"/>
    <d v="1899-12-31T23:59:00"/>
    <s v="CEMPASAJE@GMAIL.COM"/>
    <x v="2"/>
    <n v="1080.9224999999999"/>
    <n v="7"/>
    <n v="1163.79"/>
    <n v="5.4825867599182097"/>
    <n v="1219.83"/>
    <s v="AD"/>
    <n v="1"/>
    <n v="1330"/>
    <n v="1157"/>
    <n v="0"/>
    <n v="1157"/>
  </r>
  <r>
    <x v="8"/>
    <s v="EDWIN BLADIMIR BONILLA ASCENCIO"/>
    <n v="13"/>
    <n v="36"/>
    <d v="1899-12-31T23:59:00"/>
    <s v="EDWINASCENCIO223@GMAIL.COM"/>
    <x v="0"/>
    <n v="1081.1874"/>
    <n v="2.5"/>
    <n v="1163.79"/>
    <n v="1.9580666999707901"/>
    <n v="1116.3800000000001"/>
    <s v="AD"/>
    <n v="1"/>
    <n v="1281"/>
    <n v="1108"/>
    <n v="0"/>
    <n v="1108"/>
  </r>
  <r>
    <x v="8"/>
    <s v="SERGIO MERCADO"/>
    <n v="10"/>
    <n v="36"/>
    <d v="1899-12-31T11:00:00"/>
    <s v="sergio.mercado@ejemplo.com"/>
    <x v="5"/>
    <n v="1081.3050000000001"/>
    <n v="8.5"/>
    <n v="1163.79"/>
    <n v="6.6574267799006801"/>
    <n v="1237.07"/>
    <s v="AD"/>
    <n v="1"/>
    <n v="1346"/>
    <n v="1173"/>
    <n v="0"/>
    <n v="1173"/>
  </r>
  <r>
    <x v="8"/>
    <s v="ELISA VILLALVA MEZA"/>
    <n v="2"/>
    <n v="36"/>
    <d v="1899-12-31T06:00:00"/>
    <s v="HEIS_ZASA@HOTMAIL.COM"/>
    <x v="0"/>
    <n v="1081.6135999999999"/>
    <n v="2.5"/>
    <n v="1163.79"/>
    <n v="1.9580666999707901"/>
    <n v="609.91"/>
    <s v="IN"/>
    <n v="1"/>
    <n v="1282"/>
    <n v="1109"/>
    <n v="0.5"/>
    <n v="554.5"/>
  </r>
  <r>
    <x v="8"/>
    <s v="JUAN DAZA HERRERA"/>
    <n v="3"/>
    <n v="36"/>
    <d v="1899-12-31T06:00:00"/>
    <s v="HEIS_ZASA@HOTMAIL.COM"/>
    <x v="0"/>
    <n v="1081.5956000000001"/>
    <n v="2.5"/>
    <n v="1163.79"/>
    <n v="1.9580666999707901"/>
    <n v="609.91"/>
    <s v="IN"/>
    <n v="1"/>
    <n v="1282"/>
    <n v="1109"/>
    <n v="0.5"/>
    <n v="554.5"/>
  </r>
  <r>
    <x v="8"/>
    <s v="ADRIEL AGUILAR"/>
    <n v="14"/>
    <n v="36"/>
    <d v="1899-12-31T23:59:00"/>
    <s v="adriel.aguilar@ejemplo.com"/>
    <x v="4"/>
    <n v="1081.2222999999999"/>
    <n v="5"/>
    <n v="1163.79"/>
    <n v="3.9161333999415802"/>
    <n v="618.53"/>
    <s v="IN"/>
    <n v="1"/>
    <n v="1308"/>
    <n v="1135"/>
    <n v="0.5"/>
    <n v="567.5"/>
  </r>
  <r>
    <x v="8"/>
    <s v="CARLOS RAMIRO QUINTERO MONTAÃ‘O"/>
    <n v="7"/>
    <n v="36"/>
    <d v="1899-12-31T02:00:00"/>
    <s v="CYQG1204@GMAIL.COM"/>
    <x v="2"/>
    <n v="1081.7239999999999"/>
    <n v="7"/>
    <n v="1163.79"/>
    <n v="5.4825867599182097"/>
    <n v="609.91"/>
    <s v="IN"/>
    <n v="1"/>
    <n v="1331"/>
    <n v="1157"/>
    <n v="0.5"/>
    <n v="578.5"/>
  </r>
  <r>
    <x v="8"/>
    <s v="MARIO HERNANDEZ"/>
    <n v="35"/>
    <n v="36"/>
    <d v="1899-12-31T23:10:00"/>
    <s v="mario.hernandez@ejemplo.com"/>
    <x v="5"/>
    <n v="1080.6451"/>
    <n v="8.5"/>
    <n v="1163.79"/>
    <n v="6.6574267799006801"/>
    <n v="609.91"/>
    <s v="NI"/>
    <n v="1"/>
    <n v="1345"/>
    <n v="1172"/>
    <n v="0.5"/>
    <n v="586"/>
  </r>
  <r>
    <x v="8"/>
    <s v="HUGO ERNESTO HERNANDEZ HERNANDEZ"/>
    <n v="11"/>
    <n v="36"/>
    <d v="1899-12-31T23:30:00"/>
    <s v="TERESITA.STLS@GMAIL.COM"/>
    <x v="0"/>
    <n v="1081.127"/>
    <n v="2.5"/>
    <n v="1163.79"/>
    <n v="1.9580666999707901"/>
    <n v="1175.17"/>
    <s v="AD"/>
    <n v="1"/>
    <n v="1281"/>
    <n v="1108"/>
    <n v="0"/>
    <n v="1108"/>
  </r>
  <r>
    <x v="8"/>
    <s v="JAZMIN CONCHAS"/>
    <n v="19"/>
    <n v="36"/>
    <d v="1899-12-31T11:00:00"/>
    <s v="jazmin.conchas@ejemplo.com"/>
    <x v="2"/>
    <n v="1081.1976"/>
    <n v="7"/>
    <n v="1163.79"/>
    <n v="5.4825867599182097"/>
    <n v="1237.07"/>
    <s v="AD"/>
    <n v="1"/>
    <n v="1330"/>
    <n v="1157"/>
    <n v="0"/>
    <n v="1157"/>
  </r>
  <r>
    <x v="8"/>
    <s v="ROBERTO RUIZ"/>
    <n v="30"/>
    <n v="36"/>
    <d v="1899-12-31T23:59:00"/>
    <s v="roberto.ruiz@ejemplo.com"/>
    <x v="1"/>
    <n v="1080.8013000000001"/>
    <n v="10"/>
    <n v="1163.79"/>
    <n v="7.8322667998831603"/>
    <n v="618.53"/>
    <s v="NI"/>
    <n v="1"/>
    <n v="1362"/>
    <n v="1189"/>
    <n v="0.5"/>
    <n v="594.5"/>
  </r>
  <r>
    <x v="8"/>
    <s v="LIZBETH RUIZ"/>
    <n v="31"/>
    <n v="36"/>
    <d v="1899-12-31T23:59:00"/>
    <s v="lizbeth.ruiz@ejemplo.com"/>
    <x v="2"/>
    <n v="1080.7832000000001"/>
    <n v="7"/>
    <n v="1163.79"/>
    <n v="5.4825867599182097"/>
    <n v="1237.07"/>
    <s v="AD"/>
    <n v="1"/>
    <n v="1329"/>
    <n v="1156"/>
    <n v="0"/>
    <n v="1156"/>
  </r>
  <r>
    <x v="8"/>
    <s v="JUANA ELSA MALPICA SANCHEZ"/>
    <n v="32"/>
    <n v="36"/>
    <d v="1899-12-31T23:30:00"/>
    <s v="juana.elsa.malpica.sanchez@ejemplo.com"/>
    <x v="4"/>
    <n v="1080.5130999999999"/>
    <n v="5"/>
    <n v="1163.79"/>
    <n v="3.9161333999415802"/>
    <n v="609.91"/>
    <s v="IN"/>
    <n v="1"/>
    <n v="1307"/>
    <n v="1135"/>
    <n v="0.5"/>
    <n v="567.5"/>
  </r>
  <r>
    <x v="8"/>
    <s v="ERIC CRUZ LUNA"/>
    <n v="36"/>
    <n v="36"/>
    <d v="1899-12-31T23:30:00"/>
    <s v="J.SYMA.TSE@GMAIL.COM"/>
    <x v="0"/>
    <n v="1080.5447999999999"/>
    <n v="2.5"/>
    <n v="1163.79"/>
    <n v="1.9580666999707901"/>
    <n v="1175.17"/>
    <s v="AD"/>
    <n v="1"/>
    <n v="1280"/>
    <n v="1108"/>
    <n v="0"/>
    <n v="1108"/>
  </r>
  <r>
    <x v="8"/>
    <s v="FELIPE TOMAS AMADOR"/>
    <n v="27"/>
    <n v="36"/>
    <d v="1899-12-31T23:30:00"/>
    <s v="J.SYMA.TSE@GMAIL.COM"/>
    <x v="0"/>
    <n v="1080.7068999999999"/>
    <n v="2.5"/>
    <n v="1163.79"/>
    <n v="1.9580666999707901"/>
    <n v="1175.17"/>
    <s v="AD"/>
    <n v="1"/>
    <n v="1281"/>
    <n v="1108"/>
    <n v="0"/>
    <n v="1108"/>
  </r>
  <r>
    <x v="8"/>
    <s v="RODRIGO FERNÃNDEZ ANGUIANO"/>
    <n v="7"/>
    <n v="36"/>
    <d v="1899-12-31T02:00:00"/>
    <s v="GLEAL@GLIMAQUINARIA.MX"/>
    <x v="0"/>
    <n v="1081.4294"/>
    <n v="2.5"/>
    <n v="1163.79"/>
    <n v="1.9580666999707901"/>
    <n v="1175.17"/>
    <s v="AD"/>
    <n v="1"/>
    <n v="1281"/>
    <n v="1108"/>
    <n v="0"/>
    <n v="1108"/>
  </r>
  <r>
    <x v="8"/>
    <s v="FRANCISCO JOSE RESENDIZ"/>
    <n v="10"/>
    <n v="35"/>
    <d v="1899-12-31T23:30:00"/>
    <s v="francisco.jose.resendiz@ejemplo.com"/>
    <x v="1"/>
    <n v="1081.2167999999999"/>
    <n v="10"/>
    <n v="1163.79"/>
    <n v="7.8322667998831603"/>
    <n v="609.91"/>
    <s v="NI"/>
    <n v="1"/>
    <n v="1362"/>
    <n v="1189"/>
    <n v="0.5"/>
    <n v="594.5"/>
  </r>
  <r>
    <x v="8"/>
    <s v="MOISES AGUILAR"/>
    <n v="32"/>
    <n v="36"/>
    <d v="1899-12-31T11:00:00"/>
    <s v="KUMAV10@GMAIL.COM"/>
    <x v="0"/>
    <n v="1080.8423"/>
    <n v="2.5"/>
    <n v="1163.79"/>
    <n v="1.9580666999707901"/>
    <n v="1175.17"/>
    <s v="AD"/>
    <n v="1"/>
    <n v="1281"/>
    <n v="1108"/>
    <n v="0"/>
    <n v="1108"/>
  </r>
  <r>
    <x v="8"/>
    <s v="JORGE CABRERA"/>
    <n v="10"/>
    <n v="35"/>
    <d v="1899-12-31T06:00:00"/>
    <s v="ALE@PROMOSHOWGROUP.COM"/>
    <x v="0"/>
    <n v="1081.3726999999999"/>
    <n v="2.5"/>
    <n v="1163.79"/>
    <n v="1.9580666999707901"/>
    <n v="1175.17"/>
    <s v="AD"/>
    <n v="1"/>
    <n v="1281"/>
    <n v="1108"/>
    <n v="0"/>
    <n v="1108"/>
  </r>
  <r>
    <x v="8"/>
    <s v="ADRIAN MORA"/>
    <n v="16"/>
    <n v="36"/>
    <d v="1899-12-31T23:30:00"/>
    <s v="ADRIAN.MORA@INDUSTRIALSETER.COM.MX"/>
    <x v="3"/>
    <n v="1080.979"/>
    <n v="0"/>
    <n v="1163.79"/>
    <n v="0"/>
    <n v="1175.17"/>
    <s v="AD"/>
    <n v="1"/>
    <n v="1254"/>
    <n v="1081"/>
    <n v="0"/>
    <n v="1081"/>
  </r>
  <r>
    <x v="8"/>
    <s v="GRANT LEVY"/>
    <n v="22"/>
    <n v="36"/>
    <d v="1899-12-31T11:00:00"/>
    <s v="GRANTLEVY07@YAHOO.COM"/>
    <x v="0"/>
    <n v="1081.0210999999999"/>
    <n v="2.5"/>
    <n v="1163.79"/>
    <n v="1.9580666999707901"/>
    <n v="1175.17"/>
    <s v="AD"/>
    <n v="1"/>
    <n v="1281"/>
    <n v="1108"/>
    <n v="0"/>
    <n v="1108"/>
  </r>
  <r>
    <x v="8"/>
    <s v="MATHIAS TORRES"/>
    <n v="28"/>
    <n v="36"/>
    <d v="1899-12-31T11:00:00"/>
    <s v="GRANTLEVY07@YAHOO.COM"/>
    <x v="0"/>
    <n v="1080.9132999999999"/>
    <n v="2.5"/>
    <n v="1163.79"/>
    <n v="1.9580666999707901"/>
    <n v="1175.17"/>
    <s v="AD"/>
    <n v="1"/>
    <n v="1281"/>
    <n v="1108"/>
    <n v="0"/>
    <n v="1108"/>
  </r>
  <r>
    <x v="8"/>
    <s v="NOLAN MISKELL"/>
    <n v="25"/>
    <n v="36"/>
    <d v="1899-12-31T11:00:00"/>
    <s v="GRANTLEVY07@YAHOO.COM"/>
    <x v="0"/>
    <n v="1080.9672"/>
    <n v="2.5"/>
    <n v="1163.79"/>
    <n v="1.9580666999707901"/>
    <n v="1175.17"/>
    <s v="AD"/>
    <n v="1"/>
    <n v="1281"/>
    <n v="1108"/>
    <n v="0"/>
    <n v="1108"/>
  </r>
  <r>
    <x v="8"/>
    <s v="JOSÃ‰ LUIS BALBUENA AMARO"/>
    <n v="16"/>
    <n v="36"/>
    <d v="1899-12-31T11:00:00"/>
    <s v="BALBUENAJOSELUIS085@GMAIL.COM"/>
    <x v="0"/>
    <n v="1081.2609"/>
    <n v="2.5"/>
    <n v="1163.79"/>
    <n v="1.9580666999707901"/>
    <n v="1175.17"/>
    <s v="AD"/>
    <n v="1"/>
    <n v="1281"/>
    <n v="1108"/>
    <n v="0"/>
    <n v="1108"/>
  </r>
  <r>
    <x v="8"/>
    <s v="BRENDA ALEJANDRA ROSADO GONZALEZ"/>
    <n v="35"/>
    <n v="35"/>
    <d v="1899-12-31T06:00:00"/>
    <s v="ALEX331366@HOTMAIL.COM"/>
    <x v="0"/>
    <n v="1080.7891999999999"/>
    <n v="2.5"/>
    <n v="1163.79"/>
    <n v="1.9580666999707901"/>
    <n v="1175.17"/>
    <s v="AD"/>
    <n v="1"/>
    <n v="1281"/>
    <n v="1108"/>
    <n v="0"/>
    <n v="1108"/>
  </r>
  <r>
    <x v="8"/>
    <s v="LUIS ROBERTO YAÃ‘EZ ROCHIN"/>
    <n v="24"/>
    <n v="36"/>
    <d v="1899-12-31T23:30:00"/>
    <s v="LUISRYANEZR@HOTMAIL.COM"/>
    <x v="0"/>
    <n v="1080.7574"/>
    <n v="2.5"/>
    <n v="1163.79"/>
    <n v="1.9580666999707901"/>
    <n v="1175.17"/>
    <s v="AD"/>
    <n v="1"/>
    <n v="1281"/>
    <n v="1108"/>
    <n v="0"/>
    <n v="1108"/>
  </r>
  <r>
    <x v="8"/>
    <s v="GINO   LECA DIAZ"/>
    <n v="32"/>
    <n v="36"/>
    <d v="1899-12-31T23:59:00"/>
    <s v="gino...leca.diaz@ejemplo.com"/>
    <x v="5"/>
    <n v="1080.5675000000001"/>
    <n v="8.5"/>
    <n v="1163.79"/>
    <n v="6.6574267799006801"/>
    <n v="1237.07"/>
    <s v="AD"/>
    <n v="1"/>
    <n v="1345"/>
    <n v="1172"/>
    <n v="0"/>
    <n v="1172"/>
  </r>
  <r>
    <x v="8"/>
    <s v="RICARDO CHIO HERNANDEZ"/>
    <n v="10"/>
    <n v="36"/>
    <d v="1899-12-31T23:30:00"/>
    <s v="RCHIO49@OUTLOOK.COM"/>
    <x v="0"/>
    <n v="1081.1410000000001"/>
    <n v="2.5"/>
    <n v="1163.79"/>
    <n v="1.9580666999707901"/>
    <n v="1175.17"/>
    <s v="AD"/>
    <n v="1"/>
    <n v="1281"/>
    <n v="1108"/>
    <n v="0"/>
    <n v="1108"/>
  </r>
  <r>
    <x v="8"/>
    <s v="LIZETT CORONADO VILLANUEVA"/>
    <n v="1"/>
    <n v="36"/>
    <d v="1899-12-31T02:00:00"/>
    <s v="LIZETTCORONADOV@GMAIL.COM"/>
    <x v="0"/>
    <n v="1081.6950999999999"/>
    <n v="2.5"/>
    <n v="1163.79"/>
    <n v="1.9580666999707901"/>
    <n v="1175.17"/>
    <s v="AD"/>
    <n v="1"/>
    <n v="1282"/>
    <n v="1109"/>
    <n v="0"/>
    <n v="1109"/>
  </r>
  <r>
    <x v="8"/>
    <s v="MIGUEL ANGEL HERRERA ARELLANO"/>
    <n v="10"/>
    <n v="36"/>
    <d v="1899-12-31T23:30:00"/>
    <s v="MICKYAHA@YAHOO.COM.MX"/>
    <x v="2"/>
    <n v="1081.2301"/>
    <n v="7"/>
    <n v="1163.79"/>
    <n v="5.4825867599182097"/>
    <n v="1116.3800000000001"/>
    <s v="AD"/>
    <n v="1"/>
    <n v="1330"/>
    <n v="1157"/>
    <n v="0"/>
    <n v="1157"/>
  </r>
  <r>
    <x v="8"/>
    <s v="PAULINA DIAZ"/>
    <n v="33"/>
    <n v="36"/>
    <d v="1899-12-31T11:00:00"/>
    <s v="PAUPAUDIAZ@HOTMAIL.COM"/>
    <x v="2"/>
    <n v="1080.9531999999999"/>
    <n v="7"/>
    <n v="1163.79"/>
    <n v="5.4825867599182097"/>
    <n v="1097.8399999999999"/>
    <s v="AD"/>
    <n v="1"/>
    <n v="1330"/>
    <n v="1157"/>
    <n v="0"/>
    <n v="1157"/>
  </r>
  <r>
    <x v="8"/>
    <s v="ROCIO YAÃ‘EZ"/>
    <n v="34"/>
    <n v="36"/>
    <d v="1899-12-31T11:00:00"/>
    <s v="PAUPAUDIAZ@HOTMAIL.COM"/>
    <x v="2"/>
    <n v="1080.9353000000001"/>
    <n v="7"/>
    <n v="1163.79"/>
    <n v="5.4825867599182097"/>
    <n v="609.91"/>
    <s v="IN"/>
    <n v="1"/>
    <n v="1330"/>
    <n v="1157"/>
    <n v="0.5"/>
    <n v="578.5"/>
  </r>
  <r>
    <x v="8"/>
    <s v="JUAN CARLOS FLORES DIMAS"/>
    <n v="16"/>
    <n v="36"/>
    <d v="1899-12-31T02:00:00"/>
    <s v="FLORES.DIMAS.JCARLOS@GMAIL.COM"/>
    <x v="0"/>
    <n v="1081.2628"/>
    <n v="2.5"/>
    <n v="1163.79"/>
    <n v="1.9580666999707901"/>
    <n v="1175.17"/>
    <s v="AD"/>
    <n v="1"/>
    <n v="1281"/>
    <n v="1108"/>
    <n v="0"/>
    <n v="1108"/>
  </r>
  <r>
    <x v="8"/>
    <s v="ORLANDO HERNANDEZ ARIAS"/>
    <n v="24"/>
    <n v="36"/>
    <d v="1899-12-31T02:00:00"/>
    <s v="ORLANDO_HERNANDEZ2022@OUTLOOK.COM"/>
    <x v="0"/>
    <n v="1081.1475"/>
    <n v="2.5"/>
    <n v="1163.79"/>
    <n v="1.9580666999707901"/>
    <n v="1175.17"/>
    <s v="AD"/>
    <n v="1"/>
    <n v="1281"/>
    <n v="1108"/>
    <n v="0"/>
    <n v="1108"/>
  </r>
  <r>
    <x v="8"/>
    <s v="ANA KARINA ULLOA VERDIN"/>
    <n v="10"/>
    <n v="36"/>
    <d v="1899-12-31T02:00:00"/>
    <s v="KARIULLOA@GMAIL.COM"/>
    <x v="3"/>
    <n v="1081.4448"/>
    <n v="0"/>
    <n v="1163.79"/>
    <n v="0"/>
    <n v="1158.8800000000001"/>
    <s v="AD"/>
    <n v="1"/>
    <n v="1254"/>
    <n v="1081"/>
    <n v="0"/>
    <n v="1081"/>
  </r>
  <r>
    <x v="8"/>
    <s v="ANA KARINA ULLOA VERDIN"/>
    <n v="10"/>
    <n v="36"/>
    <d v="1899-12-31T02:00:00"/>
    <s v="KARIULLOA@GMAIL.COM"/>
    <x v="3"/>
    <n v="1081.4448"/>
    <n v="0"/>
    <n v="1163.79"/>
    <n v="0"/>
    <n v="1158.8800000000001"/>
    <s v="AD"/>
    <n v="1"/>
    <n v="1254"/>
    <n v="1081"/>
    <n v="0"/>
    <n v="1081"/>
  </r>
  <r>
    <x v="8"/>
    <s v="ANA KARINA ULLOA VERDIN"/>
    <n v="10"/>
    <n v="36"/>
    <d v="1899-12-31T02:00:00"/>
    <s v="KARIULLOA@GMAIL.COM"/>
    <x v="3"/>
    <n v="1081.4448"/>
    <n v="0"/>
    <n v="1163.79"/>
    <n v="0"/>
    <n v="1158.8800000000001"/>
    <s v="AD"/>
    <n v="1"/>
    <n v="1254"/>
    <n v="1081"/>
    <n v="0"/>
    <n v="1081"/>
  </r>
  <r>
    <x v="8"/>
    <s v="OSCAR LEONARDO CARDENAS ULLOA"/>
    <n v="11"/>
    <n v="36"/>
    <d v="1899-12-31T02:00:00"/>
    <s v="KARIULLOA@GMAIL.COM"/>
    <x v="3"/>
    <n v="1081.4268"/>
    <n v="0"/>
    <n v="1163.79"/>
    <n v="0"/>
    <n v="1158.8800000000001"/>
    <s v="AD"/>
    <n v="1"/>
    <n v="1254"/>
    <n v="1081"/>
    <n v="0"/>
    <n v="1081"/>
  </r>
  <r>
    <x v="8"/>
    <s v="OSCAR LEONARDO CARDENAS ULLOA"/>
    <n v="11"/>
    <n v="36"/>
    <d v="1899-12-31T02:00:00"/>
    <s v="KARIULLOA@GMAIL.COM"/>
    <x v="3"/>
    <n v="1081.4268"/>
    <n v="0"/>
    <n v="1163.79"/>
    <n v="0"/>
    <n v="1158.8800000000001"/>
    <s v="AD"/>
    <n v="1"/>
    <n v="1254"/>
    <n v="1081"/>
    <n v="0"/>
    <n v="1081"/>
  </r>
  <r>
    <x v="8"/>
    <s v="OSCAR LEONARDO CARDENAS ULLOA"/>
    <n v="11"/>
    <n v="36"/>
    <d v="1899-12-31T02:00:00"/>
    <s v="KARIULLOA@GMAIL.COM"/>
    <x v="3"/>
    <n v="1081.4268"/>
    <n v="0"/>
    <n v="1163.79"/>
    <n v="0"/>
    <n v="1158.8800000000001"/>
    <s v="AD"/>
    <n v="1"/>
    <n v="1254"/>
    <n v="1081"/>
    <n v="0"/>
    <n v="1081"/>
  </r>
  <r>
    <x v="8"/>
    <s v="SARA ELIZABETH CARDENAS ULLOA"/>
    <n v="12"/>
    <n v="36"/>
    <d v="1899-12-31T02:00:00"/>
    <s v="KARIULLOA@GMAIL.COM"/>
    <x v="3"/>
    <n v="1081.4087"/>
    <n v="0"/>
    <n v="1163.79"/>
    <n v="0"/>
    <n v="1158.8800000000001"/>
    <s v="AD"/>
    <n v="1"/>
    <n v="1254"/>
    <n v="1081"/>
    <n v="0"/>
    <n v="1081"/>
  </r>
  <r>
    <x v="8"/>
    <s v="SARA ELIZABETH CARDENAS ULLOA"/>
    <n v="12"/>
    <n v="36"/>
    <d v="1899-12-31T02:00:00"/>
    <s v="KARIULLOA@GMAIL.COM"/>
    <x v="3"/>
    <n v="1081.4087"/>
    <n v="0"/>
    <n v="1163.79"/>
    <n v="0"/>
    <n v="1158.8800000000001"/>
    <s v="AD"/>
    <n v="1"/>
    <n v="1254"/>
    <n v="1081"/>
    <n v="0"/>
    <n v="1081"/>
  </r>
  <r>
    <x v="8"/>
    <s v="SARA ELIZABETH CARDENAS ULLOA"/>
    <n v="12"/>
    <n v="36"/>
    <d v="1899-12-31T02:00:00"/>
    <s v="KARIULLOA@GMAIL.COM"/>
    <x v="3"/>
    <n v="1081.4087"/>
    <n v="0"/>
    <n v="1163.79"/>
    <n v="0"/>
    <n v="1158.8800000000001"/>
    <s v="AD"/>
    <n v="1"/>
    <n v="1254"/>
    <n v="1081"/>
    <n v="0"/>
    <n v="1081"/>
  </r>
  <r>
    <x v="8"/>
    <s v="VICTOR ORTIZ"/>
    <n v="21"/>
    <n v="36"/>
    <d v="1899-12-31T23:30:00"/>
    <s v="victor.ortiz@ejemplo.com"/>
    <x v="5"/>
    <n v="1080.8812"/>
    <n v="8.5"/>
    <n v="1163.79"/>
    <n v="6.6574267799006801"/>
    <n v="1237.07"/>
    <s v="AD"/>
    <n v="1"/>
    <n v="1346"/>
    <n v="1173"/>
    <n v="0"/>
    <n v="1173"/>
  </r>
  <r>
    <x v="8"/>
    <s v="MIGUEL ANGEL GAITAN FERNANDEZ"/>
    <n v="5"/>
    <n v="36"/>
    <d v="1899-12-31T11:00:00"/>
    <s v="GAITANMIGUEL@GMAIL.COM"/>
    <x v="0"/>
    <n v="1081.4547"/>
    <n v="2.5"/>
    <n v="1163.79"/>
    <n v="1.9580666999707901"/>
    <n v="1175.17"/>
    <s v="AD"/>
    <n v="1"/>
    <n v="1282"/>
    <n v="1108"/>
    <n v="0"/>
    <n v="1108"/>
  </r>
  <r>
    <x v="8"/>
    <s v="JORGE OSMAR BAUTISTA HERNANDEZ"/>
    <n v="10"/>
    <n v="36"/>
    <d v="1899-12-31T02:00:00"/>
    <s v="OFICINA.CASAVI@GMAIL.COM"/>
    <x v="2"/>
    <n v="1081.3683000000001"/>
    <n v="7"/>
    <n v="1163.79"/>
    <n v="5.4825867599182097"/>
    <n v="1175.17"/>
    <s v="AD"/>
    <n v="1"/>
    <n v="1330"/>
    <n v="1157"/>
    <n v="0"/>
    <n v="1157"/>
  </r>
  <r>
    <x v="8"/>
    <s v="GUADALUPE GOMEZ GONZALZ"/>
    <n v="10"/>
    <n v="36"/>
    <d v="1899-12-31T23:10:00"/>
    <s v="guadalupe.gomez.gonzalz@ejemplo.com"/>
    <x v="1"/>
    <n v="1081.0784000000001"/>
    <n v="10"/>
    <n v="1163.79"/>
    <n v="7.8322667998831603"/>
    <n v="618.53"/>
    <s v="NI"/>
    <n v="1"/>
    <n v="1362"/>
    <n v="1189"/>
    <n v="0.5"/>
    <n v="594.5"/>
  </r>
  <r>
    <x v="8"/>
    <s v="JOSE LUIS GUERRERO MOYA"/>
    <n v="1"/>
    <n v="36"/>
    <d v="1899-12-31T23:59:00"/>
    <s v="jose.luis.guerrero.moya@ejemplo.com"/>
    <x v="1"/>
    <n v="1081.2401"/>
    <n v="10"/>
    <n v="1163.79"/>
    <n v="7.8322667998831603"/>
    <n v="618.53"/>
    <s v="IN"/>
    <n v="1"/>
    <n v="1362"/>
    <n v="1189"/>
    <n v="0.5"/>
    <n v="594.5"/>
  </r>
  <r>
    <x v="8"/>
    <s v="JUAN  MANUEL AGUILAR"/>
    <n v="35"/>
    <n v="36"/>
    <d v="1899-12-31T23:10:00"/>
    <s v="juan..manuel.aguilar@ejemplo.com"/>
    <x v="5"/>
    <n v="1080.5099"/>
    <n v="8.5"/>
    <n v="1163.79"/>
    <n v="6.6574267799006801"/>
    <n v="1237.07"/>
    <s v="AD"/>
    <n v="1"/>
    <n v="1345"/>
    <n v="1172"/>
    <n v="0"/>
    <n v="1172"/>
  </r>
  <r>
    <x v="8"/>
    <s v="ALVARO VIÃ‘AGRNA"/>
    <n v="21"/>
    <n v="36"/>
    <d v="1899-12-31T23:10:00"/>
    <s v="alvaro.viÃ±agrna@ejemplo.com"/>
    <x v="1"/>
    <n v="1080.8804"/>
    <n v="10"/>
    <n v="1163.79"/>
    <n v="7.8322667998831603"/>
    <n v="618.53"/>
    <s v="NI"/>
    <n v="1"/>
    <n v="1362"/>
    <n v="1189"/>
    <n v="0.5"/>
    <n v="594.5"/>
  </r>
  <r>
    <x v="8"/>
    <s v="MANUEL OLMEDO"/>
    <n v="18"/>
    <n v="36"/>
    <d v="1899-12-31T23:59:00"/>
    <s v="manuel.olmedo@ejemplo.com"/>
    <x v="5"/>
    <n v="1080.9337"/>
    <n v="8.5"/>
    <n v="1163.79"/>
    <n v="6.6574267799006801"/>
    <n v="1237.07"/>
    <s v="AD"/>
    <n v="1"/>
    <n v="1346"/>
    <n v="1173"/>
    <n v="0"/>
    <n v="1173"/>
  </r>
  <r>
    <x v="9"/>
    <s v="ADRIANA GOMEZ"/>
    <n v="35"/>
    <n v="36"/>
    <d v="1899-12-31T02:00:00"/>
    <s v="adriana.gomez@ejemplo.com"/>
    <x v="2"/>
    <n v="1080.7716"/>
    <n v="7"/>
    <n v="1163.79"/>
    <n v="5.4825867599182097"/>
    <n v="1237.07"/>
    <s v="AD"/>
    <n v="1"/>
    <n v="1329"/>
    <n v="1156"/>
    <n v="0"/>
    <n v="1156"/>
  </r>
  <r>
    <x v="9"/>
    <s v="LUNA RAQUEL GARCI ESCOBAR"/>
    <n v="8"/>
    <n v="36"/>
    <d v="1899-12-31T02:00:00"/>
    <s v="luna.raquel.garci.escobar@ejemplo.com"/>
    <x v="2"/>
    <n v="1081.3885"/>
    <n v="7"/>
    <n v="1163.79"/>
    <n v="5.4825867599182097"/>
    <n v="1237.07"/>
    <s v="AD"/>
    <n v="1"/>
    <n v="1330"/>
    <n v="1157"/>
    <n v="0"/>
    <n v="1157"/>
  </r>
  <r>
    <x v="9"/>
    <s v="LARIZA ESCOBAR BON"/>
    <n v="12"/>
    <n v="36"/>
    <d v="1899-12-31T02:00:00"/>
    <s v="lariza.escobar.bon@ejemplo.com"/>
    <x v="2"/>
    <n v="1081.3168000000001"/>
    <n v="7"/>
    <n v="1163.79"/>
    <n v="5.4825867599182097"/>
    <n v="1237.07"/>
    <s v="AD"/>
    <n v="1"/>
    <n v="1330"/>
    <n v="1157"/>
    <n v="0"/>
    <n v="1157"/>
  </r>
  <r>
    <x v="9"/>
    <s v="FLOR DE MARIA MARTINEZ GALEANA"/>
    <n v="4"/>
    <n v="36"/>
    <d v="1899-12-31T02:00:00"/>
    <s v="flor.de.maria.martinez.galeana@ejemplo.com"/>
    <x v="2"/>
    <n v="1081.328"/>
    <n v="7"/>
    <n v="1163.79"/>
    <n v="5.4825867599182097"/>
    <n v="1237.07"/>
    <s v="AD"/>
    <n v="1"/>
    <n v="1330"/>
    <n v="1157"/>
    <n v="0"/>
    <n v="1157"/>
  </r>
  <r>
    <x v="9"/>
    <s v="CARIÃ‘O TAVERA"/>
    <n v="28"/>
    <n v="36"/>
    <d v="1899-12-31T02:00:00"/>
    <s v="cariÃ±o.tavera@ejemplo.com"/>
    <x v="2"/>
    <n v="1080.8966"/>
    <n v="7"/>
    <n v="1163.79"/>
    <n v="5.4825867599182097"/>
    <n v="1237.07"/>
    <s v="AD"/>
    <n v="1"/>
    <n v="1330"/>
    <n v="1157"/>
    <n v="0"/>
    <n v="1157"/>
  </r>
  <r>
    <x v="9"/>
    <s v="MAGALI HERNANDEZ"/>
    <n v="19"/>
    <n v="36"/>
    <d v="1899-12-31T02:00:00"/>
    <s v="magali.hernandez@ejemplo.com"/>
    <x v="2"/>
    <n v="1081.191"/>
    <n v="7"/>
    <n v="1163.79"/>
    <n v="5.4825867599182097"/>
    <n v="1237.07"/>
    <s v="AD"/>
    <n v="1"/>
    <n v="1330"/>
    <n v="1157"/>
    <n v="0"/>
    <n v="1157"/>
  </r>
  <r>
    <x v="9"/>
    <s v="MERCEDES GONZALEZ"/>
    <n v="20"/>
    <n v="36"/>
    <d v="1899-12-31T02:00:00"/>
    <s v="mercedes.gonzalez@ejemplo.com"/>
    <x v="2"/>
    <n v="1081.173"/>
    <n v="7"/>
    <n v="1163.79"/>
    <n v="5.4825867599182097"/>
    <n v="1237.07"/>
    <s v="AD"/>
    <n v="1"/>
    <n v="1330"/>
    <n v="1157"/>
    <n v="0"/>
    <n v="1157"/>
  </r>
  <r>
    <x v="9"/>
    <s v="TAILANI FLORES"/>
    <n v="21"/>
    <n v="36"/>
    <d v="1899-12-31T02:00:00"/>
    <s v="tailani.flores@ejemplo.com"/>
    <x v="2"/>
    <n v="1081.1548"/>
    <n v="7"/>
    <n v="1163.79"/>
    <n v="5.4825867599182097"/>
    <n v="1237.07"/>
    <s v="AD"/>
    <n v="1"/>
    <n v="1330"/>
    <n v="1157"/>
    <n v="0"/>
    <n v="1157"/>
  </r>
  <r>
    <x v="9"/>
    <s v="GABRIELA PEREZ ABOYTES"/>
    <n v="7"/>
    <n v="36"/>
    <d v="1899-12-31T23:59:00"/>
    <s v="PERFORMICSGAB@GMAIL.COMP"/>
    <x v="2"/>
    <n v="1081.2786000000001"/>
    <n v="7"/>
    <n v="1163.79"/>
    <n v="5.4825867599182097"/>
    <n v="1116.3800000000001"/>
    <s v="AD"/>
    <n v="1"/>
    <n v="1330"/>
    <n v="1157"/>
    <n v="0"/>
    <n v="1157"/>
  </r>
  <r>
    <x v="9"/>
    <s v="MIGUEL FIGUEROA"/>
    <n v="7"/>
    <n v="36"/>
    <d v="1899-12-31T11:00:00"/>
    <s v="FILM230378@GMAIL.COM"/>
    <x v="0"/>
    <n v="1081.5764999999999"/>
    <n v="2.5"/>
    <n v="1163.79"/>
    <n v="1.9580666999707901"/>
    <n v="1175.17"/>
    <s v="AD"/>
    <n v="1"/>
    <n v="1282"/>
    <n v="1109"/>
    <n v="0"/>
    <n v="1109"/>
  </r>
  <r>
    <x v="9"/>
    <s v="LAURA ELENA ALVARADO LEAL"/>
    <n v="3"/>
    <n v="36"/>
    <d v="1899-12-31T02:00:00"/>
    <s v="MARCOCAS@INFINITUMMAIL.COM"/>
    <x v="4"/>
    <n v="1081.6487"/>
    <n v="5"/>
    <n v="1163.79"/>
    <n v="3.9161333999415802"/>
    <n v="618.53"/>
    <s v="IN"/>
    <n v="1"/>
    <n v="1309"/>
    <n v="1136"/>
    <n v="0.5"/>
    <n v="568"/>
  </r>
  <r>
    <x v="9"/>
    <s v="LAURA ELENA ALVARADO LEAL"/>
    <n v="3"/>
    <n v="36"/>
    <d v="1899-12-31T02:00:00"/>
    <s v="MARCOCAS@INFINITUMMAIL.COM"/>
    <x v="4"/>
    <n v="1081.6487"/>
    <n v="5"/>
    <n v="1163.79"/>
    <n v="3.9161333999415802"/>
    <n v="618.53"/>
    <s v="IN"/>
    <n v="1"/>
    <n v="1309"/>
    <n v="1136"/>
    <n v="0.5"/>
    <n v="568"/>
  </r>
  <r>
    <x v="9"/>
    <s v="MARCO ANTONIO CASTILLO MARTINEZ"/>
    <n v="2"/>
    <n v="36"/>
    <d v="1899-12-31T02:00:00"/>
    <s v="MARCOCAS@INFINITUMMAIL.COM"/>
    <x v="4"/>
    <n v="1081.6668999999999"/>
    <n v="5"/>
    <n v="1163.79"/>
    <n v="3.9161333999415802"/>
    <n v="618.53"/>
    <s v="IN"/>
    <n v="1"/>
    <n v="1309"/>
    <n v="1136"/>
    <n v="0.5"/>
    <n v="568"/>
  </r>
  <r>
    <x v="9"/>
    <s v="MARCO ANTONIO CASTILLO MARTINEZ"/>
    <n v="2"/>
    <n v="36"/>
    <d v="1899-12-31T02:00:00"/>
    <s v="MARCOCAS@INFINITUMMAIL.COM"/>
    <x v="4"/>
    <n v="1081.6668999999999"/>
    <n v="5"/>
    <n v="1163.79"/>
    <n v="3.9161333999415802"/>
    <n v="618.53"/>
    <s v="IN"/>
    <n v="1"/>
    <n v="1309"/>
    <n v="1136"/>
    <n v="0.5"/>
    <n v="568"/>
  </r>
  <r>
    <x v="9"/>
    <s v="SALVADOR LOPEZ"/>
    <n v="32"/>
    <n v="35"/>
    <d v="1899-12-31T06:00:00"/>
    <s v="salvador.lopez@ejemplo.com"/>
    <x v="5"/>
    <n v="1080.8253999999999"/>
    <n v="8.5"/>
    <n v="1163.79"/>
    <n v="6.6574267799006801"/>
    <n v="1237.07"/>
    <s v="AD"/>
    <n v="1"/>
    <n v="1346"/>
    <n v="1173"/>
    <n v="0"/>
    <n v="1173"/>
  </r>
  <r>
    <x v="9"/>
    <s v="LAURIANI AGNOLIN"/>
    <n v="17"/>
    <n v="35"/>
    <d v="1899-12-31T06:00:00"/>
    <s v="lauriani.agnolin@ejemplo.com"/>
    <x v="5"/>
    <n v="1081.0952"/>
    <n v="8.5"/>
    <n v="1163.79"/>
    <n v="6.6574267799006801"/>
    <n v="1237.07"/>
    <s v="AD"/>
    <n v="1"/>
    <n v="1346"/>
    <n v="1173"/>
    <n v="0"/>
    <n v="1173"/>
  </r>
  <r>
    <x v="9"/>
    <s v="LORENZO MONTES RIOS"/>
    <n v="5"/>
    <n v="35"/>
    <d v="1899-12-31T06:00:00"/>
    <s v="lorenzo.montes.rios@ejemplo.com"/>
    <x v="1"/>
    <n v="1081.4375"/>
    <n v="10"/>
    <n v="1163.79"/>
    <n v="7.8322667998831603"/>
    <n v="618.53"/>
    <s v="NI"/>
    <n v="1"/>
    <n v="1363"/>
    <n v="1190"/>
    <n v="0.5"/>
    <n v="595"/>
  </r>
  <r>
    <x v="9"/>
    <s v="JOSE GUADALUPE MONTES ARELLANOS"/>
    <n v="6"/>
    <n v="35"/>
    <d v="1899-12-31T06:00:00"/>
    <s v="jose.guadalupe.montes.arellanos@ejemplo.com"/>
    <x v="5"/>
    <n v="1081.4195999999999"/>
    <n v="8.5"/>
    <n v="1163.79"/>
    <n v="6.6574267799006801"/>
    <n v="1237.07"/>
    <s v="AD"/>
    <n v="1"/>
    <n v="1346"/>
    <n v="1173"/>
    <n v="0"/>
    <n v="1173"/>
  </r>
  <r>
    <x v="9"/>
    <s v="GUILLERMO IGNACIO CAÃ‘EDO VELAZQUEZ"/>
    <n v="35"/>
    <n v="36"/>
    <d v="1899-12-31T02:00:00"/>
    <s v="GUILLERMOCANEDO@YAHOO.COM"/>
    <x v="0"/>
    <n v="1080.9395"/>
    <n v="2.5"/>
    <n v="1163.79"/>
    <n v="1.9580666999707901"/>
    <n v="1175.17"/>
    <s v="AD"/>
    <n v="1"/>
    <n v="1281"/>
    <n v="1108"/>
    <n v="0"/>
    <n v="1108"/>
  </r>
  <r>
    <x v="9"/>
    <s v="DIEGO VARGAS"/>
    <n v="30"/>
    <n v="36"/>
    <d v="1899-12-31T11:00:00"/>
    <s v="diego.vargas@ejemplo.com"/>
    <x v="5"/>
    <n v="1080.8635999999999"/>
    <n v="8.5"/>
    <n v="1163.79"/>
    <n v="6.6574267799006801"/>
    <n v="1237.07"/>
    <s v="AD"/>
    <n v="1"/>
    <n v="1346"/>
    <n v="1173"/>
    <n v="0"/>
    <n v="1173"/>
  </r>
  <r>
    <x v="9"/>
    <s v="DANIEL MEDINA"/>
    <n v="26"/>
    <n v="36"/>
    <d v="1899-12-31T23:30:00"/>
    <s v="daniel.medina@ejemplo.com"/>
    <x v="5"/>
    <n v="1080.8579"/>
    <n v="8.5"/>
    <n v="1163.79"/>
    <n v="6.6574267799006801"/>
    <n v="1237.07"/>
    <s v="AD"/>
    <n v="1"/>
    <n v="1346"/>
    <n v="1173"/>
    <n v="0"/>
    <n v="1173"/>
  </r>
  <r>
    <x v="9"/>
    <s v="SEBASTIAN FERNANDEZ MONCADA"/>
    <n v="26"/>
    <n v="36"/>
    <d v="1899-12-31T02:00:00"/>
    <s v="BASTIANPIANO98@GMAIL.COM"/>
    <x v="0"/>
    <n v="1081.0974000000001"/>
    <n v="2.5"/>
    <n v="1163.79"/>
    <n v="1.9580666999707901"/>
    <n v="1175.17"/>
    <s v="AD"/>
    <n v="1"/>
    <n v="1281"/>
    <n v="1108"/>
    <n v="0"/>
    <n v="1108"/>
  </r>
  <r>
    <x v="9"/>
    <s v="VICTOR OSORIO MORALES"/>
    <n v="35"/>
    <n v="36"/>
    <d v="1899-12-31T23:30:00"/>
    <s v="VICTOR200292@GMAIL.COM"/>
    <x v="3"/>
    <n v="1080.5433"/>
    <n v="0"/>
    <n v="1163.79"/>
    <n v="0"/>
    <n v="1175.17"/>
    <s v="AD"/>
    <n v="1"/>
    <n v="1253"/>
    <n v="1081"/>
    <n v="0"/>
    <n v="1081"/>
  </r>
  <r>
    <x v="9"/>
    <s v="SAÃšL IVAN POPOCA RODRIGUEZ"/>
    <n v="24"/>
    <n v="36"/>
    <d v="1899-12-31T06:00:00"/>
    <s v="SAUL.POPOCA@CONDUITLIFE.MX"/>
    <x v="0"/>
    <n v="1081.1306999999999"/>
    <n v="2.5"/>
    <n v="1163.79"/>
    <n v="1.9580666999707901"/>
    <n v="1175.17"/>
    <s v="AD"/>
    <n v="1"/>
    <n v="1281"/>
    <n v="1108"/>
    <n v="0"/>
    <n v="1108"/>
  </r>
  <r>
    <x v="9"/>
    <s v="KARINA HERNANDEZ"/>
    <n v="18"/>
    <n v="36"/>
    <d v="1899-12-31T23:30:00"/>
    <s v="SOFARME.KARINA@GMAIL.COM"/>
    <x v="3"/>
    <n v="1080.9806000000001"/>
    <n v="0"/>
    <n v="1163.79"/>
    <n v="0"/>
    <n v="1175.17"/>
    <s v="AD"/>
    <n v="1"/>
    <n v="1254"/>
    <n v="1081"/>
    <n v="0"/>
    <n v="1081"/>
  </r>
  <r>
    <x v="9"/>
    <s v="MA DEL CARMEN TORRES GUTIÃ‰RREZ"/>
    <n v="4"/>
    <n v="36"/>
    <d v="1899-12-31T23:30:00"/>
    <s v="VMARTOR611@GMAIL.COM"/>
    <x v="4"/>
    <n v="1081.1896999999999"/>
    <n v="5"/>
    <n v="1163.79"/>
    <n v="3.9161333999415802"/>
    <n v="618.53"/>
    <s v="IN"/>
    <n v="1"/>
    <n v="1308"/>
    <n v="1135"/>
    <n v="0.5"/>
    <n v="567.5"/>
  </r>
  <r>
    <x v="9"/>
    <s v="CLOTILDE  ALVAREZ DEL CHAVEZ"/>
    <n v="35"/>
    <n v="36"/>
    <d v="1899-12-31T11:00:00"/>
    <s v="clotilde..alvarez.del.chavez@ejemplo.com"/>
    <x v="1"/>
    <n v="1080.8420000000001"/>
    <n v="10"/>
    <n v="1163.79"/>
    <n v="7.8322667998831603"/>
    <n v="609.91"/>
    <s v="IN"/>
    <n v="1"/>
    <n v="1362"/>
    <n v="1189"/>
    <n v="0.5"/>
    <n v="594.5"/>
  </r>
  <r>
    <x v="9"/>
    <s v="ESTEBAN FILADELFO ARREDONDO ARGUELLO"/>
    <n v="4"/>
    <n v="36"/>
    <d v="1899-12-31T02:00:00"/>
    <s v="ESTEBANARREDONDO905@GMAIL.COM"/>
    <x v="0"/>
    <n v="1081.4911999999999"/>
    <n v="2.5"/>
    <n v="1163.79"/>
    <n v="1.9580666999707901"/>
    <n v="1175.17"/>
    <s v="AD"/>
    <n v="1"/>
    <n v="1282"/>
    <n v="1109"/>
    <n v="0"/>
    <n v="1109"/>
  </r>
  <r>
    <x v="9"/>
    <s v="ANTONIO GONZALEZ GOMEZ"/>
    <n v="34"/>
    <n v="36"/>
    <d v="1899-12-31T23:59:00"/>
    <s v="GONZACYCLON11@GMAIL.COM"/>
    <x v="0"/>
    <n v="1080.7206000000001"/>
    <n v="2.5"/>
    <n v="1163.79"/>
    <n v="1.9580666999707901"/>
    <n v="1175.17"/>
    <s v="AD"/>
    <n v="1"/>
    <n v="1281"/>
    <n v="1108"/>
    <n v="0"/>
    <n v="1108"/>
  </r>
  <r>
    <x v="9"/>
    <s v="ANTONIO GONZALEZ GOMEZ"/>
    <n v="34"/>
    <n v="36"/>
    <d v="1899-12-31T23:59:00"/>
    <s v="EZAUGONZA_69@HOTMAIL.COM"/>
    <x v="0"/>
    <n v="1080.7206000000001"/>
    <n v="2.5"/>
    <n v="1163.79"/>
    <n v="1.9580666999707901"/>
    <n v="1175.17"/>
    <s v="AD"/>
    <n v="1"/>
    <n v="1281"/>
    <n v="1108"/>
    <n v="0"/>
    <n v="1108"/>
  </r>
  <r>
    <x v="9"/>
    <s v="MIGUEL GONZÃLEZ GÃ“MEZ"/>
    <n v="33"/>
    <n v="36"/>
    <d v="1899-12-31T23:59:00"/>
    <s v="GONZACYCLON11@GMAIL.COM"/>
    <x v="0"/>
    <n v="1080.7385999999999"/>
    <n v="2.5"/>
    <n v="1163.79"/>
    <n v="1.9580666999707901"/>
    <n v="1175.17"/>
    <s v="AD"/>
    <n v="1"/>
    <n v="1281"/>
    <n v="1108"/>
    <n v="0"/>
    <n v="1108"/>
  </r>
  <r>
    <x v="9"/>
    <s v="MIGUEL GONZÃLEZ GÃ“MEZ"/>
    <n v="33"/>
    <n v="36"/>
    <d v="1899-12-31T23:59:00"/>
    <s v="EZAUGONZA_69@HOTMAIL.COM"/>
    <x v="0"/>
    <n v="1080.7385999999999"/>
    <n v="2.5"/>
    <n v="1163.79"/>
    <n v="1.9580666999707901"/>
    <n v="1175.17"/>
    <s v="AD"/>
    <n v="1"/>
    <n v="1281"/>
    <n v="1108"/>
    <n v="0"/>
    <n v="1108"/>
  </r>
  <r>
    <x v="9"/>
    <s v="CARLOS REYES NERI"/>
    <n v="18"/>
    <n v="36"/>
    <d v="1899-12-31T11:00:00"/>
    <s v="KARLAITZEL20@GMAIL.COM"/>
    <x v="0"/>
    <n v="1081.3678"/>
    <n v="2.5"/>
    <n v="1163.79"/>
    <n v="1.9580666999707901"/>
    <n v="1175.17"/>
    <s v="AD"/>
    <n v="1"/>
    <n v="1281"/>
    <n v="1108"/>
    <n v="0"/>
    <n v="1108"/>
  </r>
  <r>
    <x v="9"/>
    <s v="CARLOS REYES NERI"/>
    <n v="18"/>
    <n v="36"/>
    <d v="1899-12-31T11:00:00"/>
    <s v="KARLAITZEL20@GMAIL.COM"/>
    <x v="0"/>
    <n v="1081.3678"/>
    <n v="2.5"/>
    <n v="1163.79"/>
    <n v="1.9580666999707901"/>
    <n v="1175.17"/>
    <s v="AD"/>
    <n v="1"/>
    <n v="1281"/>
    <n v="1108"/>
    <n v="0"/>
    <n v="1108"/>
  </r>
  <r>
    <x v="9"/>
    <s v="JORGE ALBERTO CRUZ ÃLVAREZ"/>
    <n v="21"/>
    <n v="36"/>
    <d v="1899-12-31T11:00:00"/>
    <s v="KARLAITZEL20@GMAIL.COM"/>
    <x v="0"/>
    <n v="1081.3136999999999"/>
    <n v="2.5"/>
    <n v="1163.79"/>
    <n v="1.9580666999707901"/>
    <n v="1175.17"/>
    <s v="AD"/>
    <n v="1"/>
    <n v="1281"/>
    <n v="1108"/>
    <n v="0"/>
    <n v="1108"/>
  </r>
  <r>
    <x v="9"/>
    <s v="JORGE ALBERTO CRUZ ÃLVAREZ"/>
    <n v="21"/>
    <n v="36"/>
    <d v="1899-12-31T11:00:00"/>
    <s v="KARLAITZEL20@GMAIL.COM"/>
    <x v="0"/>
    <n v="1081.3136999999999"/>
    <n v="2.5"/>
    <n v="1163.79"/>
    <n v="1.9580666999707901"/>
    <n v="1175.17"/>
    <s v="AD"/>
    <n v="1"/>
    <n v="1281"/>
    <n v="1108"/>
    <n v="0"/>
    <n v="1108"/>
  </r>
  <r>
    <x v="9"/>
    <s v="BALDO ARECHIGA RUIZ"/>
    <n v="6"/>
    <n v="36"/>
    <d v="1899-12-31T02:00:00"/>
    <s v="ARECHIGAJULIA34@GMAIL.COM"/>
    <x v="0"/>
    <n v="1081.5878"/>
    <n v="2.5"/>
    <n v="1163.79"/>
    <n v="1.9580666999707901"/>
    <n v="1175.17"/>
    <s v="AD"/>
    <n v="1"/>
    <n v="1282"/>
    <n v="1109"/>
    <n v="0"/>
    <n v="1109"/>
  </r>
  <r>
    <x v="9"/>
    <s v="BALDO ARECHIGA RUIZ"/>
    <n v="6"/>
    <n v="36"/>
    <d v="1899-12-31T02:00:00"/>
    <s v="MARGASIB03@GMAIL.COM"/>
    <x v="0"/>
    <n v="1081.5878"/>
    <n v="2.5"/>
    <n v="1163.79"/>
    <n v="1.9580666999707901"/>
    <n v="1175.17"/>
    <s v="AD"/>
    <n v="1"/>
    <n v="1282"/>
    <n v="1109"/>
    <n v="0"/>
    <n v="1109"/>
  </r>
  <r>
    <x v="9"/>
    <s v="JULIE ARECHIGA"/>
    <n v="5"/>
    <n v="36"/>
    <d v="1899-12-31T02:00:00"/>
    <s v="ARECHIGAJULIA34@GMAIL.COM"/>
    <x v="0"/>
    <n v="1081.6058"/>
    <n v="2.5"/>
    <n v="1163.79"/>
    <n v="1.9580666999707901"/>
    <n v="1175.17"/>
    <s v="AD"/>
    <n v="1"/>
    <n v="1282"/>
    <n v="1109"/>
    <n v="0"/>
    <n v="1109"/>
  </r>
  <r>
    <x v="9"/>
    <s v="JULIE ARECHIGA"/>
    <n v="5"/>
    <n v="36"/>
    <d v="1899-12-31T02:00:00"/>
    <s v="MARGASIB03@GMAIL.COM"/>
    <x v="0"/>
    <n v="1081.6058"/>
    <n v="2.5"/>
    <n v="1163.79"/>
    <n v="1.9580666999707901"/>
    <n v="1175.17"/>
    <s v="AD"/>
    <n v="1"/>
    <n v="1282"/>
    <n v="1109"/>
    <n v="0"/>
    <n v="1109"/>
  </r>
  <r>
    <x v="9"/>
    <s v="CELIA CASTANEDA CUEVAS"/>
    <n v="10"/>
    <n v="35"/>
    <d v="1899-12-31T06:00:00"/>
    <s v="celia.castaneda.cuevas@ejemplo.com"/>
    <x v="4"/>
    <n v="1081.4303"/>
    <n v="5"/>
    <n v="1163.79"/>
    <n v="3.9161333999415802"/>
    <n v="609.91"/>
    <s v="IN"/>
    <n v="1"/>
    <n v="1309"/>
    <n v="1136"/>
    <n v="0.5"/>
    <n v="568"/>
  </r>
  <r>
    <x v="9"/>
    <s v="FERNANDO DANIEL GARCÃA ENCISO"/>
    <n v="21"/>
    <n v="36"/>
    <d v="1899-12-31T02:00:00"/>
    <s v="DANIELGAR1419@GMAIL.COM"/>
    <x v="0"/>
    <n v="1081.3173999999999"/>
    <n v="2.5"/>
    <n v="1163.79"/>
    <n v="1.9580666999707901"/>
    <n v="1175.17"/>
    <s v="AD"/>
    <n v="1"/>
    <n v="1281"/>
    <n v="1108"/>
    <n v="0"/>
    <n v="1108"/>
  </r>
  <r>
    <x v="9"/>
    <s v="CARLOS ALBERTO GARCIA SALCIDO"/>
    <n v="16"/>
    <n v="36"/>
    <d v="1899-12-31T23:30:00"/>
    <s v="CARLOSALBERTOX21@GMAIL.COM"/>
    <x v="3"/>
    <n v="1081.0142000000001"/>
    <n v="0"/>
    <n v="1163.79"/>
    <n v="0"/>
    <n v="1175.17"/>
    <s v="AD"/>
    <n v="1"/>
    <n v="1254"/>
    <n v="1081"/>
    <n v="0"/>
    <n v="1081"/>
  </r>
  <r>
    <x v="9"/>
    <s v="RAFAEL CARRANZA"/>
    <n v="18"/>
    <n v="36"/>
    <d v="1899-12-31T11:00:00"/>
    <s v="rafael.carranza@ejemplo.com"/>
    <x v="1"/>
    <n v="1081.2874999999999"/>
    <n v="10"/>
    <n v="1163.79"/>
    <n v="7.8322667998831603"/>
    <n v="609.91"/>
    <s v="NI"/>
    <n v="1"/>
    <n v="1362"/>
    <n v="1189"/>
    <n v="0.5"/>
    <n v="594.5"/>
  </r>
  <r>
    <x v="9"/>
    <s v="JORGE VALDEZ VILLAGRAN"/>
    <n v="27"/>
    <n v="36"/>
    <d v="1899-12-31T11:00:00"/>
    <s v="JORGE.VALDEZVILLAGRAN@GMAIL.COM"/>
    <x v="0"/>
    <n v="1081.0718999999999"/>
    <n v="2.5"/>
    <n v="1163.79"/>
    <n v="1.9580666999707901"/>
    <n v="1175.17"/>
    <s v="AD"/>
    <n v="1"/>
    <n v="1281"/>
    <n v="1108"/>
    <n v="0"/>
    <n v="1108"/>
  </r>
  <r>
    <x v="9"/>
    <s v="JORGE VALDEZ VILLAGRAN"/>
    <n v="27"/>
    <n v="36"/>
    <d v="1899-12-31T11:00:00"/>
    <s v="JORGE.VALDEZVILLAGRAN@GMAIL.COM"/>
    <x v="0"/>
    <n v="1081.0718999999999"/>
    <n v="2.5"/>
    <n v="1163.79"/>
    <n v="1.9580666999707901"/>
    <n v="1175.17"/>
    <s v="AD"/>
    <n v="1"/>
    <n v="1281"/>
    <n v="1108"/>
    <n v="0"/>
    <n v="1108"/>
  </r>
  <r>
    <x v="9"/>
    <s v="JORGE VALDEZ VILLAGRAN"/>
    <n v="27"/>
    <n v="36"/>
    <d v="1899-12-31T11:00:00"/>
    <s v="JORGE.VALDEZVILLAGRAN@GMAIL.COM"/>
    <x v="0"/>
    <n v="1081.0718999999999"/>
    <n v="2.5"/>
    <n v="1163.79"/>
    <n v="1.9580666999707901"/>
    <n v="1175.17"/>
    <s v="AD"/>
    <n v="1"/>
    <n v="1281"/>
    <n v="1108"/>
    <n v="0"/>
    <n v="1108"/>
  </r>
  <r>
    <x v="9"/>
    <s v="ELISA VALENTINA VALDEZ GARZON"/>
    <n v="25"/>
    <n v="36"/>
    <d v="1899-12-31T11:00:00"/>
    <s v="JORGE.VALDEZVILLAGRAN@GMAIL.COM"/>
    <x v="0"/>
    <n v="1081.1078"/>
    <n v="2.5"/>
    <n v="1163.79"/>
    <n v="1.9580666999707901"/>
    <n v="618.53"/>
    <s v="NI"/>
    <n v="1"/>
    <n v="1281"/>
    <n v="1108"/>
    <n v="0.5"/>
    <n v="554"/>
  </r>
  <r>
    <x v="9"/>
    <s v="ELISA VALENTINA VALDEZ GARZON"/>
    <n v="25"/>
    <n v="36"/>
    <d v="1899-12-31T11:00:00"/>
    <s v="JORGE.VALDEZVILLAGRAN@GMAIL.COM"/>
    <x v="0"/>
    <n v="1081.1078"/>
    <n v="2.5"/>
    <n v="1163.79"/>
    <n v="1.9580666999707901"/>
    <n v="618.53"/>
    <s v="NI"/>
    <n v="1"/>
    <n v="1281"/>
    <n v="1108"/>
    <n v="0.5"/>
    <n v="554"/>
  </r>
  <r>
    <x v="9"/>
    <s v="ELISA VALENTINA VALDEZ GARZON"/>
    <n v="25"/>
    <n v="36"/>
    <d v="1899-12-31T11:00:00"/>
    <s v="JORGE.VALDEZVILLAGRAN@GMAIL.COM"/>
    <x v="0"/>
    <n v="1081.1078"/>
    <n v="2.5"/>
    <n v="1163.79"/>
    <n v="1.9580666999707901"/>
    <n v="618.53"/>
    <s v="NI"/>
    <n v="1"/>
    <n v="1281"/>
    <n v="1108"/>
    <n v="0.5"/>
    <n v="554"/>
  </r>
  <r>
    <x v="9"/>
    <s v="ZURI SOFIA VALDEZ GARZON"/>
    <n v="26"/>
    <n v="36"/>
    <d v="1899-12-31T11:00:00"/>
    <s v="JORGE.VALDEZVILLAGRAN@GMAIL.COM"/>
    <x v="0"/>
    <n v="1081.0898"/>
    <n v="2.5"/>
    <n v="1163.79"/>
    <n v="1.9580666999707901"/>
    <n v="618.53"/>
    <s v="NI"/>
    <n v="1"/>
    <n v="1281"/>
    <n v="1108"/>
    <n v="0.5"/>
    <n v="554"/>
  </r>
  <r>
    <x v="9"/>
    <s v="ZURI SOFIA VALDEZ GARZON"/>
    <n v="26"/>
    <n v="36"/>
    <d v="1899-12-31T11:00:00"/>
    <s v="JORGE.VALDEZVILLAGRAN@GMAIL.COM"/>
    <x v="0"/>
    <n v="1081.0898"/>
    <n v="2.5"/>
    <n v="1163.79"/>
    <n v="1.9580666999707901"/>
    <n v="618.53"/>
    <s v="NI"/>
    <n v="1"/>
    <n v="1281"/>
    <n v="1108"/>
    <n v="0.5"/>
    <n v="554"/>
  </r>
  <r>
    <x v="9"/>
    <s v="ZURI SOFIA VALDEZ GARZON"/>
    <n v="26"/>
    <n v="36"/>
    <d v="1899-12-31T11:00:00"/>
    <s v="JORGE.VALDEZVILLAGRAN@GMAIL.COM"/>
    <x v="0"/>
    <n v="1081.0898"/>
    <n v="2.5"/>
    <n v="1163.79"/>
    <n v="1.9580666999707901"/>
    <n v="618.53"/>
    <s v="NI"/>
    <n v="1"/>
    <n v="1281"/>
    <n v="1108"/>
    <n v="0.5"/>
    <n v="554"/>
  </r>
  <r>
    <x v="9"/>
    <s v="NELSON PONCE"/>
    <n v="19"/>
    <n v="36"/>
    <d v="1899-12-31T23:59:00"/>
    <s v="nelson.ponce@ejemplo.com"/>
    <x v="5"/>
    <n v="1080.9548"/>
    <n v="8.5"/>
    <n v="1163.79"/>
    <n v="6.6574267799006801"/>
    <n v="1237.07"/>
    <s v="AD"/>
    <n v="1"/>
    <n v="1346"/>
    <n v="1173"/>
    <n v="0"/>
    <n v="1173"/>
  </r>
  <r>
    <x v="9"/>
    <s v="MA CRISTINA CORONADO"/>
    <n v="20"/>
    <n v="36"/>
    <d v="1899-12-31T23:59:00"/>
    <s v="ma.cristina.coronado@ejemplo.com"/>
    <x v="5"/>
    <n v="1080.9367999999999"/>
    <n v="8.5"/>
    <n v="1163.79"/>
    <n v="6.6574267799006801"/>
    <n v="1237.07"/>
    <s v="AD"/>
    <n v="1"/>
    <n v="1346"/>
    <n v="1173"/>
    <n v="0"/>
    <n v="1173"/>
  </r>
  <r>
    <x v="9"/>
    <s v="JOEL AGUILA MARTINEZ"/>
    <n v="18"/>
    <n v="36"/>
    <d v="1899-12-31T23:59:00"/>
    <s v="TECNICOSERVCICSA18@GMAIL.COM"/>
    <x v="3"/>
    <n v="1080.9775"/>
    <n v="0"/>
    <n v="1163.79"/>
    <n v="0"/>
    <n v="1175.17"/>
    <s v="AD"/>
    <n v="1"/>
    <n v="1254"/>
    <n v="1081"/>
    <n v="0"/>
    <n v="1081"/>
  </r>
  <r>
    <x v="9"/>
    <s v="RICARDO YESHUA LOPEZ MIRAMON"/>
    <n v="7"/>
    <n v="36"/>
    <d v="1899-12-31T23:30:00"/>
    <s v="RICARDO.LOPEZ.MIRAMON@OUTLOOK.COM"/>
    <x v="3"/>
    <n v="1081.1751999999999"/>
    <n v="0"/>
    <n v="1163.79"/>
    <n v="0"/>
    <n v="1175.17"/>
    <s v="AD"/>
    <n v="1"/>
    <n v="1254"/>
    <n v="1081"/>
    <n v="0"/>
    <n v="1081"/>
  </r>
  <r>
    <x v="9"/>
    <s v="THOMAS PAYNE"/>
    <n v="15"/>
    <n v="36"/>
    <d v="1899-12-31T06:00:00"/>
    <s v="TSPAYNE81@GMAIL.COM"/>
    <x v="2"/>
    <n v="1081.4819"/>
    <n v="7"/>
    <n v="1163.79"/>
    <n v="5.4825867599182097"/>
    <n v="1047.4100000000001"/>
    <s v="AD"/>
    <n v="1"/>
    <n v="1330"/>
    <n v="1157"/>
    <n v="0"/>
    <n v="1157"/>
  </r>
  <r>
    <x v="9"/>
    <s v="DIEGO ANTONIO SANDOVAL ZARCO"/>
    <n v="12"/>
    <n v="36"/>
    <d v="1899-12-31T11:00:00"/>
    <s v="COLOCHOSZARCO@GMAIL.COM"/>
    <x v="3"/>
    <n v="1081.4724000000001"/>
    <n v="0"/>
    <n v="1163.79"/>
    <n v="0"/>
    <n v="1175.17"/>
    <s v="AD"/>
    <n v="1"/>
    <n v="1255"/>
    <n v="1081"/>
    <n v="0"/>
    <n v="1081"/>
  </r>
  <r>
    <x v="9"/>
    <s v="CRISTIAN GONZALO GÃ“MEZ RODRÃGUEZ"/>
    <n v="13"/>
    <n v="36"/>
    <d v="1899-12-31T23:30:00"/>
    <s v="CRISTIANGOMEZR20@GMAIL.COM"/>
    <x v="3"/>
    <n v="1081.0658000000001"/>
    <n v="0"/>
    <n v="1163.79"/>
    <n v="0"/>
    <n v="1175.17"/>
    <s v="AD"/>
    <n v="1"/>
    <n v="1254"/>
    <n v="1081"/>
    <n v="0"/>
    <n v="1081"/>
  </r>
  <r>
    <x v="9"/>
    <s v="JESUS GIOVANNI VALDEZ GONZALEZ"/>
    <n v="7"/>
    <n v="36"/>
    <d v="1899-12-31T02:00:00"/>
    <s v="VALDEZ.MP28@GMAIL.COM"/>
    <x v="0"/>
    <n v="1081.5658000000001"/>
    <n v="2.5"/>
    <n v="1163.79"/>
    <n v="1.9580666999707901"/>
    <n v="1175.17"/>
    <s v="AD"/>
    <n v="1"/>
    <n v="1282"/>
    <n v="1109"/>
    <n v="0"/>
    <n v="1109"/>
  </r>
  <r>
    <x v="9"/>
    <s v="ABNER JOEL HERNANDEZ SANTANA"/>
    <n v="23"/>
    <n v="36"/>
    <d v="1899-12-31T23:30:00"/>
    <s v="ABNER97.23HS@GMAIL.COM"/>
    <x v="3"/>
    <n v="1080.7537"/>
    <n v="0"/>
    <n v="1163.79"/>
    <n v="0"/>
    <n v="1175.17"/>
    <s v="AD"/>
    <n v="1"/>
    <n v="1254"/>
    <n v="1081"/>
    <n v="0"/>
    <n v="1081"/>
  </r>
  <r>
    <x v="9"/>
    <s v="ANGEL DANIEL MAGAÃ‘A HERNÃNDEZ"/>
    <n v="20"/>
    <n v="36"/>
    <d v="1899-12-31T23:30:00"/>
    <s v="ANGEL.MAGANA@HOTMAIL.COM"/>
    <x v="2"/>
    <n v="1080.9398000000001"/>
    <n v="7"/>
    <n v="1163.79"/>
    <n v="5.4825867599182097"/>
    <n v="1175.17"/>
    <s v="AD"/>
    <n v="1"/>
    <n v="1330"/>
    <n v="1157"/>
    <n v="0"/>
    <n v="1157"/>
  </r>
  <r>
    <x v="9"/>
    <s v="ALFREDO PÃ‰REZ ELIZALDE"/>
    <n v="32"/>
    <n v="36"/>
    <d v="1899-12-31T02:00:00"/>
    <s v="APELIZALDE01@GMAIL.COM"/>
    <x v="0"/>
    <n v="1080.9834000000001"/>
    <n v="2.5"/>
    <n v="1163.79"/>
    <n v="1.9580666999707901"/>
    <n v="1175.17"/>
    <s v="AD"/>
    <n v="1"/>
    <n v="1281"/>
    <n v="1108"/>
    <n v="0"/>
    <n v="1108"/>
  </r>
  <r>
    <x v="9"/>
    <s v="GABRIELA MICHEL"/>
    <n v="19"/>
    <n v="36"/>
    <d v="1899-12-31T02:00:00"/>
    <s v="MICHELGABY63@GMAIL.COM"/>
    <x v="0"/>
    <n v="1081.3494000000001"/>
    <n v="2.5"/>
    <n v="1163.79"/>
    <n v="1.9580666999707901"/>
    <n v="1175.17"/>
    <s v="AD"/>
    <n v="1"/>
    <n v="1281"/>
    <n v="1108"/>
    <n v="0"/>
    <n v="1108"/>
  </r>
  <r>
    <x v="9"/>
    <s v="GABRIELA MICHEL"/>
    <n v="19"/>
    <n v="36"/>
    <d v="1899-12-31T02:00:00"/>
    <s v="VALENTINAGOMEZM040810@GMAIL.COM"/>
    <x v="0"/>
    <n v="1081.3494000000001"/>
    <n v="2.5"/>
    <n v="1163.79"/>
    <n v="1.9580666999707901"/>
    <n v="1175.17"/>
    <s v="AD"/>
    <n v="1"/>
    <n v="1281"/>
    <n v="1108"/>
    <n v="0"/>
    <n v="1108"/>
  </r>
  <r>
    <x v="9"/>
    <s v="GABRIELA VALENTINA GOMEZ MICHEL"/>
    <n v="20"/>
    <n v="36"/>
    <d v="1899-12-31T02:00:00"/>
    <s v="MICHELGABY63@GMAIL.COM"/>
    <x v="0"/>
    <n v="1081.3314"/>
    <n v="2.5"/>
    <n v="1163.79"/>
    <n v="1.9580666999707901"/>
    <n v="1175.17"/>
    <s v="AD"/>
    <n v="1"/>
    <n v="1281"/>
    <n v="1108"/>
    <n v="0"/>
    <n v="1108"/>
  </r>
  <r>
    <x v="9"/>
    <s v="GABRIELA VALENTINA GOMEZ MICHEL"/>
    <n v="20"/>
    <n v="36"/>
    <d v="1899-12-31T02:00:00"/>
    <s v="VALENTINAGOMEZM040810@GMAIL.COM"/>
    <x v="0"/>
    <n v="1081.3314"/>
    <n v="2.5"/>
    <n v="1163.79"/>
    <n v="1.9580666999707901"/>
    <n v="1175.17"/>
    <s v="AD"/>
    <n v="1"/>
    <n v="1281"/>
    <n v="1108"/>
    <n v="0"/>
    <n v="1108"/>
  </r>
  <r>
    <x v="9"/>
    <s v="RAUL GOMEZ"/>
    <n v="18"/>
    <n v="36"/>
    <d v="1899-12-31T02:00:00"/>
    <s v="MICHELGABY63@GMAIL.COM"/>
    <x v="0"/>
    <n v="1081.3672999999999"/>
    <n v="2.5"/>
    <n v="1163.79"/>
    <n v="1.9580666999707901"/>
    <n v="1175.17"/>
    <s v="AD"/>
    <n v="1"/>
    <n v="1281"/>
    <n v="1108"/>
    <n v="0"/>
    <n v="1108"/>
  </r>
  <r>
    <x v="9"/>
    <s v="RAUL GOMEZ"/>
    <n v="18"/>
    <n v="36"/>
    <d v="1899-12-31T02:00:00"/>
    <s v="VALENTINAGOMEZM040810@GMAIL.COM"/>
    <x v="0"/>
    <n v="1081.3672999999999"/>
    <n v="2.5"/>
    <n v="1163.79"/>
    <n v="1.9580666999707901"/>
    <n v="1175.17"/>
    <s v="AD"/>
    <n v="1"/>
    <n v="1281"/>
    <n v="1108"/>
    <n v="0"/>
    <n v="1108"/>
  </r>
  <r>
    <x v="9"/>
    <s v="ELIZABETH LAGUNA MEJIA"/>
    <n v="28"/>
    <n v="36"/>
    <d v="1899-12-31T11:00:00"/>
    <s v="CRUZALVAREZANA@GMAIL.COM"/>
    <x v="0"/>
    <n v="1081.0507"/>
    <n v="2.5"/>
    <n v="1163.79"/>
    <n v="1.9580666999707901"/>
    <n v="1175.17"/>
    <s v="AD"/>
    <n v="1"/>
    <n v="1281"/>
    <n v="1108"/>
    <n v="0"/>
    <n v="1108"/>
  </r>
  <r>
    <x v="9"/>
    <s v="ELIZABETH LAGUNA MEJIA"/>
    <n v="28"/>
    <n v="36"/>
    <d v="1899-12-31T11:00:00"/>
    <s v="CRUZALVAREZANA@GMAIL.COM"/>
    <x v="0"/>
    <n v="1081.0507"/>
    <n v="2.5"/>
    <n v="1163.79"/>
    <n v="1.9580666999707901"/>
    <n v="1175.17"/>
    <s v="AD"/>
    <n v="1"/>
    <n v="1281"/>
    <n v="1108"/>
    <n v="0"/>
    <n v="1108"/>
  </r>
  <r>
    <x v="9"/>
    <s v="JUAN CARLOS HIGAREDA CRUZ"/>
    <n v="29"/>
    <n v="36"/>
    <d v="1899-12-31T11:00:00"/>
    <s v="CRUZALVAREZANA@GMAIL.COM"/>
    <x v="0"/>
    <n v="1081.0327"/>
    <n v="2.5"/>
    <n v="1163.79"/>
    <n v="1.9580666999707901"/>
    <n v="1175.17"/>
    <s v="AD"/>
    <n v="1"/>
    <n v="1281"/>
    <n v="1108"/>
    <n v="0"/>
    <n v="1108"/>
  </r>
  <r>
    <x v="9"/>
    <s v="JUAN CARLOS HIGAREDA CRUZ"/>
    <n v="29"/>
    <n v="36"/>
    <d v="1899-12-31T11:00:00"/>
    <s v="CRUZALVAREZANA@GMAIL.COM"/>
    <x v="0"/>
    <n v="1081.0327"/>
    <n v="2.5"/>
    <n v="1163.79"/>
    <n v="1.9580666999707901"/>
    <n v="1175.17"/>
    <s v="AD"/>
    <n v="1"/>
    <n v="1281"/>
    <n v="1108"/>
    <n v="0"/>
    <n v="1108"/>
  </r>
  <r>
    <x v="9"/>
    <s v="CAROLINA ECHEVERRÃA ZARAGOZA"/>
    <n v="17"/>
    <n v="36"/>
    <d v="1899-12-31T23:30:00"/>
    <s v="ANGIESEGURA610@YAHOO.COM"/>
    <x v="4"/>
    <n v="1080.9931999999999"/>
    <n v="5"/>
    <n v="1163.79"/>
    <n v="3.9161333999415802"/>
    <n v="618.53"/>
    <s v="IN"/>
    <n v="1"/>
    <n v="1308"/>
    <n v="1135"/>
    <n v="0.5"/>
    <n v="567.5"/>
  </r>
  <r>
    <x v="9"/>
    <s v="JAVIER LOPEZ GARCIA"/>
    <n v="32"/>
    <n v="36"/>
    <d v="1899-12-31T11:00:00"/>
    <s v="javier.lopez.garcia@ejemplo.com"/>
    <x v="4"/>
    <n v="1081.0985000000001"/>
    <n v="5"/>
    <n v="1163.79"/>
    <n v="3.9161333999415802"/>
    <n v="609.91"/>
    <s v="IN"/>
    <n v="1"/>
    <n v="1308"/>
    <n v="1135"/>
    <n v="0.5"/>
    <n v="567.5"/>
  </r>
  <r>
    <x v="9"/>
    <s v="ALEXIS BECERRIL MEDINA"/>
    <n v="15"/>
    <n v="36"/>
    <d v="1899-12-31T02:00:00"/>
    <s v="ALEXISBECERRILMEDINA@GMAIL.COM"/>
    <x v="0"/>
    <n v="1081.4213"/>
    <n v="2.5"/>
    <n v="1163.79"/>
    <n v="1.9580666999707901"/>
    <n v="1175.17"/>
    <s v="AD"/>
    <n v="1"/>
    <n v="1281"/>
    <n v="1108"/>
    <n v="0"/>
    <n v="1108"/>
  </r>
  <r>
    <x v="9"/>
    <s v="MERCEDES LÃ“PEZ FUENTES"/>
    <n v="2"/>
    <n v="36"/>
    <d v="1899-12-31T23:30:00"/>
    <s v="ALE.ROBLES24@GMAIL.COM"/>
    <x v="3"/>
    <n v="1081.2619999999999"/>
    <n v="0"/>
    <n v="1163.79"/>
    <n v="0"/>
    <n v="1175.17"/>
    <s v="AD"/>
    <n v="1"/>
    <n v="1254"/>
    <n v="1081"/>
    <n v="0"/>
    <n v="1081"/>
  </r>
  <r>
    <x v="9"/>
    <s v="MERCEDES LÃ“PEZ FUENTES"/>
    <n v="2"/>
    <n v="36"/>
    <d v="1899-12-31T23:30:00"/>
    <s v="ALE.ROBLES24@GMAIL.COM"/>
    <x v="3"/>
    <n v="1081.2619999999999"/>
    <n v="0"/>
    <n v="1163.79"/>
    <n v="0"/>
    <n v="1175.17"/>
    <s v="AD"/>
    <n v="1"/>
    <n v="1254"/>
    <n v="1081"/>
    <n v="0"/>
    <n v="1081"/>
  </r>
  <r>
    <x v="9"/>
    <s v="ROBERTO ROBLES VELOZ"/>
    <n v="3"/>
    <n v="36"/>
    <d v="1899-12-31T23:30:00"/>
    <s v="ALE.ROBLES24@GMAIL.COM"/>
    <x v="3"/>
    <n v="1081.2440999999999"/>
    <n v="0"/>
    <n v="1163.79"/>
    <n v="0"/>
    <n v="1175.17"/>
    <s v="AD"/>
    <n v="1"/>
    <n v="1254"/>
    <n v="1081"/>
    <n v="0"/>
    <n v="1081"/>
  </r>
  <r>
    <x v="9"/>
    <s v="ROBERTO ROBLES VELOZ"/>
    <n v="3"/>
    <n v="36"/>
    <d v="1899-12-31T23:30:00"/>
    <s v="ALE.ROBLES24@GMAIL.COM"/>
    <x v="3"/>
    <n v="1081.2440999999999"/>
    <n v="0"/>
    <n v="1163.79"/>
    <n v="0"/>
    <n v="1175.17"/>
    <s v="AD"/>
    <n v="1"/>
    <n v="1254"/>
    <n v="1081"/>
    <n v="0"/>
    <n v="1081"/>
  </r>
  <r>
    <x v="9"/>
    <s v="BRYAN LEON"/>
    <n v="36"/>
    <n v="36"/>
    <d v="1899-12-31T02:00:00"/>
    <s v="DANIELAAA19.DA@GMAIL.COM"/>
    <x v="3"/>
    <n v="1080.9104"/>
    <n v="0"/>
    <n v="1163.79"/>
    <n v="0"/>
    <n v="1175.17"/>
    <s v="AD"/>
    <n v="1"/>
    <n v="1254"/>
    <n v="1081"/>
    <n v="0"/>
    <n v="1081"/>
  </r>
  <r>
    <x v="9"/>
    <s v="FERMIN ALEJANDRE VITE"/>
    <n v="30"/>
    <n v="36"/>
    <d v="1899-12-31T23:59:00"/>
    <s v="fermin.alejandre.vite@ejemplo.com"/>
    <x v="4"/>
    <n v="1080.6093000000001"/>
    <n v="5"/>
    <n v="1163.79"/>
    <n v="3.9161333999415802"/>
    <n v="609.91"/>
    <s v="IN"/>
    <n v="1"/>
    <n v="1308"/>
    <n v="1135"/>
    <n v="0.5"/>
    <n v="567.5"/>
  </r>
  <r>
    <x v="9"/>
    <s v="FLORINA CARLOTA VILLEGAS VARGAS"/>
    <n v="31"/>
    <n v="36"/>
    <d v="1899-12-31T23:59:00"/>
    <s v="florina.carlota.villegas.vargas@ejemplo.com"/>
    <x v="4"/>
    <n v="1080.5646999999999"/>
    <n v="5"/>
    <n v="1163.79"/>
    <n v="3.9161333999415802"/>
    <n v="609.91"/>
    <s v="IN"/>
    <n v="1"/>
    <n v="1307"/>
    <n v="1135"/>
    <n v="0.5"/>
    <n v="567.5"/>
  </r>
  <r>
    <x v="9"/>
    <s v="JOSE MANUEL VARGAS HERNANDEZ"/>
    <n v="26"/>
    <n v="36"/>
    <d v="1899-12-31T23:30:00"/>
    <s v="jose.manuel.vargas.hernandez@ejemplo.com"/>
    <x v="3"/>
    <n v="1080.7081000000001"/>
    <n v="0"/>
    <n v="1163.79"/>
    <n v="0"/>
    <n v="989.65"/>
    <s v="PE"/>
    <n v="1"/>
    <n v="1254"/>
    <n v="1081"/>
    <n v="0"/>
    <n v="1081"/>
  </r>
  <r>
    <x v="9"/>
    <s v="HORTENCIA MERCADO BARRON"/>
    <n v="15"/>
    <n v="36"/>
    <d v="1899-12-31T23:30:00"/>
    <s v="hortencia.mercado.barron@ejemplo.com"/>
    <x v="4"/>
    <n v="1081.123"/>
    <n v="5"/>
    <n v="1163.79"/>
    <n v="3.9161333999415802"/>
    <n v="609.91"/>
    <s v="IN"/>
    <n v="1"/>
    <n v="1308"/>
    <n v="1135"/>
    <n v="0.5"/>
    <n v="567.5"/>
  </r>
  <r>
    <x v="9"/>
    <s v="MARIA GUADALUPE MERCADO BARRON"/>
    <n v="14"/>
    <n v="36"/>
    <d v="1899-12-31T23:30:00"/>
    <s v="maria.guadalupe.mercado.barron@ejemplo.com"/>
    <x v="4"/>
    <n v="1081.1411000000001"/>
    <n v="5"/>
    <n v="1163.79"/>
    <n v="3.9161333999415802"/>
    <n v="609.91"/>
    <s v="IN"/>
    <n v="1"/>
    <n v="1308"/>
    <n v="1135"/>
    <n v="0.5"/>
    <n v="567.5"/>
  </r>
  <r>
    <x v="9"/>
    <s v="MARCOS INCLAN SOLIS"/>
    <n v="17"/>
    <n v="36"/>
    <d v="1899-12-31T02:00:00"/>
    <s v="marcos.inclan.solis@ejemplo.com"/>
    <x v="2"/>
    <n v="1081.3712"/>
    <n v="7"/>
    <n v="1163.79"/>
    <n v="5.4825867599182097"/>
    <n v="1237.07"/>
    <s v="AD"/>
    <n v="1"/>
    <n v="1330"/>
    <n v="1157"/>
    <n v="0"/>
    <n v="1157"/>
  </r>
  <r>
    <x v="9"/>
    <s v="AARON ROJAS ROJAS"/>
    <n v="33"/>
    <n v="36"/>
    <d v="1899-12-31T23:30:00"/>
    <s v="aaron.rojas.rojas@ejemplo.com"/>
    <x v="5"/>
    <n v="1080.4386999999999"/>
    <n v="8.5"/>
    <n v="1163.79"/>
    <n v="6.6574267799006801"/>
    <n v="1237.07"/>
    <s v="AD"/>
    <n v="1"/>
    <n v="1345"/>
    <n v="1172"/>
    <n v="0"/>
    <n v="1172"/>
  </r>
  <r>
    <x v="9"/>
    <s v="CATALINA PINEDA CABRERA"/>
    <n v="8"/>
    <n v="36"/>
    <d v="1899-12-31T23:30:00"/>
    <s v="KATTYPC-88@HOTMAIL.COM"/>
    <x v="3"/>
    <n v="1081.1532999999999"/>
    <n v="0"/>
    <n v="1163.79"/>
    <n v="0"/>
    <n v="1175.17"/>
    <s v="AD"/>
    <n v="1"/>
    <n v="1254"/>
    <n v="1081"/>
    <n v="0"/>
    <n v="1081"/>
  </r>
  <r>
    <x v="9"/>
    <s v="JUKILA CABRERA"/>
    <n v="9"/>
    <n v="36"/>
    <d v="1899-12-31T23:30:00"/>
    <s v="KATTYPC-88@HOTMAIL.COM"/>
    <x v="3"/>
    <n v="1081.1352999999999"/>
    <n v="0"/>
    <n v="1163.79"/>
    <n v="0"/>
    <n v="1175.17"/>
    <s v="AD"/>
    <n v="1"/>
    <n v="1254"/>
    <n v="1081"/>
    <n v="0"/>
    <n v="1081"/>
  </r>
  <r>
    <x v="9"/>
    <s v="MAYRA MIRANDA"/>
    <n v="12"/>
    <n v="36"/>
    <d v="1899-12-31T23:30:00"/>
    <s v="KATTYPC-88@HOTMAIL.COM"/>
    <x v="3"/>
    <n v="1081.0814"/>
    <n v="0"/>
    <n v="1163.79"/>
    <n v="0"/>
    <n v="1175.17"/>
    <s v="AD"/>
    <n v="1"/>
    <n v="1254"/>
    <n v="1081"/>
    <n v="0"/>
    <n v="1081"/>
  </r>
  <r>
    <x v="9"/>
    <s v="JOSÃ‰ ANDRÃ‰S CRUZ DOMÃNGUEZ"/>
    <n v="2"/>
    <n v="36"/>
    <d v="1899-12-31T23:30:00"/>
    <s v="JOSANDRESCRUZ@GMAIL.COM"/>
    <x v="0"/>
    <n v="1081.403"/>
    <n v="2.5"/>
    <n v="1163.79"/>
    <n v="1.9580666999707901"/>
    <n v="1158.8800000000001"/>
    <s v="AD"/>
    <n v="1"/>
    <n v="1281"/>
    <n v="1108"/>
    <n v="0"/>
    <n v="1108"/>
  </r>
  <r>
    <x v="9"/>
    <s v="JOSÃ‰ ANDRÃ‰S CRUZ DOMÃNGUEZ"/>
    <n v="2"/>
    <n v="36"/>
    <d v="1899-12-31T23:30:00"/>
    <s v="MARIELA.CELAYAL@GMAIL.COM"/>
    <x v="0"/>
    <n v="1081.403"/>
    <n v="2.5"/>
    <n v="1163.79"/>
    <n v="1.9580666999707901"/>
    <n v="1158.8800000000001"/>
    <s v="AD"/>
    <n v="1"/>
    <n v="1281"/>
    <n v="1108"/>
    <n v="0"/>
    <n v="1108"/>
  </r>
  <r>
    <x v="9"/>
    <s v="MARIELA CELAYA LAMARQUE"/>
    <n v="3"/>
    <n v="36"/>
    <d v="1899-12-31T23:30:00"/>
    <s v="JOSANDRESCRUZ@GMAIL.COM"/>
    <x v="0"/>
    <n v="1081.3848"/>
    <n v="2.5"/>
    <n v="1163.79"/>
    <n v="1.9580666999707901"/>
    <n v="1158.8800000000001"/>
    <s v="AD"/>
    <n v="1"/>
    <n v="1281"/>
    <n v="1108"/>
    <n v="0"/>
    <n v="1108"/>
  </r>
  <r>
    <x v="9"/>
    <s v="MARIELA CELAYA LAMARQUE"/>
    <n v="3"/>
    <n v="36"/>
    <d v="1899-12-31T23:30:00"/>
    <s v="MARIELA.CELAYAL@GMAIL.COM"/>
    <x v="0"/>
    <n v="1081.3848"/>
    <n v="2.5"/>
    <n v="1163.79"/>
    <n v="1.9580666999707901"/>
    <n v="1158.8800000000001"/>
    <s v="AD"/>
    <n v="1"/>
    <n v="1281"/>
    <n v="1108"/>
    <n v="0"/>
    <n v="1108"/>
  </r>
  <r>
    <x v="9"/>
    <s v="FRANCISCO JAVIER BUENROSTRO MEDINA"/>
    <n v="2"/>
    <n v="36"/>
    <d v="1899-12-31T23:30:00"/>
    <s v="BUENROSTROMEDINAFJ@GMAIL.COM"/>
    <x v="0"/>
    <n v="1081.422"/>
    <n v="2.5"/>
    <n v="1163.79"/>
    <n v="1.9580666999707901"/>
    <n v="1175.17"/>
    <s v="AD"/>
    <n v="1"/>
    <n v="1281"/>
    <n v="1108"/>
    <n v="0"/>
    <n v="1108"/>
  </r>
  <r>
    <x v="9"/>
    <s v="FRANCISCO JAVIER BUENROSTRO MEDINA"/>
    <n v="2"/>
    <n v="36"/>
    <d v="1899-12-31T23:30:00"/>
    <s v="MAYGRIZDELATORREVARGAS@GMAIL.COM"/>
    <x v="0"/>
    <n v="1081.422"/>
    <n v="2.5"/>
    <n v="1163.79"/>
    <n v="1.9580666999707901"/>
    <n v="1175.17"/>
    <s v="AD"/>
    <n v="1"/>
    <n v="1281"/>
    <n v="1108"/>
    <n v="0"/>
    <n v="1108"/>
  </r>
  <r>
    <x v="9"/>
    <s v="MAYRA GRIZEL DE LA TORRE VARGAS"/>
    <n v="3"/>
    <n v="36"/>
    <d v="1899-12-31T23:30:00"/>
    <s v="BUENROSTROMEDINAFJ@GMAIL.COM"/>
    <x v="0"/>
    <n v="1081.4042999999999"/>
    <n v="2.5"/>
    <n v="1163.79"/>
    <n v="1.9580666999707901"/>
    <n v="1175.17"/>
    <s v="AD"/>
    <n v="1"/>
    <n v="1281"/>
    <n v="1108"/>
    <n v="0"/>
    <n v="1108"/>
  </r>
  <r>
    <x v="9"/>
    <s v="MAYRA GRIZEL DE LA TORRE VARGAS"/>
    <n v="3"/>
    <n v="36"/>
    <d v="1899-12-31T23:30:00"/>
    <s v="MAYGRIZDELATORREVARGAS@GMAIL.COM"/>
    <x v="0"/>
    <n v="1081.4042999999999"/>
    <n v="2.5"/>
    <n v="1163.79"/>
    <n v="1.9580666999707901"/>
    <n v="1175.17"/>
    <s v="AD"/>
    <n v="1"/>
    <n v="1281"/>
    <n v="1108"/>
    <n v="0"/>
    <n v="1108"/>
  </r>
  <r>
    <x v="9"/>
    <s v="CARLOS PEIMBERT"/>
    <n v="1"/>
    <n v="36"/>
    <d v="1899-12-31T06:00:00"/>
    <s v="CARLOSPEIMBERT@GMAIL.COM"/>
    <x v="0"/>
    <n v="1081.6686999999999"/>
    <n v="2.5"/>
    <n v="1163.79"/>
    <n v="1.9580666999707901"/>
    <n v="1175.17"/>
    <s v="AD"/>
    <n v="1"/>
    <n v="1282"/>
    <n v="1109"/>
    <n v="0"/>
    <n v="1109"/>
  </r>
  <r>
    <x v="9"/>
    <s v="EDUARDO HERNANDEZ"/>
    <n v="28"/>
    <n v="36"/>
    <d v="1899-12-31T23:30:00"/>
    <s v="eduardo.hernandez@ejemplo.com"/>
    <x v="5"/>
    <n v="1080.6619000000001"/>
    <n v="8.5"/>
    <n v="1163.79"/>
    <n v="6.6574267799006801"/>
    <n v="1237.07"/>
    <s v="AD"/>
    <n v="1"/>
    <n v="1345"/>
    <n v="1173"/>
    <n v="0"/>
    <n v="1173"/>
  </r>
  <r>
    <x v="9"/>
    <s v="LIGIA SOSA ALTAMIRANO"/>
    <n v="3"/>
    <n v="36"/>
    <d v="1899-12-31T23:59:00"/>
    <s v="ELLENTARIBALIAN@GMAIL.COM"/>
    <x v="0"/>
    <n v="1081.3371999999999"/>
    <n v="2.5"/>
    <n v="1163.79"/>
    <n v="1.9580666999707901"/>
    <n v="1120.69"/>
    <s v="AD"/>
    <n v="1"/>
    <n v="1281"/>
    <n v="1108"/>
    <n v="0"/>
    <n v="1108"/>
  </r>
  <r>
    <x v="9"/>
    <s v="JOCELYN GONZÃLEZ ORTIZ"/>
    <n v="30"/>
    <n v="36"/>
    <d v="1899-12-31T23:30:00"/>
    <s v="JOSS.JG0214@GMAIL.COM"/>
    <x v="0"/>
    <n v="1080.7191"/>
    <n v="2.5"/>
    <n v="1163.79"/>
    <n v="1.9580666999707901"/>
    <n v="1116.3800000000001"/>
    <s v="AD"/>
    <n v="1"/>
    <n v="1281"/>
    <n v="1108"/>
    <n v="0"/>
    <n v="1108"/>
  </r>
  <r>
    <x v="9"/>
    <s v="JOCELYN GONZÃLEZ ORTIZ"/>
    <n v="30"/>
    <n v="36"/>
    <d v="1899-12-31T23:30:00"/>
    <s v="JOSS.JG0214@GMAIL.COM"/>
    <x v="0"/>
    <n v="1080.7191"/>
    <n v="2.5"/>
    <n v="1163.79"/>
    <n v="1.9580666999707901"/>
    <n v="1116.3800000000001"/>
    <s v="AD"/>
    <n v="1"/>
    <n v="1281"/>
    <n v="1108"/>
    <n v="0"/>
    <n v="1108"/>
  </r>
  <r>
    <x v="9"/>
    <s v="JOCELYN GONZÃLEZ ORTIZ"/>
    <n v="30"/>
    <n v="36"/>
    <d v="1899-12-31T23:30:00"/>
    <s v="JOSS.JG0214@GMAIL.COM"/>
    <x v="0"/>
    <n v="1080.7191"/>
    <n v="2.5"/>
    <n v="1163.79"/>
    <n v="1.9580666999707901"/>
    <n v="1116.3800000000001"/>
    <s v="AD"/>
    <n v="1"/>
    <n v="1281"/>
    <n v="1108"/>
    <n v="0"/>
    <n v="1108"/>
  </r>
  <r>
    <x v="9"/>
    <s v="ADIEL DIRSAI VALADEZ GONZÃLEZ"/>
    <n v="32"/>
    <n v="36"/>
    <d v="1899-12-31T23:30:00"/>
    <s v="JOSS.JG0214@GMAIL.COM"/>
    <x v="0"/>
    <n v="1080.6832999999999"/>
    <n v="2.5"/>
    <n v="1163.79"/>
    <n v="1.9580666999707901"/>
    <n v="609.91"/>
    <s v="NI"/>
    <n v="1"/>
    <n v="1281"/>
    <n v="1108"/>
    <n v="0.5"/>
    <n v="554"/>
  </r>
  <r>
    <x v="9"/>
    <s v="ADIEL DIRSAI VALADEZ GONZÃLEZ"/>
    <n v="32"/>
    <n v="36"/>
    <d v="1899-12-31T23:30:00"/>
    <s v="JOSS.JG0214@GMAIL.COM"/>
    <x v="0"/>
    <n v="1080.6832999999999"/>
    <n v="2.5"/>
    <n v="1163.79"/>
    <n v="1.9580666999707901"/>
    <n v="609.91"/>
    <s v="NI"/>
    <n v="1"/>
    <n v="1281"/>
    <n v="1108"/>
    <n v="0.5"/>
    <n v="554"/>
  </r>
  <r>
    <x v="9"/>
    <s v="ADIEL DIRSAI VALADEZ GONZÃLEZ"/>
    <n v="32"/>
    <n v="36"/>
    <d v="1899-12-31T23:30:00"/>
    <s v="JOSS.JG0214@GMAIL.COM"/>
    <x v="0"/>
    <n v="1080.6832999999999"/>
    <n v="2.5"/>
    <n v="1163.79"/>
    <n v="1.9580666999707901"/>
    <n v="609.91"/>
    <s v="NI"/>
    <n v="1"/>
    <n v="1281"/>
    <n v="1108"/>
    <n v="0.5"/>
    <n v="554"/>
  </r>
  <r>
    <x v="9"/>
    <s v="AMMIEL SAMAI VALADEZ GONZÃLEZ"/>
    <n v="31"/>
    <n v="36"/>
    <d v="1899-12-31T23:30:00"/>
    <s v="JOSS.JG0214@GMAIL.COM"/>
    <x v="0"/>
    <n v="1080.7012"/>
    <n v="2.5"/>
    <n v="1163.79"/>
    <n v="1.9580666999707901"/>
    <n v="609.91"/>
    <s v="NI"/>
    <n v="1"/>
    <n v="1281"/>
    <n v="1108"/>
    <n v="0.5"/>
    <n v="554"/>
  </r>
  <r>
    <x v="9"/>
    <s v="AMMIEL SAMAI VALADEZ GONZÃLEZ"/>
    <n v="31"/>
    <n v="36"/>
    <d v="1899-12-31T23:30:00"/>
    <s v="JOSS.JG0214@GMAIL.COM"/>
    <x v="0"/>
    <n v="1080.7012"/>
    <n v="2.5"/>
    <n v="1163.79"/>
    <n v="1.9580666999707901"/>
    <n v="609.91"/>
    <s v="NI"/>
    <n v="1"/>
    <n v="1281"/>
    <n v="1108"/>
    <n v="0.5"/>
    <n v="554"/>
  </r>
  <r>
    <x v="9"/>
    <s v="AMMIEL SAMAI VALADEZ GONZÃLEZ"/>
    <n v="31"/>
    <n v="36"/>
    <d v="1899-12-31T23:30:00"/>
    <s v="JOSS.JG0214@GMAIL.COM"/>
    <x v="0"/>
    <n v="1080.7012"/>
    <n v="2.5"/>
    <n v="1163.79"/>
    <n v="1.9580666999707901"/>
    <n v="609.91"/>
    <s v="NI"/>
    <n v="1"/>
    <n v="1281"/>
    <n v="1108"/>
    <n v="0.5"/>
    <n v="554"/>
  </r>
  <r>
    <x v="9"/>
    <s v="HECTOR ORTEGA GARCIA"/>
    <n v="27"/>
    <n v="36"/>
    <d v="1899-12-31T02:00:00"/>
    <s v="hector.ortega.garcia@ejemplo.com"/>
    <x v="2"/>
    <n v="1081.0582999999999"/>
    <n v="7"/>
    <n v="1163.79"/>
    <n v="5.4825867599182097"/>
    <n v="1237.07"/>
    <s v="AD"/>
    <n v="1"/>
    <n v="1330"/>
    <n v="1157"/>
    <n v="0"/>
    <n v="1157"/>
  </r>
  <r>
    <x v="9"/>
    <s v="RAUL MARTINEZ CHAVEZ"/>
    <n v="9"/>
    <n v="36"/>
    <d v="1899-12-31T02:00:00"/>
    <s v="raul.martinez.chavez@ejemplo.com"/>
    <x v="2"/>
    <n v="1081.5144"/>
    <n v="7"/>
    <n v="1163.79"/>
    <n v="5.4825867599182097"/>
    <n v="1237.07"/>
    <s v="AD"/>
    <n v="1"/>
    <n v="1330"/>
    <n v="1157"/>
    <n v="0"/>
    <n v="1157"/>
  </r>
  <r>
    <x v="10"/>
    <s v="ZYANYA JIMENEZ RAMIREZ"/>
    <n v="28"/>
    <n v="36"/>
    <d v="1899-12-31T02:00:00"/>
    <s v="zyanya.jimenez.ramirez@ejemplo.com"/>
    <x v="2"/>
    <n v="1081.0392999999999"/>
    <n v="7"/>
    <n v="1163.79"/>
    <n v="5.4825867599182097"/>
    <n v="1237.07"/>
    <s v="AD"/>
    <n v="1"/>
    <n v="1330"/>
    <n v="1157"/>
    <n v="0"/>
    <n v="1157"/>
  </r>
  <r>
    <x v="10"/>
    <s v="JORGE DIAZ GARCIA"/>
    <n v="29"/>
    <n v="36"/>
    <d v="1899-12-31T02:00:00"/>
    <s v="jorge.diaz.garcia@ejemplo.com"/>
    <x v="2"/>
    <n v="1081.0214000000001"/>
    <n v="7"/>
    <n v="1163.79"/>
    <n v="5.4825867599182097"/>
    <n v="1237.07"/>
    <s v="AD"/>
    <n v="1"/>
    <n v="1330"/>
    <n v="1157"/>
    <n v="0"/>
    <n v="1157"/>
  </r>
  <r>
    <x v="10"/>
    <s v="GUILLERMO OSORIO"/>
    <n v="14"/>
    <n v="36"/>
    <d v="1899-12-31T02:00:00"/>
    <s v="guillermo.osorio@ejemplo.com"/>
    <x v="2"/>
    <n v="1081.4237000000001"/>
    <n v="7"/>
    <n v="1163.79"/>
    <n v="5.4825867599182097"/>
    <n v="1237.07"/>
    <s v="AD"/>
    <n v="1"/>
    <n v="1330"/>
    <n v="1157"/>
    <n v="0"/>
    <n v="1157"/>
  </r>
  <r>
    <x v="10"/>
    <s v="JONATHAN RIVERA MIRANDA"/>
    <n v="8"/>
    <n v="36"/>
    <d v="1899-12-31T02:00:00"/>
    <s v="jonathan.rivera.miranda@ejemplo.com"/>
    <x v="2"/>
    <n v="1081.5315000000001"/>
    <n v="7"/>
    <n v="1163.79"/>
    <n v="5.4825867599182097"/>
    <n v="1237.07"/>
    <s v="AD"/>
    <n v="1"/>
    <n v="1330"/>
    <n v="1157"/>
    <n v="0"/>
    <n v="1157"/>
  </r>
  <r>
    <x v="10"/>
    <s v="BENITA ARAUJO"/>
    <n v="25"/>
    <n v="36"/>
    <d v="1899-12-31T02:00:00"/>
    <s v="benita.araujo@ejemplo.com"/>
    <x v="2"/>
    <n v="1081.0934999999999"/>
    <n v="7"/>
    <n v="1163.79"/>
    <n v="5.4825867599182097"/>
    <n v="1237.07"/>
    <s v="AD"/>
    <n v="1"/>
    <n v="1330"/>
    <n v="1157"/>
    <n v="0"/>
    <n v="1157"/>
  </r>
  <r>
    <x v="10"/>
    <s v="J GUADALUPE DE SANTIAGO ANDRADE"/>
    <n v="30"/>
    <n v="36"/>
    <d v="1899-12-31T06:00:00"/>
    <s v="j.guadalupe.de.santiago.andrade@ejemplo.com"/>
    <x v="2"/>
    <n v="1081.0006000000001"/>
    <n v="7"/>
    <n v="1163.79"/>
    <n v="5.4825867599182097"/>
    <n v="1237.07"/>
    <s v="AD"/>
    <n v="1"/>
    <n v="1330"/>
    <n v="1157"/>
    <n v="0"/>
    <n v="1157"/>
  </r>
  <r>
    <x v="10"/>
    <s v="JOSE DE JESUS DE SANTIAGO BARAJAS"/>
    <n v="31"/>
    <n v="36"/>
    <d v="1899-12-31T06:00:00"/>
    <s v="jose.de.jesus.de.santiago.barajas@ejemplo.com"/>
    <x v="2"/>
    <n v="1080.9828"/>
    <n v="7"/>
    <n v="1163.79"/>
    <n v="5.4825867599182097"/>
    <n v="1237.07"/>
    <s v="AD"/>
    <n v="1"/>
    <n v="1330"/>
    <n v="1157"/>
    <n v="0"/>
    <n v="1157"/>
  </r>
  <r>
    <x v="10"/>
    <s v="ALEJANDRO ANTONIO POLANCO CASTRO"/>
    <n v="23"/>
    <n v="36"/>
    <d v="1899-12-31T02:00:00"/>
    <s v="LESTATDARK12@GMAIL.COM"/>
    <x v="3"/>
    <n v="1081.1418000000001"/>
    <n v="0"/>
    <n v="1163.79"/>
    <n v="0"/>
    <n v="1175.17"/>
    <s v="AD"/>
    <n v="1"/>
    <n v="1254"/>
    <n v="1081"/>
    <n v="0"/>
    <n v="1081"/>
  </r>
  <r>
    <x v="10"/>
    <s v="JUAN JOSE GOZNALEZ RUIZ"/>
    <n v="34"/>
    <n v="36"/>
    <d v="1899-12-31T02:00:00"/>
    <s v="KARKARMTZ@ICLOUD.COM"/>
    <x v="3"/>
    <n v="1080.9440999999999"/>
    <n v="0"/>
    <n v="1163.79"/>
    <n v="0"/>
    <n v="1175.17"/>
    <s v="AD"/>
    <n v="1"/>
    <n v="1254"/>
    <n v="1081"/>
    <n v="0"/>
    <n v="1081"/>
  </r>
  <r>
    <x v="10"/>
    <s v="OLLYN TONATIUH HERNANDEZ CESATTI"/>
    <n v="31"/>
    <n v="36"/>
    <d v="1899-12-31T02:00:00"/>
    <s v="KARKARMTZ@ICLOUD.COM"/>
    <x v="3"/>
    <n v="1080.9979000000001"/>
    <n v="0"/>
    <n v="1163.79"/>
    <n v="0"/>
    <n v="1175.17"/>
    <s v="AD"/>
    <n v="1"/>
    <n v="1254"/>
    <n v="1081"/>
    <n v="0"/>
    <n v="1081"/>
  </r>
  <r>
    <x v="10"/>
    <s v="DELIA LEDESMA"/>
    <n v="22"/>
    <n v="36"/>
    <d v="1899-12-31T02:00:00"/>
    <s v="delia.ledesma@ejemplo.com"/>
    <x v="3"/>
    <n v="1081.1596999999999"/>
    <n v="0"/>
    <n v="1163.79"/>
    <n v="0"/>
    <n v="1175.17"/>
    <s v="AD"/>
    <n v="1"/>
    <n v="1254"/>
    <n v="1081"/>
    <n v="0"/>
    <n v="1081"/>
  </r>
  <r>
    <x v="10"/>
    <s v="CARLOS ANTONIO VILEGAS"/>
    <n v="13"/>
    <n v="36"/>
    <d v="1899-12-31T06:00:00"/>
    <s v="carlos.antonio.vilegas@ejemplo.com"/>
    <x v="5"/>
    <n v="1081.4373000000001"/>
    <n v="8.5"/>
    <n v="1163.79"/>
    <n v="6.6574267799006801"/>
    <n v="1237.07"/>
    <s v="AD"/>
    <n v="1"/>
    <n v="1346"/>
    <n v="1173"/>
    <n v="0"/>
    <n v="1173"/>
  </r>
  <r>
    <x v="10"/>
    <s v="EDSON YAHIR LARA GONZALEZ"/>
    <n v="21"/>
    <n v="36"/>
    <d v="1899-12-31T06:00:00"/>
    <s v="EDSON.LG2412@GMAIL.COM"/>
    <x v="3"/>
    <n v="1081.306"/>
    <n v="0"/>
    <n v="1163.79"/>
    <n v="0"/>
    <n v="1175.17"/>
    <s v="AD"/>
    <n v="1"/>
    <n v="1254"/>
    <n v="1081"/>
    <n v="0"/>
    <n v="1081"/>
  </r>
  <r>
    <x v="10"/>
    <s v="DAVID PERALTA GUTIERREZ"/>
    <n v="14"/>
    <n v="36"/>
    <d v="1899-12-31T06:00:00"/>
    <s v="david.peralta.gutierrez@ejemplo.com"/>
    <x v="5"/>
    <n v="1081.4194"/>
    <n v="8.5"/>
    <n v="1163.79"/>
    <n v="6.6574267799006801"/>
    <n v="1237.07"/>
    <s v="AD"/>
    <n v="1"/>
    <n v="1346"/>
    <n v="1173"/>
    <n v="0"/>
    <n v="1173"/>
  </r>
  <r>
    <x v="10"/>
    <s v="JORGE ANTONIO DIAZ"/>
    <n v="10"/>
    <n v="36"/>
    <d v="1899-12-31T06:00:00"/>
    <s v="jorge.antonio.diaz@ejemplo.com"/>
    <x v="5"/>
    <n v="1081.4903999999999"/>
    <n v="8.5"/>
    <n v="1163.79"/>
    <n v="6.6574267799006801"/>
    <n v="1237.07"/>
    <s v="AD"/>
    <n v="1"/>
    <n v="1346"/>
    <n v="1173"/>
    <n v="0"/>
    <n v="1173"/>
  </r>
  <r>
    <x v="10"/>
    <s v="HESER LOPEZ RAMIREZ"/>
    <n v="32"/>
    <n v="36"/>
    <d v="1899-12-31T06:00:00"/>
    <s v="heser.lopez.ramirez@ejemplo.com"/>
    <x v="1"/>
    <n v="1080.9622999999999"/>
    <n v="10"/>
    <n v="1163.79"/>
    <n v="7.8322667998831603"/>
    <n v="618.53"/>
    <s v="NI"/>
    <n v="1"/>
    <n v="1362"/>
    <n v="1189"/>
    <n v="0.5"/>
    <n v="594.5"/>
  </r>
  <r>
    <x v="10"/>
    <s v="MARIA TERESA RAMIREZ GARCIA"/>
    <n v="27"/>
    <n v="36"/>
    <d v="1899-12-31T06:00:00"/>
    <s v="maria.teresa.ramirez.garcia@ejemplo.com"/>
    <x v="1"/>
    <n v="1081.0522000000001"/>
    <n v="10"/>
    <n v="1163.79"/>
    <n v="7.8322667998831603"/>
    <n v="618.53"/>
    <s v="NI"/>
    <n v="1"/>
    <n v="1362"/>
    <n v="1189"/>
    <n v="0.5"/>
    <n v="594.5"/>
  </r>
  <r>
    <x v="10"/>
    <s v="GABRIEL MENDEZ"/>
    <n v="36"/>
    <n v="36"/>
    <d v="1899-12-31T06:00:00"/>
    <s v="GABRIELMENDEZROMAN53@GMAIL.COM"/>
    <x v="2"/>
    <n v="1080.8905"/>
    <n v="7"/>
    <n v="1163.79"/>
    <n v="5.4825867599182097"/>
    <n v="1237.07"/>
    <s v="AD"/>
    <n v="1"/>
    <n v="1329"/>
    <n v="1157"/>
    <n v="0"/>
    <n v="1157"/>
  </r>
  <r>
    <x v="10"/>
    <s v="ANGEL CHAVEZ CONTRERAS"/>
    <n v="17"/>
    <n v="36"/>
    <d v="1899-12-31T06:00:00"/>
    <s v="angel.chavez.contreras@ejemplo.com"/>
    <x v="5"/>
    <n v="1081.3646000000001"/>
    <n v="8.5"/>
    <n v="1163.79"/>
    <n v="6.6574267799006801"/>
    <n v="1237.07"/>
    <s v="AD"/>
    <n v="1"/>
    <n v="1346"/>
    <n v="1173"/>
    <n v="0"/>
    <n v="1173"/>
  </r>
  <r>
    <x v="10"/>
    <s v="MALCON MIGUEL ROSALES ACOSTA"/>
    <n v="35"/>
    <n v="36"/>
    <d v="1899-12-31T06:00:00"/>
    <s v="malcon.miguel.rosales.acosta@ejemplo.com"/>
    <x v="3"/>
    <n v="1080.9078"/>
    <n v="0"/>
    <n v="1163.79"/>
    <n v="0"/>
    <n v="989.65"/>
    <s v="PE"/>
    <n v="1"/>
    <n v="1254"/>
    <n v="1081"/>
    <n v="0"/>
    <n v="1081"/>
  </r>
  <r>
    <x v="10"/>
    <s v="DANIEL RUBIO"/>
    <n v="11"/>
    <n v="36"/>
    <d v="1899-12-31T06:00:00"/>
    <s v="daniel.rubio@ejemplo.com"/>
    <x v="5"/>
    <n v="1081.4717000000001"/>
    <n v="8.5"/>
    <n v="1163.79"/>
    <n v="6.6574267799006801"/>
    <n v="1237.07"/>
    <s v="AD"/>
    <n v="1"/>
    <n v="1346"/>
    <n v="1173"/>
    <n v="0"/>
    <n v="1173"/>
  </r>
  <r>
    <x v="10"/>
    <s v="JORGE ABARCA"/>
    <n v="26"/>
    <n v="36"/>
    <d v="1899-12-31T06:00:00"/>
    <s v="jorge.abarca@ejemplo.com"/>
    <x v="5"/>
    <n v="1081.0696"/>
    <n v="8.5"/>
    <n v="1163.79"/>
    <n v="6.6574267799006801"/>
    <n v="1237.07"/>
    <s v="AD"/>
    <n v="1"/>
    <n v="1346"/>
    <n v="1173"/>
    <n v="0"/>
    <n v="1173"/>
  </r>
  <r>
    <x v="10"/>
    <s v="JONATHAN  RUIZ"/>
    <n v="28"/>
    <n v="36"/>
    <d v="1899-12-31T06:00:00"/>
    <s v="jonathan..ruiz@ejemplo.com"/>
    <x v="5"/>
    <n v="1081.0336"/>
    <n v="8.5"/>
    <n v="1163.79"/>
    <n v="6.6574267799006801"/>
    <n v="1237.07"/>
    <s v="AD"/>
    <n v="1"/>
    <n v="1346"/>
    <n v="1173"/>
    <n v="0"/>
    <n v="1173"/>
  </r>
  <r>
    <x v="10"/>
    <s v="CARLOS MAYORGA"/>
    <n v="33"/>
    <n v="36"/>
    <d v="1899-12-31T06:00:00"/>
    <s v="carlos.mayorga@ejemplo.com"/>
    <x v="5"/>
    <n v="1080.9437"/>
    <n v="8.5"/>
    <n v="1163.79"/>
    <n v="6.6574267799006801"/>
    <n v="1237.07"/>
    <s v="AD"/>
    <n v="1"/>
    <n v="1346"/>
    <n v="1173"/>
    <n v="0"/>
    <n v="1173"/>
  </r>
  <r>
    <x v="10"/>
    <s v="JESUS EMANUEL MORENO"/>
    <n v="27"/>
    <n v="36"/>
    <d v="1899-12-31T02:00:00"/>
    <s v="JESUSE_MOR@HOTMAIL.COM"/>
    <x v="0"/>
    <n v="1080.9991"/>
    <n v="2.5"/>
    <n v="1163.79"/>
    <n v="1.9580666999707901"/>
    <n v="1120.69"/>
    <s v="AD"/>
    <n v="1"/>
    <n v="1281"/>
    <n v="1108"/>
    <n v="0"/>
    <n v="1108"/>
  </r>
  <r>
    <x v="10"/>
    <s v="OSVALDO VILCHIS LOPEZ"/>
    <n v="6"/>
    <n v="36"/>
    <d v="1899-12-31T11:00:00"/>
    <s v="INGOSVALDOVL@GMAIL.COM"/>
    <x v="3"/>
    <n v="1081.5693000000001"/>
    <n v="0"/>
    <n v="1163.79"/>
    <n v="0"/>
    <n v="1175.17"/>
    <s v="AD"/>
    <n v="1"/>
    <n v="1255"/>
    <n v="1082"/>
    <n v="0"/>
    <n v="1082"/>
  </r>
  <r>
    <x v="10"/>
    <s v="MIGUEL ANGEL SANCHEZ BLANCAS"/>
    <n v="4"/>
    <n v="36"/>
    <d v="1899-12-31T23:30:00"/>
    <s v="miguel.angel.sanchez.blancas@ejemplo.com"/>
    <x v="4"/>
    <n v="1081.2943"/>
    <n v="5"/>
    <n v="1163.79"/>
    <n v="3.9161333999415802"/>
    <n v="609.91"/>
    <s v="IN"/>
    <n v="1"/>
    <n v="1308"/>
    <n v="1135"/>
    <n v="0.5"/>
    <n v="567.5"/>
  </r>
  <r>
    <x v="10"/>
    <s v="RODRIGO ANGEL OCANA CARRIZOSA"/>
    <n v="33"/>
    <n v="36"/>
    <d v="1899-12-31T11:00:00"/>
    <s v="TICKETCENTER@ALTOUR.MX"/>
    <x v="3"/>
    <n v="1080.9425000000001"/>
    <n v="0"/>
    <n v="1163.79"/>
    <n v="0"/>
    <n v="1219.83"/>
    <s v="AD"/>
    <n v="1"/>
    <n v="1254"/>
    <n v="1081"/>
    <n v="0"/>
    <n v="1081"/>
  </r>
  <r>
    <x v="10"/>
    <s v="ANA LILIAN  FUENTES RODRIGUEZ"/>
    <n v="19"/>
    <n v="36"/>
    <d v="1899-12-31T23:30:00"/>
    <s v="ana.lilian..fuentes.rodriguez@ejemplo.com"/>
    <x v="1"/>
    <n v="1081.0952"/>
    <n v="10"/>
    <n v="1163.79"/>
    <n v="7.8322667998831603"/>
    <n v="618.53"/>
    <s v="NI"/>
    <n v="1"/>
    <n v="1362"/>
    <n v="1189"/>
    <n v="0.5"/>
    <n v="594.5"/>
  </r>
  <r>
    <x v="10"/>
    <s v="MANUEL QUINTERO  PEREZ"/>
    <n v="20"/>
    <n v="36"/>
    <d v="1899-12-31T23:30:00"/>
    <s v="manuel.quintero..perez@ejemplo.com"/>
    <x v="1"/>
    <n v="1081.0773999999999"/>
    <n v="10"/>
    <n v="1163.79"/>
    <n v="7.8322667998831603"/>
    <n v="618.53"/>
    <s v="NI"/>
    <n v="1"/>
    <n v="1362"/>
    <n v="1189"/>
    <n v="0.5"/>
    <n v="594.5"/>
  </r>
  <r>
    <x v="10"/>
    <s v="ANA KARLA SANCHEZ  FUENTES"/>
    <n v="21"/>
    <n v="36"/>
    <d v="1899-12-31T23:30:00"/>
    <s v="ana.karla.sanchez..fuentes@ejemplo.com"/>
    <x v="5"/>
    <n v="1081.0592999999999"/>
    <n v="8.5"/>
    <n v="1163.79"/>
    <n v="6.6574267799006801"/>
    <n v="1237.07"/>
    <s v="AD"/>
    <n v="1"/>
    <n v="1346"/>
    <n v="1173"/>
    <n v="0"/>
    <n v="1173"/>
  </r>
  <r>
    <x v="10"/>
    <s v="RICARDO E RAMIREZ PEREZ"/>
    <n v="34"/>
    <n v="36"/>
    <d v="1899-12-31T11:00:00"/>
    <s v="ricardo.e.ramirez.perez@ejemplo.com"/>
    <x v="5"/>
    <n v="1080.9241999999999"/>
    <n v="8.5"/>
    <n v="1163.79"/>
    <n v="6.6574267799006801"/>
    <n v="1237.07"/>
    <s v="AD"/>
    <n v="1"/>
    <n v="1346"/>
    <n v="1173"/>
    <n v="0"/>
    <n v="1173"/>
  </r>
  <r>
    <x v="10"/>
    <s v="ELISA VILLALVA MEZA"/>
    <n v="2"/>
    <n v="36"/>
    <d v="1899-12-31T11:00:00"/>
    <s v="HEIS_ZASA@HOTMAIL.COM"/>
    <x v="0"/>
    <n v="1081.5686000000001"/>
    <n v="2.5"/>
    <n v="1163.79"/>
    <n v="1.9580666999707901"/>
    <n v="609.91"/>
    <s v="IN"/>
    <n v="1"/>
    <n v="1282"/>
    <n v="1109"/>
    <n v="0.5"/>
    <n v="554.5"/>
  </r>
  <r>
    <x v="10"/>
    <s v="JUAN DAZA HERRERA"/>
    <n v="3"/>
    <n v="36"/>
    <d v="1899-12-31T11:00:00"/>
    <s v="HEIS_ZASA@HOTMAIL.COM"/>
    <x v="0"/>
    <n v="1081.5554999999999"/>
    <n v="2.5"/>
    <n v="1163.79"/>
    <n v="1.9580666999707901"/>
    <n v="1116.3800000000001"/>
    <s v="AD"/>
    <n v="1"/>
    <n v="1282"/>
    <n v="1109"/>
    <n v="0"/>
    <n v="1109"/>
  </r>
  <r>
    <x v="10"/>
    <s v="MIGUEL ANGEL GUZMAN DIAZ"/>
    <n v="7"/>
    <n v="36"/>
    <d v="1899-12-31T23:10:00"/>
    <s v="GESTION@GRUPO-ASESORES.NET"/>
    <x v="4"/>
    <n v="1081.2940000000001"/>
    <n v="5"/>
    <n v="1163.79"/>
    <n v="3.9161333999415802"/>
    <n v="609.91"/>
    <s v="IN"/>
    <n v="1"/>
    <n v="1308"/>
    <n v="1135"/>
    <n v="0.5"/>
    <n v="567.5"/>
  </r>
  <r>
    <x v="10"/>
    <s v="EVANGELINA  FLORES  LUNA"/>
    <n v="16"/>
    <n v="36"/>
    <d v="1899-12-31T23:30:00"/>
    <s v="evangelina..flores..luna@ejemplo.com"/>
    <x v="4"/>
    <n v="1081.0768"/>
    <n v="5"/>
    <n v="1163.79"/>
    <n v="3.9161333999415802"/>
    <n v="609.91"/>
    <s v="IN"/>
    <n v="1"/>
    <n v="1308"/>
    <n v="1135"/>
    <n v="0.5"/>
    <n v="567.5"/>
  </r>
  <r>
    <x v="10"/>
    <s v="ABRAHAM DIEGO LOPEZ JIMENEZ"/>
    <n v="24"/>
    <n v="36"/>
    <d v="1899-12-31T23:30:00"/>
    <s v="GCASANTING02@GMAIL.COM"/>
    <x v="3"/>
    <n v="1080.8839"/>
    <n v="0"/>
    <n v="1163.79"/>
    <n v="0"/>
    <n v="1175.17"/>
    <s v="AD"/>
    <n v="1"/>
    <n v="1254"/>
    <n v="1081"/>
    <n v="0"/>
    <n v="1081"/>
  </r>
  <r>
    <x v="10"/>
    <s v="JUAN DAZA HERRERA"/>
    <n v="3"/>
    <n v="36"/>
    <d v="1899-12-31T11:00:00"/>
    <s v="HEIS_ZASA@HOTMAIL.COM"/>
    <x v="0"/>
    <n v="1081.5491"/>
    <n v="2.5"/>
    <n v="1163.79"/>
    <n v="1.9580666999707901"/>
    <n v="1116.3800000000001"/>
    <s v="AD"/>
    <n v="1"/>
    <n v="1282"/>
    <n v="1109"/>
    <n v="0"/>
    <n v="1109"/>
  </r>
  <r>
    <x v="10"/>
    <s v="ALEJANDRO GARCIA RODRIGUEZ"/>
    <n v="13"/>
    <n v="36"/>
    <d v="1899-12-31T23:59:00"/>
    <s v="alejandro.garcia.rodriguez@ejemplo.com"/>
    <x v="2"/>
    <n v="1081.1297999999999"/>
    <n v="7"/>
    <n v="1163.79"/>
    <n v="5.4825867599182097"/>
    <n v="1097.8399999999999"/>
    <s v="AD"/>
    <n v="1"/>
    <n v="1330"/>
    <n v="1157"/>
    <n v="0"/>
    <n v="1157"/>
  </r>
  <r>
    <x v="10"/>
    <s v="DELIA MARTHA BUCIO RODRIGUEZ"/>
    <n v="1"/>
    <n v="36"/>
    <d v="1899-12-31T06:00:00"/>
    <s v="7FACTURAS7@GMAIL.COM"/>
    <x v="4"/>
    <n v="1081.5922"/>
    <n v="5"/>
    <n v="1163.79"/>
    <n v="3.9161333999415802"/>
    <n v="609.91"/>
    <s v="IN"/>
    <n v="1"/>
    <n v="1309"/>
    <n v="1136"/>
    <n v="0.5"/>
    <n v="568"/>
  </r>
  <r>
    <x v="10"/>
    <s v="FERNANDO MANUEL SANTANA MENDEZ"/>
    <n v="1"/>
    <n v="36"/>
    <d v="1899-12-31T02:00:00"/>
    <s v="FERSANT.SM@ICLOUD.COM"/>
    <x v="0"/>
    <n v="1081.5894000000001"/>
    <n v="2.5"/>
    <n v="1163.79"/>
    <n v="1.9580666999707901"/>
    <n v="1116.3800000000001"/>
    <s v="AD"/>
    <n v="1"/>
    <n v="1282"/>
    <n v="1109"/>
    <n v="0"/>
    <n v="1109"/>
  </r>
  <r>
    <x v="10"/>
    <s v="ALFONSO POZOS CERVANTES"/>
    <n v="17"/>
    <n v="36"/>
    <d v="1899-12-31T02:00:00"/>
    <s v="GRUPOSUKIARY@GMAIL.COM"/>
    <x v="0"/>
    <n v="1081.3058000000001"/>
    <n v="2.5"/>
    <n v="1163.79"/>
    <n v="1.9580666999707901"/>
    <n v="1158.8800000000001"/>
    <s v="AD"/>
    <n v="1"/>
    <n v="1281"/>
    <n v="1108"/>
    <n v="0"/>
    <n v="1108"/>
  </r>
  <r>
    <x v="10"/>
    <s v="ROQUE MARTINEZ NOLASCO"/>
    <n v="7"/>
    <n v="36"/>
    <d v="1899-12-31T23:59:00"/>
    <s v="JUANMANUELMTZR@GMAIL.COM"/>
    <x v="0"/>
    <n v="1081.3206"/>
    <n v="2.5"/>
    <n v="1163.79"/>
    <n v="1.9580666999707901"/>
    <n v="1175.17"/>
    <s v="AD"/>
    <n v="1"/>
    <n v="1281"/>
    <n v="1108"/>
    <n v="0"/>
    <n v="1108"/>
  </r>
  <r>
    <x v="10"/>
    <s v="ALEJANDRO LÃ“PEZ PLASCENCIA"/>
    <n v="35"/>
    <n v="36"/>
    <d v="1899-12-31T23:59:00"/>
    <s v="YOLOTZINPFLORES@GMAIL.COM"/>
    <x v="4"/>
    <n v="1080.7503999999999"/>
    <n v="5"/>
    <n v="1163.79"/>
    <n v="3.9161333999415802"/>
    <n v="601.29"/>
    <s v="IN"/>
    <n v="1"/>
    <n v="1308"/>
    <n v="1135"/>
    <n v="0.5"/>
    <n v="567.5"/>
  </r>
  <r>
    <x v="10"/>
    <s v="PABLO BANDA"/>
    <n v="4"/>
    <n v="36"/>
    <d v="1899-12-31T11:00:00"/>
    <s v="PABLOBANDA78@GMAIL.COM"/>
    <x v="5"/>
    <n v="1081.3834999999999"/>
    <n v="8.5"/>
    <n v="1163.79"/>
    <n v="6.6574267799006801"/>
    <n v="1097.8399999999999"/>
    <s v="AD"/>
    <n v="1"/>
    <n v="1346"/>
    <n v="1173"/>
    <n v="0"/>
    <n v="1173"/>
  </r>
  <r>
    <x v="10"/>
    <s v="MIGUEL ANGEL FUENTES"/>
    <n v="34"/>
    <n v="36"/>
    <d v="1899-12-31T23:59:00"/>
    <s v="MIGUEL_A_FTES@YAHOO.COM.MX"/>
    <x v="4"/>
    <n v="1080.6360999999999"/>
    <n v="5"/>
    <n v="1163.79"/>
    <n v="3.9161333999415802"/>
    <n v="609.91"/>
    <s v="IN"/>
    <n v="1"/>
    <n v="1308"/>
    <n v="1135"/>
    <n v="0.5"/>
    <n v="567.5"/>
  </r>
  <r>
    <x v="10"/>
    <s v="GABRIELA  VICTORIA MILLAN"/>
    <n v="15"/>
    <n v="36"/>
    <d v="1899-12-31T23:30:00"/>
    <s v="gabriela..victoria.millan@ejemplo.com"/>
    <x v="1"/>
    <n v="1081.0924"/>
    <n v="10"/>
    <n v="1163.79"/>
    <n v="7.8322667998831603"/>
    <n v="609.91"/>
    <s v="NI"/>
    <n v="1"/>
    <n v="1362"/>
    <n v="1189"/>
    <n v="0.5"/>
    <n v="594.5"/>
  </r>
  <r>
    <x v="10"/>
    <s v="RUBEN  LADRON DE GUEVARA VALDIESO"/>
    <n v="14"/>
    <n v="36"/>
    <d v="1899-12-31T23:30:00"/>
    <s v="ruben..ladron.de.guevara.valdieso@ejemplo.com"/>
    <x v="1"/>
    <n v="1081.1102000000001"/>
    <n v="10"/>
    <n v="1163.79"/>
    <n v="7.8322667998831603"/>
    <n v="609.91"/>
    <s v="NI"/>
    <n v="1"/>
    <n v="1362"/>
    <n v="1189"/>
    <n v="0.5"/>
    <n v="594.5"/>
  </r>
  <r>
    <x v="10"/>
    <s v="LETECIA ARAGON MORALES"/>
    <n v="13"/>
    <n v="36"/>
    <d v="1899-12-31T23:30:00"/>
    <s v="OSCARCUEVA13@GMAIL.COM"/>
    <x v="3"/>
    <n v="1081.2118"/>
    <n v="0"/>
    <n v="1163.79"/>
    <n v="0"/>
    <n v="1175.17"/>
    <s v="AD"/>
    <n v="1"/>
    <n v="1254"/>
    <n v="1081"/>
    <n v="0"/>
    <n v="1081"/>
  </r>
  <r>
    <x v="10"/>
    <s v="EDER ABRAHAM DIAZ OSUNA"/>
    <n v="24"/>
    <n v="36"/>
    <d v="1899-12-31T23:59:00"/>
    <s v="LINEAEVOLUXION@HOTMAIL.COM"/>
    <x v="3"/>
    <n v="1080.8813"/>
    <n v="0"/>
    <n v="1163.79"/>
    <n v="0"/>
    <n v="1097.8399999999999"/>
    <s v="AD"/>
    <n v="1"/>
    <n v="1254"/>
    <n v="1081"/>
    <n v="0"/>
    <n v="1081"/>
  </r>
  <r>
    <x v="10"/>
    <s v="EDER ABRAHAM DIAZ OSUNA"/>
    <n v="24"/>
    <n v="36"/>
    <d v="1899-12-31T23:59:00"/>
    <s v="LINEAEVOLUXION@HOTMAIL.COM"/>
    <x v="3"/>
    <n v="1080.8813"/>
    <n v="0"/>
    <n v="1163.79"/>
    <n v="0"/>
    <n v="1097.8399999999999"/>
    <s v="AD"/>
    <n v="1"/>
    <n v="1254"/>
    <n v="1081"/>
    <n v="0"/>
    <n v="1081"/>
  </r>
  <r>
    <x v="10"/>
    <s v="JUAN ANDRES DIAZ OSUNA"/>
    <n v="21"/>
    <n v="36"/>
    <d v="1899-12-31T23:59:00"/>
    <s v="LINEAEVOLUXION@HOTMAIL.COM"/>
    <x v="3"/>
    <n v="1081.0679"/>
    <n v="0"/>
    <n v="1163.79"/>
    <n v="0"/>
    <n v="1097.8399999999999"/>
    <s v="AD"/>
    <n v="1"/>
    <n v="1254"/>
    <n v="1081"/>
    <n v="0"/>
    <n v="1081"/>
  </r>
  <r>
    <x v="10"/>
    <s v="JUAN ANDRES DIAZ OSUNA"/>
    <n v="21"/>
    <n v="36"/>
    <d v="1899-12-31T23:59:00"/>
    <s v="LINEAEVOLUXION@HOTMAIL.COM"/>
    <x v="3"/>
    <n v="1081.0679"/>
    <n v="0"/>
    <n v="1163.79"/>
    <n v="0"/>
    <n v="1097.8399999999999"/>
    <s v="AD"/>
    <n v="1"/>
    <n v="1254"/>
    <n v="1081"/>
    <n v="0"/>
    <n v="1081"/>
  </r>
  <r>
    <x v="10"/>
    <s v="EDUARDO MONCADA TOVAR"/>
    <n v="7"/>
    <n v="36"/>
    <d v="1899-12-31T06:00:00"/>
    <s v="TICKETCENTER@ALTOUR.MX"/>
    <x v="3"/>
    <n v="1081.4829"/>
    <n v="0"/>
    <n v="1163.79"/>
    <n v="0"/>
    <n v="1219.83"/>
    <s v="AD"/>
    <n v="1"/>
    <n v="1255"/>
    <n v="1081"/>
    <n v="0"/>
    <n v="1081"/>
  </r>
  <r>
    <x v="10"/>
    <s v="DAISE DEL CARMEN FIGUEROA"/>
    <n v="23"/>
    <n v="36"/>
    <d v="1899-12-31T06:00:00"/>
    <s v="daise.del.carmen.figueroa@ejemplo.com"/>
    <x v="0"/>
    <n v="1081.0626999999999"/>
    <n v="2.5"/>
    <n v="1163.79"/>
    <n v="1.9580666999707901"/>
    <n v="1158.8800000000001"/>
    <s v="AD"/>
    <n v="1"/>
    <n v="1281"/>
    <n v="1108"/>
    <n v="0"/>
    <n v="1108"/>
  </r>
  <r>
    <x v="10"/>
    <s v="JANET VELASQUES"/>
    <n v="22"/>
    <n v="36"/>
    <d v="1899-12-31T06:00:00"/>
    <s v="janet.velasques@ejemplo.com"/>
    <x v="0"/>
    <n v="1081.0807"/>
    <n v="2.5"/>
    <n v="1163.79"/>
    <n v="1.9580666999707901"/>
    <n v="1158.8800000000001"/>
    <s v="AD"/>
    <n v="1"/>
    <n v="1281"/>
    <n v="1108"/>
    <n v="0"/>
    <n v="1108"/>
  </r>
  <r>
    <x v="10"/>
    <s v="LUIS ALBERTO LOPEZ CARRILLO"/>
    <n v="27"/>
    <n v="36"/>
    <d v="1899-12-31T23:59:00"/>
    <s v="LS_INSTALACIONES@OUTLOOK.COM"/>
    <x v="3"/>
    <n v="1080.8276000000001"/>
    <n v="0"/>
    <n v="1163.79"/>
    <n v="0"/>
    <n v="1175.17"/>
    <s v="AD"/>
    <n v="1"/>
    <n v="1254"/>
    <n v="1081"/>
    <n v="0"/>
    <n v="1081"/>
  </r>
  <r>
    <x v="10"/>
    <s v="MARIA ESTEBAN LOPEZ"/>
    <n v="13"/>
    <n v="36"/>
    <d v="1899-12-31T11:00:00"/>
    <s v="MARIANA.SANEST@GMAIL.COM"/>
    <x v="2"/>
    <n v="1081.5045"/>
    <n v="7"/>
    <n v="1163.79"/>
    <n v="5.4825867599182097"/>
    <n v="609.91"/>
    <s v="IN"/>
    <n v="1"/>
    <n v="1330"/>
    <n v="1157"/>
    <n v="0.5"/>
    <n v="578.5"/>
  </r>
  <r>
    <x v="10"/>
    <s v="ENRIQUE HUGO SANDOVAL ORTIZ"/>
    <n v="12"/>
    <n v="36"/>
    <d v="1899-12-31T23:59:00"/>
    <s v="GAMSANDOVAL@GMAIL.COM"/>
    <x v="3"/>
    <n v="1081.2289000000001"/>
    <n v="0"/>
    <n v="1163.79"/>
    <n v="0"/>
    <n v="1175.17"/>
    <s v="AD"/>
    <n v="1"/>
    <n v="1254"/>
    <n v="1081"/>
    <n v="0"/>
    <n v="1081"/>
  </r>
  <r>
    <x v="10"/>
    <s v="HERIBERTO    ESTRELLA"/>
    <n v="13"/>
    <n v="36"/>
    <d v="1899-12-31T23:10:00"/>
    <s v="heriberto....estrella@ejemplo.com"/>
    <x v="1"/>
    <n v="1081.1274000000001"/>
    <n v="10"/>
    <n v="1163.79"/>
    <n v="7.8322667998831603"/>
    <n v="609.91"/>
    <s v="NI"/>
    <n v="1"/>
    <n v="1362"/>
    <n v="1189"/>
    <n v="0.5"/>
    <n v="594.5"/>
  </r>
  <r>
    <x v="10"/>
    <s v="MARCELA MARIN QUIÃ‘ES"/>
    <n v="32"/>
    <n v="36"/>
    <d v="1899-12-31T23:30:00"/>
    <s v="marcela.marin.quiÃ±es@ejemplo.com"/>
    <x v="4"/>
    <n v="1080.6392000000001"/>
    <n v="5"/>
    <n v="1163.79"/>
    <n v="3.9161333999415802"/>
    <n v="609.91"/>
    <s v="IN"/>
    <n v="1"/>
    <n v="1308"/>
    <n v="1135"/>
    <n v="0.5"/>
    <n v="567.5"/>
  </r>
  <r>
    <x v="10"/>
    <s v="ANDREA JANET ZARAGOZA FLORES"/>
    <n v="17"/>
    <n v="36"/>
    <d v="1899-12-31T11:00:00"/>
    <s v="JZARAGOZA.FACTURAS@GMAIL.COM"/>
    <x v="4"/>
    <n v="1081.432"/>
    <n v="5"/>
    <n v="1163.79"/>
    <n v="3.9161333999415802"/>
    <n v="609.91"/>
    <s v="IN"/>
    <n v="1"/>
    <n v="1309"/>
    <n v="1136"/>
    <n v="0.5"/>
    <n v="568"/>
  </r>
  <r>
    <x v="10"/>
    <s v="BLANCA VERENICE VELÃZQUEZ ARTERO"/>
    <n v="23"/>
    <n v="36"/>
    <d v="1899-12-31T23:59:00"/>
    <s v="VERENICEVELA@GMAIL.COM"/>
    <x v="2"/>
    <n v="1080.8981000000001"/>
    <n v="7"/>
    <n v="1163.79"/>
    <n v="5.4825867599182097"/>
    <n v="1175.17"/>
    <s v="AD"/>
    <n v="1"/>
    <n v="1330"/>
    <n v="1157"/>
    <n v="0"/>
    <n v="1157"/>
  </r>
  <r>
    <x v="10"/>
    <s v="FIDEL SANCHEZ JIMENEZ"/>
    <n v="22"/>
    <n v="36"/>
    <d v="1899-12-31T23:59:00"/>
    <s v="FISAJIGESTORIA@HOTMAIL.COM"/>
    <x v="3"/>
    <n v="1080.9159"/>
    <n v="0"/>
    <n v="1163.79"/>
    <n v="0"/>
    <n v="1175.17"/>
    <s v="AD"/>
    <n v="1"/>
    <n v="1254"/>
    <n v="1081"/>
    <n v="0"/>
    <n v="1081"/>
  </r>
  <r>
    <x v="10"/>
    <s v="ZEFERINO ROBLES"/>
    <n v="32"/>
    <n v="36"/>
    <d v="1899-12-31T23:30:00"/>
    <s v="zeferino.robles@ejemplo.com"/>
    <x v="3"/>
    <n v="1080.7360000000001"/>
    <n v="0"/>
    <n v="1163.79"/>
    <n v="0"/>
    <n v="1175.17"/>
    <s v="AD"/>
    <n v="1"/>
    <n v="1254"/>
    <n v="1081"/>
    <n v="0"/>
    <n v="1081"/>
  </r>
  <r>
    <x v="10"/>
    <s v="MARIA DEL CARMEN RAMIREZ"/>
    <n v="17"/>
    <n v="35"/>
    <d v="1899-12-31T06:00:00"/>
    <s v="maria.del.carmen.ramirez@ejemplo.com"/>
    <x v="1"/>
    <n v="1081.1515999999999"/>
    <n v="10"/>
    <n v="1163.79"/>
    <n v="7.8322667998831603"/>
    <n v="609.91"/>
    <s v="NI"/>
    <n v="1"/>
    <n v="1362"/>
    <n v="1189"/>
    <n v="0.5"/>
    <n v="594.5"/>
  </r>
  <r>
    <x v="10"/>
    <s v="GERARDO ESCAMILLA HERNANDEZ"/>
    <n v="36"/>
    <n v="36"/>
    <d v="1899-12-31T23:59:00"/>
    <s v="ELECTRIKINDUS@GMAIL.COM"/>
    <x v="3"/>
    <n v="1080.6642999999999"/>
    <n v="0"/>
    <n v="1163.79"/>
    <n v="0"/>
    <n v="1175.17"/>
    <s v="AD"/>
    <n v="1"/>
    <n v="1254"/>
    <n v="1081"/>
    <n v="0"/>
    <n v="1081"/>
  </r>
  <r>
    <x v="10"/>
    <s v="OMAR SANCHEZ LUGO"/>
    <n v="18"/>
    <n v="36"/>
    <d v="1899-12-31T23:59:00"/>
    <s v="ELECTRIKINDUS@GMAIL.COM"/>
    <x v="3"/>
    <n v="1081.1205"/>
    <n v="0"/>
    <n v="1163.79"/>
    <n v="0"/>
    <n v="1175.17"/>
    <s v="AD"/>
    <n v="1"/>
    <n v="1254"/>
    <n v="1081"/>
    <n v="0"/>
    <n v="1081"/>
  </r>
  <r>
    <x v="10"/>
    <s v="JOSHUE DANIEL HERRERA MONTERRUBIO"/>
    <n v="27"/>
    <n v="36"/>
    <d v="1899-12-31T23:30:00"/>
    <s v="DAN_LOVE_03@LIVE.COM.MX"/>
    <x v="3"/>
    <n v="1080.826"/>
    <n v="0"/>
    <n v="1163.79"/>
    <n v="0"/>
    <n v="1175.17"/>
    <s v="AD"/>
    <n v="1"/>
    <n v="1254"/>
    <n v="1081"/>
    <n v="0"/>
    <n v="1081"/>
  </r>
  <r>
    <x v="10"/>
    <s v="LEONARDO DANIEL GOMEZ RIOS"/>
    <n v="20"/>
    <n v="36"/>
    <d v="1899-12-31T23:59:00"/>
    <s v="HIVICO.SACV@GMAIL.COM"/>
    <x v="3"/>
    <n v="1081.0836999999999"/>
    <n v="0"/>
    <n v="1163.79"/>
    <n v="0"/>
    <n v="1175.17"/>
    <s v="AD"/>
    <n v="1"/>
    <n v="1254"/>
    <n v="1081"/>
    <n v="0"/>
    <n v="1081"/>
  </r>
  <r>
    <x v="10"/>
    <s v="LEONARDO DANIEL GOMEZ RIOS"/>
    <n v="20"/>
    <n v="36"/>
    <d v="1899-12-31T23:59:00"/>
    <s v="HIVICO.SACV@GMAIL.COM"/>
    <x v="3"/>
    <n v="1081.0836999999999"/>
    <n v="0"/>
    <n v="1163.79"/>
    <n v="0"/>
    <n v="1175.17"/>
    <s v="AD"/>
    <n v="1"/>
    <n v="1254"/>
    <n v="1081"/>
    <n v="0"/>
    <n v="1081"/>
  </r>
  <r>
    <x v="10"/>
    <s v="LEONARDO DANIEL GOMEZ RIOS"/>
    <n v="20"/>
    <n v="36"/>
    <d v="1899-12-31T23:59:00"/>
    <s v="HIVICO.SACV@GMAIL.COM"/>
    <x v="3"/>
    <n v="1081.0836999999999"/>
    <n v="0"/>
    <n v="1163.79"/>
    <n v="0"/>
    <n v="1175.17"/>
    <s v="AD"/>
    <n v="1"/>
    <n v="1254"/>
    <n v="1081"/>
    <n v="0"/>
    <n v="1081"/>
  </r>
  <r>
    <x v="10"/>
    <s v="TOMAS HERNANDEZ ZENTENO"/>
    <n v="15"/>
    <n v="36"/>
    <d v="1899-12-31T23:59:00"/>
    <s v="HIVICO.SACV@GMAIL.COM"/>
    <x v="3"/>
    <n v="1081.1736000000001"/>
    <n v="0"/>
    <n v="1163.79"/>
    <n v="0"/>
    <n v="1175.17"/>
    <s v="AD"/>
    <n v="1"/>
    <n v="1254"/>
    <n v="1081"/>
    <n v="0"/>
    <n v="1081"/>
  </r>
  <r>
    <x v="10"/>
    <s v="TOMAS HERNANDEZ ZENTENO"/>
    <n v="15"/>
    <n v="36"/>
    <d v="1899-12-31T23:59:00"/>
    <s v="HIVICO.SACV@GMAIL.COM"/>
    <x v="3"/>
    <n v="1081.1736000000001"/>
    <n v="0"/>
    <n v="1163.79"/>
    <n v="0"/>
    <n v="1175.17"/>
    <s v="AD"/>
    <n v="1"/>
    <n v="1254"/>
    <n v="1081"/>
    <n v="0"/>
    <n v="1081"/>
  </r>
  <r>
    <x v="10"/>
    <s v="TOMAS HERNANDEZ ZENTENO"/>
    <n v="15"/>
    <n v="36"/>
    <d v="1899-12-31T23:59:00"/>
    <s v="HIVICO.SACV@GMAIL.COM"/>
    <x v="3"/>
    <n v="1081.1736000000001"/>
    <n v="0"/>
    <n v="1163.79"/>
    <n v="0"/>
    <n v="1175.17"/>
    <s v="AD"/>
    <n v="1"/>
    <n v="1254"/>
    <n v="1081"/>
    <n v="0"/>
    <n v="1081"/>
  </r>
  <r>
    <x v="10"/>
    <s v="ULISES MANRIQUE ORTIZ"/>
    <n v="19"/>
    <n v="36"/>
    <d v="1899-12-31T23:59:00"/>
    <s v="HIVICO.SACV@GMAIL.COM"/>
    <x v="3"/>
    <n v="1081.1016"/>
    <n v="0"/>
    <n v="1163.79"/>
    <n v="0"/>
    <n v="1175.17"/>
    <s v="AD"/>
    <n v="1"/>
    <n v="1254"/>
    <n v="1081"/>
    <n v="0"/>
    <n v="1081"/>
  </r>
  <r>
    <x v="10"/>
    <s v="ULISES MANRIQUE ORTIZ"/>
    <n v="19"/>
    <n v="36"/>
    <d v="1899-12-31T23:59:00"/>
    <s v="HIVICO.SACV@GMAIL.COM"/>
    <x v="3"/>
    <n v="1081.1016"/>
    <n v="0"/>
    <n v="1163.79"/>
    <n v="0"/>
    <n v="1175.17"/>
    <s v="AD"/>
    <n v="1"/>
    <n v="1254"/>
    <n v="1081"/>
    <n v="0"/>
    <n v="1081"/>
  </r>
  <r>
    <x v="10"/>
    <s v="ULISES MANRIQUE ORTIZ"/>
    <n v="19"/>
    <n v="36"/>
    <d v="1899-12-31T23:59:00"/>
    <s v="HIVICO.SACV@GMAIL.COM"/>
    <x v="3"/>
    <n v="1081.1016"/>
    <n v="0"/>
    <n v="1163.79"/>
    <n v="0"/>
    <n v="1175.17"/>
    <s v="AD"/>
    <n v="1"/>
    <n v="1254"/>
    <n v="1081"/>
    <n v="0"/>
    <n v="1081"/>
  </r>
  <r>
    <x v="10"/>
    <s v="JULIE GASNIER"/>
    <n v="10"/>
    <n v="36"/>
    <d v="1899-12-31T02:00:00"/>
    <s v="JULIEGSNR@GMAIL.COM"/>
    <x v="0"/>
    <n v="1081.4283"/>
    <n v="2.5"/>
    <n v="1163.79"/>
    <n v="1.9580666999707901"/>
    <n v="1158.8800000000001"/>
    <s v="AD"/>
    <n v="1"/>
    <n v="1281"/>
    <n v="1108"/>
    <n v="0"/>
    <n v="1108"/>
  </r>
  <r>
    <x v="10"/>
    <s v="BERNABE RAMIREZ PALOMARES"/>
    <n v="18"/>
    <n v="36"/>
    <d v="1899-12-31T23:59:00"/>
    <s v="RAMIREZBERNA@AOL.COM"/>
    <x v="3"/>
    <n v="1081.0533"/>
    <n v="0"/>
    <n v="1163.79"/>
    <n v="0"/>
    <n v="1158.8800000000001"/>
    <s v="AD"/>
    <n v="1"/>
    <n v="1254"/>
    <n v="1081"/>
    <n v="0"/>
    <n v="1081"/>
  </r>
  <r>
    <x v="10"/>
    <s v="VLADIMIR JULIAN SALINAS"/>
    <n v="21"/>
    <n v="36"/>
    <d v="1899-12-31T23:59:00"/>
    <s v="RAMIREZBERNA@AOL.COM"/>
    <x v="3"/>
    <n v="1080.9994999999999"/>
    <n v="0"/>
    <n v="1163.79"/>
    <n v="0"/>
    <n v="1158.8800000000001"/>
    <s v="AD"/>
    <n v="1"/>
    <n v="1254"/>
    <n v="1081"/>
    <n v="0"/>
    <n v="1081"/>
  </r>
  <r>
    <x v="10"/>
    <s v="PONCIANO JUAN MANUEL RAMOS ARROYO"/>
    <n v="10"/>
    <n v="36"/>
    <d v="1899-12-31T23:59:00"/>
    <s v="AALDERETE@SANTORY.COM.MX"/>
    <x v="2"/>
    <n v="1081.1971000000001"/>
    <n v="7"/>
    <n v="1163.79"/>
    <n v="5.4825867599182097"/>
    <n v="1158.8800000000001"/>
    <s v="AD"/>
    <n v="1"/>
    <n v="1330"/>
    <n v="1157"/>
    <n v="0"/>
    <n v="1157"/>
  </r>
  <r>
    <x v="10"/>
    <s v="EDUARDO ANGELES"/>
    <n v="1"/>
    <n v="36"/>
    <d v="1899-12-31T23:30:00"/>
    <s v="EDGAR.CHAPA@CONSTRUIDEA.COM"/>
    <x v="3"/>
    <n v="1081.4251999999999"/>
    <n v="0"/>
    <n v="1163.79"/>
    <n v="0"/>
    <n v="1175.17"/>
    <s v="AD"/>
    <n v="1"/>
    <n v="1254"/>
    <n v="1081"/>
    <n v="0"/>
    <n v="1081"/>
  </r>
  <r>
    <x v="10"/>
    <s v="JUAN CARLOS MENDOZA RIVERA"/>
    <n v="4"/>
    <n v="36"/>
    <d v="1899-12-31T23:30:00"/>
    <s v="TICKETCENTER@ALTOUR.MX"/>
    <x v="3"/>
    <n v="1081.2379000000001"/>
    <n v="0"/>
    <n v="1163.79"/>
    <n v="0"/>
    <n v="1219.83"/>
    <s v="AD"/>
    <n v="1"/>
    <n v="1254"/>
    <n v="1081"/>
    <n v="0"/>
    <n v="1081"/>
  </r>
  <r>
    <x v="10"/>
    <s v="CAROLINA MARTINEZ LUNA"/>
    <n v="35"/>
    <n v="36"/>
    <d v="1899-12-31T06:00:00"/>
    <s v="carolina.martinez.luna@ejemplo.com"/>
    <x v="2"/>
    <n v="1080.1383000000001"/>
    <n v="7"/>
    <n v="1163.79"/>
    <n v="5.4825867599182097"/>
    <n v="1219.83"/>
    <s v="AD"/>
    <n v="1"/>
    <n v="1329"/>
    <n v="1156"/>
    <n v="0"/>
    <n v="1156"/>
  </r>
  <r>
    <x v="10"/>
    <s v="JANETH BARRAGÃN CUEVAS"/>
    <n v="17"/>
    <n v="36"/>
    <d v="1899-12-31T23:30:00"/>
    <s v="OMAR21.AR@GMAIL.COM"/>
    <x v="3"/>
    <n v="1081.1359"/>
    <n v="0"/>
    <n v="1163.79"/>
    <n v="0"/>
    <n v="1175.17"/>
    <s v="AD"/>
    <n v="1"/>
    <n v="1254"/>
    <n v="1081"/>
    <n v="0"/>
    <n v="1081"/>
  </r>
  <r>
    <x v="10"/>
    <s v="MANUEL SALVADOR ARCIGA ORTEGA"/>
    <n v="6"/>
    <n v="36"/>
    <d v="1899-12-31T11:00:00"/>
    <s v="KENYARCIGA@GMAIL.COM"/>
    <x v="0"/>
    <n v="1081.4897000000001"/>
    <n v="2.5"/>
    <n v="1163.79"/>
    <n v="1.9580666999707901"/>
    <n v="1116.3800000000001"/>
    <s v="AD"/>
    <n v="1"/>
    <n v="1282"/>
    <n v="1109"/>
    <n v="0"/>
    <n v="1109"/>
  </r>
  <r>
    <x v="10"/>
    <s v="MANUEL SALVADOR ARCIGA ORTEGA"/>
    <n v="6"/>
    <n v="36"/>
    <d v="1899-12-31T11:00:00"/>
    <s v="KENYARCIGA@GMAIL.COM"/>
    <x v="0"/>
    <n v="1081.4897000000001"/>
    <n v="2.5"/>
    <n v="1163.79"/>
    <n v="1.9580666999707901"/>
    <n v="1116.3800000000001"/>
    <s v="AD"/>
    <n v="1"/>
    <n v="1282"/>
    <n v="1109"/>
    <n v="0"/>
    <n v="1109"/>
  </r>
  <r>
    <x v="10"/>
    <s v="ROSA ELENA MEDINA CAMPOS"/>
    <n v="5"/>
    <n v="36"/>
    <d v="1899-12-31T11:00:00"/>
    <s v="KENYARCIGA@GMAIL.COM"/>
    <x v="0"/>
    <n v="1081.5077000000001"/>
    <n v="2.5"/>
    <n v="1163.79"/>
    <n v="1.9580666999707901"/>
    <n v="1158.8800000000001"/>
    <s v="AD"/>
    <n v="1"/>
    <n v="1282"/>
    <n v="1109"/>
    <n v="0"/>
    <n v="1109"/>
  </r>
  <r>
    <x v="10"/>
    <s v="ROSA ELENA MEDINA CAMPOS"/>
    <n v="5"/>
    <n v="36"/>
    <d v="1899-12-31T11:00:00"/>
    <s v="KENYARCIGA@GMAIL.COM"/>
    <x v="0"/>
    <n v="1081.5077000000001"/>
    <n v="2.5"/>
    <n v="1163.79"/>
    <n v="1.9580666999707901"/>
    <n v="1158.8800000000001"/>
    <s v="AD"/>
    <n v="1"/>
    <n v="1282"/>
    <n v="1109"/>
    <n v="0"/>
    <n v="1109"/>
  </r>
  <r>
    <x v="10"/>
    <s v="ANGEL TOMAS MARTINEZ"/>
    <n v="35"/>
    <n v="36"/>
    <d v="1899-12-31T23:30:00"/>
    <s v="ATMARTINEZ82@GMAIL.COM"/>
    <x v="3"/>
    <n v="1080.6797999999999"/>
    <n v="0"/>
    <n v="1163.79"/>
    <n v="0"/>
    <n v="1175.17"/>
    <s v="AD"/>
    <n v="1"/>
    <n v="1254"/>
    <n v="1081"/>
    <n v="0"/>
    <n v="1081"/>
  </r>
  <r>
    <x v="10"/>
    <s v="CRISTINA GARCÃA PÃ‰REZ"/>
    <n v="27"/>
    <n v="36"/>
    <d v="1899-12-31T11:00:00"/>
    <s v="KRISGPTRUPER@GMAIL.COM"/>
    <x v="0"/>
    <n v="1080.9844000000001"/>
    <n v="2.5"/>
    <n v="1163.79"/>
    <n v="1.9580666999707901"/>
    <n v="1158.8800000000001"/>
    <s v="AD"/>
    <n v="1"/>
    <n v="1281"/>
    <n v="1108"/>
    <n v="0"/>
    <n v="1108"/>
  </r>
  <r>
    <x v="10"/>
    <s v="JESÃšS ALBERTO RAYA GUEVARA"/>
    <n v="3"/>
    <n v="36"/>
    <d v="1899-12-31T02:00:00"/>
    <s v="JESUSRAYAG23@GMAIL.COM"/>
    <x v="0"/>
    <n v="1081.5527"/>
    <n v="2.5"/>
    <n v="1163.79"/>
    <n v="1.9580666999707901"/>
    <n v="1158.8800000000001"/>
    <s v="AD"/>
    <n v="1"/>
    <n v="1282"/>
    <n v="1109"/>
    <n v="0"/>
    <n v="1109"/>
  </r>
  <r>
    <x v="10"/>
    <s v="ARTURO GARCIA GUTIERREZ"/>
    <n v="10"/>
    <n v="36"/>
    <d v="1899-12-31T06:00:00"/>
    <s v="DDAQUINO@VIDIALSA.COM"/>
    <x v="2"/>
    <n v="1081.425"/>
    <n v="7"/>
    <n v="1163.79"/>
    <n v="5.4825867599182097"/>
    <n v="1158.8800000000001"/>
    <s v="AD"/>
    <n v="1"/>
    <n v="1330"/>
    <n v="1157"/>
    <n v="0"/>
    <n v="1157"/>
  </r>
  <r>
    <x v="10"/>
    <s v="ENEDINO MONTALVO VERA"/>
    <n v="16"/>
    <n v="36"/>
    <d v="1899-12-31T23:30:00"/>
    <s v="enedino.montalvo.vera@ejemplo.com"/>
    <x v="3"/>
    <n v="1081.1531"/>
    <n v="0"/>
    <n v="1163.79"/>
    <n v="0"/>
    <n v="1175.17"/>
    <s v="AD"/>
    <n v="1"/>
    <n v="1254"/>
    <n v="1081"/>
    <n v="0"/>
    <n v="1081"/>
  </r>
  <r>
    <x v="10"/>
    <s v="MA TERESA CESAR JIMENEZ"/>
    <n v="30"/>
    <n v="36"/>
    <d v="1899-12-31T11:00:00"/>
    <s v="MIRNAKLZAD@GMAIL.COM"/>
    <x v="0"/>
    <n v="1080.9295999999999"/>
    <n v="2.5"/>
    <n v="1163.79"/>
    <n v="1.9580666999707901"/>
    <n v="1158.8800000000001"/>
    <s v="AD"/>
    <n v="1"/>
    <n v="1281"/>
    <n v="1108"/>
    <n v="0"/>
    <n v="1108"/>
  </r>
  <r>
    <x v="10"/>
    <s v="AMAIA CALZADA CESAR"/>
    <n v="31"/>
    <n v="36"/>
    <d v="1899-12-31T11:00:00"/>
    <s v="MIRNAKLZAD@GMAIL.COM"/>
    <x v="0"/>
    <n v="1080.9119000000001"/>
    <n v="2.5"/>
    <n v="1163.79"/>
    <n v="1.9580666999707901"/>
    <n v="609.91"/>
    <s v="NI"/>
    <n v="1"/>
    <n v="1281"/>
    <n v="1108"/>
    <n v="0.5"/>
    <n v="554"/>
  </r>
  <r>
    <x v="10"/>
    <s v="GUILLERMO TELLO CANTÃš"/>
    <n v="16"/>
    <n v="36"/>
    <d v="1899-12-31T23:59:00"/>
    <s v="G.TELLOCANTU@GMAIL.COM"/>
    <x v="0"/>
    <n v="1081.0820000000001"/>
    <n v="2.5"/>
    <n v="1163.79"/>
    <n v="1.9580666999707901"/>
    <n v="609.91"/>
    <s v="IN"/>
    <n v="1"/>
    <n v="1281"/>
    <n v="1108"/>
    <n v="0.5"/>
    <n v="554"/>
  </r>
  <r>
    <x v="10"/>
    <s v="MARTHA ZUÃ‘IGA"/>
    <n v="8"/>
    <n v="36"/>
    <d v="1899-12-31T23:59:00"/>
    <s v="martha.zuÃ±iga@ejemplo.com"/>
    <x v="1"/>
    <n v="1081.2844"/>
    <n v="10"/>
    <n v="1163.79"/>
    <n v="7.8322667998831603"/>
    <n v="618.53"/>
    <s v="NI"/>
    <n v="1"/>
    <n v="1362"/>
    <n v="1189"/>
    <n v="0.5"/>
    <n v="594.5"/>
  </r>
  <r>
    <x v="10"/>
    <s v="RICARDO CERVANTES"/>
    <n v="9"/>
    <n v="36"/>
    <d v="1899-12-31T23:59:00"/>
    <s v="ricardo.cervantes@ejemplo.com"/>
    <x v="5"/>
    <n v="1081.2665999999999"/>
    <n v="8.5"/>
    <n v="1163.79"/>
    <n v="6.6574267799006801"/>
    <n v="1237.07"/>
    <s v="AD"/>
    <n v="1"/>
    <n v="1346"/>
    <n v="1173"/>
    <n v="0"/>
    <n v="1173"/>
  </r>
  <r>
    <x v="10"/>
    <s v="SERGIO RODRIGUEZ ABAD"/>
    <n v="18"/>
    <n v="36"/>
    <d v="1899-12-31T23:30:00"/>
    <s v="SRDZABAD@HOTMAIL.COM"/>
    <x v="3"/>
    <n v="1081.1166000000001"/>
    <n v="0"/>
    <n v="1163.79"/>
    <n v="0"/>
    <n v="1175.17"/>
    <s v="AD"/>
    <n v="1"/>
    <n v="1254"/>
    <n v="1081"/>
    <n v="0"/>
    <n v="1081"/>
  </r>
  <r>
    <x v="10"/>
    <s v="MELVA AGUILAR OLIVA"/>
    <n v="17"/>
    <n v="36"/>
    <d v="1899-12-31T23:10:00"/>
    <s v="AMJOSE68@GMAIL.COM"/>
    <x v="5"/>
    <n v="1081.0634"/>
    <n v="8.5"/>
    <n v="1163.79"/>
    <n v="6.6574267799006801"/>
    <n v="1097.8399999999999"/>
    <s v="AD"/>
    <n v="1"/>
    <n v="1346"/>
    <n v="1173"/>
    <n v="0"/>
    <n v="1173"/>
  </r>
  <r>
    <x v="10"/>
    <s v="SAMUEL FLORES GONZALEZ"/>
    <n v="2"/>
    <n v="36"/>
    <d v="1899-12-31T02:00:00"/>
    <s v="samuel.flores.gonzalez@ejemplo.com"/>
    <x v="2"/>
    <n v="1080.855"/>
    <n v="7"/>
    <n v="1163.79"/>
    <n v="5.4825867599182097"/>
    <n v="1219.83"/>
    <s v="AD"/>
    <n v="1"/>
    <n v="1329"/>
    <n v="1157"/>
    <n v="0"/>
    <n v="1157"/>
  </r>
  <r>
    <x v="10"/>
    <s v="MARIANA JIMENEZ MOLINA"/>
    <n v="3"/>
    <n v="36"/>
    <d v="1899-12-31T02:00:00"/>
    <s v="mariana.jimenez.molina@ejemplo.com"/>
    <x v="2"/>
    <n v="1080.837"/>
    <n v="7"/>
    <n v="1163.79"/>
    <n v="5.4825867599182097"/>
    <n v="1219.83"/>
    <s v="AD"/>
    <n v="1"/>
    <n v="1329"/>
    <n v="1156"/>
    <n v="0"/>
    <n v="1156"/>
  </r>
  <r>
    <x v="10"/>
    <s v="JESUS AVILAS DIAZ"/>
    <n v="22"/>
    <n v="36"/>
    <d v="1899-12-31T23:30:00"/>
    <s v="jesus.avilas.diaz@ejemplo.com"/>
    <x v="5"/>
    <n v="1080.9132999999999"/>
    <n v="8.5"/>
    <n v="1163.79"/>
    <n v="6.6574267799006801"/>
    <n v="1237.07"/>
    <s v="AD"/>
    <n v="1"/>
    <n v="1346"/>
    <n v="1173"/>
    <n v="0"/>
    <n v="1173"/>
  </r>
  <r>
    <x v="10"/>
    <s v="JOSE LUIS VILLEGAS"/>
    <n v="23"/>
    <n v="36"/>
    <d v="1899-12-31T23:30:00"/>
    <s v="jose.luis.villegas@ejemplo.com"/>
    <x v="5"/>
    <n v="1080.8952999999999"/>
    <n v="8.5"/>
    <n v="1163.79"/>
    <n v="6.6574267799006801"/>
    <n v="1237.07"/>
    <s v="AD"/>
    <n v="1"/>
    <n v="1346"/>
    <n v="1173"/>
    <n v="0"/>
    <n v="1173"/>
  </r>
  <r>
    <x v="10"/>
    <s v="VERÃ“NICA AYALA DURÃN"/>
    <n v="30"/>
    <n v="36"/>
    <d v="1899-12-31T23:59:00"/>
    <s v="NEGRINHO69@HOTMAIL.COM"/>
    <x v="4"/>
    <n v="1080.6921"/>
    <n v="5"/>
    <n v="1163.79"/>
    <n v="3.9161333999415802"/>
    <n v="609.91"/>
    <s v="IN"/>
    <n v="1"/>
    <n v="1308"/>
    <n v="1135"/>
    <n v="0.5"/>
    <n v="567.5"/>
  </r>
  <r>
    <x v="10"/>
    <s v="BRANDHON SANCHEZ SANDOVAL"/>
    <n v="17"/>
    <n v="36"/>
    <d v="1899-12-31T23:59:00"/>
    <s v="SBRANDHON@GMAIL.COM"/>
    <x v="3"/>
    <n v="1081.0681999999999"/>
    <n v="0"/>
    <n v="1163.79"/>
    <n v="0"/>
    <n v="1158.8800000000001"/>
    <s v="AD"/>
    <n v="1"/>
    <n v="1254"/>
    <n v="1081"/>
    <n v="0"/>
    <n v="1081"/>
  </r>
  <r>
    <x v="10"/>
    <s v="AARON ALFARO MUÃ‘OZ"/>
    <n v="31"/>
    <n v="36"/>
    <d v="1899-12-31T02:00:00"/>
    <s v="GECKO_JAAM@HOTMAIL.COM"/>
    <x v="0"/>
    <n v="1080.9154000000001"/>
    <n v="2.5"/>
    <n v="1163.79"/>
    <n v="1.9580666999707901"/>
    <n v="1158.8800000000001"/>
    <s v="AD"/>
    <n v="1"/>
    <n v="1281"/>
    <n v="1108"/>
    <n v="0"/>
    <n v="1108"/>
  </r>
  <r>
    <x v="10"/>
    <s v="GUSTAVO ORTEGA VILLEDA"/>
    <n v="24"/>
    <n v="36"/>
    <d v="1899-12-31T23:59:00"/>
    <s v="SERVICIOSMETALURGICOS2@GMAIL.COM"/>
    <x v="2"/>
    <n v="1080.809"/>
    <n v="7"/>
    <n v="1163.79"/>
    <n v="5.4825867599182097"/>
    <n v="1158.8800000000001"/>
    <s v="AD"/>
    <n v="1"/>
    <n v="1329"/>
    <n v="1156"/>
    <n v="0"/>
    <n v="1156"/>
  </r>
  <r>
    <x v="10"/>
    <s v="GUSTAVO ORTEGA VILLEDA"/>
    <n v="24"/>
    <n v="36"/>
    <d v="1899-12-31T23:59:00"/>
    <s v="SERVICIOSMETALURGICOS2@GMAIL.COM"/>
    <x v="2"/>
    <n v="1080.809"/>
    <n v="7"/>
    <n v="1163.79"/>
    <n v="5.4825867599182097"/>
    <n v="1158.8800000000001"/>
    <s v="AD"/>
    <n v="1"/>
    <n v="1329"/>
    <n v="1156"/>
    <n v="0"/>
    <n v="1156"/>
  </r>
  <r>
    <x v="10"/>
    <s v="LUIS FERNANDO BELTRAN BALDERAS"/>
    <n v="27"/>
    <n v="36"/>
    <d v="1899-12-31T23:59:00"/>
    <s v="SERVICIOSMETALURGICOS2@GMAIL.COM"/>
    <x v="2"/>
    <n v="1080.7551000000001"/>
    <n v="7"/>
    <n v="1163.79"/>
    <n v="5.4825867599182097"/>
    <n v="1158.8800000000001"/>
    <s v="AD"/>
    <n v="1"/>
    <n v="1329"/>
    <n v="1156"/>
    <n v="0"/>
    <n v="1156"/>
  </r>
  <r>
    <x v="10"/>
    <s v="LUIS FERNANDO BELTRAN BALDERAS"/>
    <n v="27"/>
    <n v="36"/>
    <d v="1899-12-31T23:59:00"/>
    <s v="SERVICIOSMETALURGICOS2@GMAIL.COM"/>
    <x v="2"/>
    <n v="1080.7551000000001"/>
    <n v="7"/>
    <n v="1163.79"/>
    <n v="5.4825867599182097"/>
    <n v="1158.8800000000001"/>
    <s v="AD"/>
    <n v="1"/>
    <n v="1329"/>
    <n v="1156"/>
    <n v="0"/>
    <n v="1156"/>
  </r>
  <r>
    <x v="10"/>
    <s v="CARLOS CASTILLO GONZÃLEZ"/>
    <n v="10"/>
    <n v="36"/>
    <d v="1899-12-31T23:30:00"/>
    <s v="CASTILLO75GON@GMAIL.COM"/>
    <x v="3"/>
    <n v="1081.2592999999999"/>
    <n v="0"/>
    <n v="1163.79"/>
    <n v="0"/>
    <n v="1175.17"/>
    <s v="AD"/>
    <n v="1"/>
    <n v="1254"/>
    <n v="1081"/>
    <n v="0"/>
    <n v="1081"/>
  </r>
  <r>
    <x v="10"/>
    <s v="AXEL JESÃšS RODRIGUEZ CAMACHO"/>
    <n v="5"/>
    <n v="36"/>
    <d v="1899-12-31T23:59:00"/>
    <s v="GCG21012005@GMAIL.COM"/>
    <x v="3"/>
    <n v="1081.3494000000001"/>
    <n v="0"/>
    <n v="1163.79"/>
    <n v="0"/>
    <n v="1175.17"/>
    <s v="AD"/>
    <n v="1"/>
    <n v="1254"/>
    <n v="1081"/>
    <n v="0"/>
    <n v="1081"/>
  </r>
  <r>
    <x v="10"/>
    <s v="MAURICIO CAMACHO GONZALEZ"/>
    <n v="2"/>
    <n v="36"/>
    <d v="1899-12-31T23:59:00"/>
    <s v="GCG21012005@GMAIL.COM"/>
    <x v="3"/>
    <n v="1081.4032"/>
    <n v="0"/>
    <n v="1163.79"/>
    <n v="0"/>
    <n v="1175.17"/>
    <s v="AD"/>
    <n v="1"/>
    <n v="1254"/>
    <n v="1081"/>
    <n v="0"/>
    <n v="1081"/>
  </r>
  <r>
    <x v="10"/>
    <s v="BETZY SUGHEY NANTOS"/>
    <n v="9"/>
    <n v="36"/>
    <d v="1899-12-31T11:00:00"/>
    <s v="PEREZCHAVEZYESICA@GMAIL.COM"/>
    <x v="0"/>
    <n v="1081.4286"/>
    <n v="2.5"/>
    <n v="1163.79"/>
    <n v="1.9580666999707901"/>
    <n v="1158.8800000000001"/>
    <s v="AD"/>
    <n v="1"/>
    <n v="1281"/>
    <n v="1108"/>
    <n v="0"/>
    <n v="1108"/>
  </r>
  <r>
    <x v="10"/>
    <s v="BETZY SUGHEY NANTOS"/>
    <n v="9"/>
    <n v="36"/>
    <d v="1899-12-31T11:00:00"/>
    <s v="PEREZCHAVEZYESICA@GMAIL.COM"/>
    <x v="0"/>
    <n v="1081.4286"/>
    <n v="2.5"/>
    <n v="1163.79"/>
    <n v="1.9580666999707901"/>
    <n v="1158.8800000000001"/>
    <s v="AD"/>
    <n v="1"/>
    <n v="1281"/>
    <n v="1108"/>
    <n v="0"/>
    <n v="1108"/>
  </r>
  <r>
    <x v="10"/>
    <s v="MAGDALENA CHAVEZ"/>
    <n v="8"/>
    <n v="36"/>
    <d v="1899-12-31T11:00:00"/>
    <s v="PEREZCHAVEZYESICA@GMAIL.COM"/>
    <x v="0"/>
    <n v="1081.4467"/>
    <n v="2.5"/>
    <n v="1163.79"/>
    <n v="1.9580666999707901"/>
    <n v="1158.8800000000001"/>
    <s v="AD"/>
    <n v="1"/>
    <n v="1282"/>
    <n v="1108"/>
    <n v="0"/>
    <n v="1108"/>
  </r>
  <r>
    <x v="10"/>
    <s v="MAGDALENA CHAVEZ"/>
    <n v="8"/>
    <n v="36"/>
    <d v="1899-12-31T11:00:00"/>
    <s v="PEREZCHAVEZYESICA@GMAIL.COM"/>
    <x v="0"/>
    <n v="1081.4467"/>
    <n v="2.5"/>
    <n v="1163.79"/>
    <n v="1.9580666999707901"/>
    <n v="1158.8800000000001"/>
    <s v="AD"/>
    <n v="1"/>
    <n v="1282"/>
    <n v="1108"/>
    <n v="0"/>
    <n v="1108"/>
  </r>
  <r>
    <x v="10"/>
    <s v="EFREN NUÃ‘EZ"/>
    <n v="12"/>
    <n v="36"/>
    <d v="1899-12-31T23:30:00"/>
    <s v="efren.nuÃ±ez@ejemplo.com"/>
    <x v="5"/>
    <n v="1081.2112999999999"/>
    <n v="8.5"/>
    <n v="1163.79"/>
    <n v="6.6574267799006801"/>
    <n v="1237.07"/>
    <s v="AD"/>
    <n v="1"/>
    <n v="1346"/>
    <n v="1173"/>
    <n v="0"/>
    <n v="1173"/>
  </r>
  <r>
    <x v="10"/>
    <s v="GILDARDO LOPEZ PEREZ"/>
    <n v="36"/>
    <n v="36"/>
    <d v="1899-12-31T23:30:00"/>
    <s v="gildardo.lopez.perez@ejemplo.com"/>
    <x v="3"/>
    <n v="1080.6609000000001"/>
    <n v="0"/>
    <n v="1163.79"/>
    <n v="0"/>
    <n v="989.65"/>
    <s v="PE"/>
    <n v="1"/>
    <n v="1254"/>
    <n v="1081"/>
    <n v="0"/>
    <n v="1081"/>
  </r>
  <r>
    <x v="10"/>
    <s v="JUDITH CAMBEROS PEREZ"/>
    <n v="6"/>
    <n v="36"/>
    <d v="1899-12-31T23:30:00"/>
    <s v="judith.camberos.perez@ejemplo.com"/>
    <x v="5"/>
    <n v="1081.3190999999999"/>
    <n v="8.5"/>
    <n v="1163.79"/>
    <n v="6.6574267799006801"/>
    <n v="1237.07"/>
    <s v="AD"/>
    <n v="1"/>
    <n v="1346"/>
    <n v="1173"/>
    <n v="0"/>
    <n v="1173"/>
  </r>
  <r>
    <x v="10"/>
    <s v="CARLOS ALBERTO HERNANDEZ GAMBOA"/>
    <n v="35"/>
    <n v="36"/>
    <d v="1899-12-31T06:00:00"/>
    <s v="180270CARLOSA@GMAIL.COM"/>
    <x v="0"/>
    <n v="1080.8779999999999"/>
    <n v="2.5"/>
    <n v="1163.79"/>
    <n v="1.9580666999707901"/>
    <n v="1158.8800000000001"/>
    <s v="AD"/>
    <n v="1"/>
    <n v="1281"/>
    <n v="1108"/>
    <n v="0"/>
    <n v="1108"/>
  </r>
  <r>
    <x v="10"/>
    <s v="ENRIQUE VICENCIO"/>
    <n v="29"/>
    <n v="36"/>
    <d v="1899-12-31T23:30:00"/>
    <s v="enrique.vicencio@ejemplo.com"/>
    <x v="3"/>
    <n v="1080.7869000000001"/>
    <n v="0"/>
    <n v="1163.79"/>
    <n v="0"/>
    <n v="989.65"/>
    <s v="PE"/>
    <n v="1"/>
    <n v="1254"/>
    <n v="1081"/>
    <n v="0"/>
    <n v="1081"/>
  </r>
  <r>
    <x v="10"/>
    <s v="EULOGIO LARA LARA"/>
    <n v="14"/>
    <n v="36"/>
    <d v="1899-12-31T23:30:00"/>
    <s v="eulogio.lara.lara@ejemplo.com"/>
    <x v="3"/>
    <n v="1081.1749"/>
    <n v="0"/>
    <n v="1163.79"/>
    <n v="0"/>
    <n v="989.65"/>
    <s v="PE"/>
    <n v="1"/>
    <n v="1254"/>
    <n v="1081"/>
    <n v="0"/>
    <n v="1081"/>
  </r>
  <r>
    <x v="10"/>
    <s v="TANIA CABRERA"/>
    <n v="4"/>
    <n v="36"/>
    <d v="1899-12-31T23:59:00"/>
    <s v="TANIAYACUTA@HOTMAIL.COM"/>
    <x v="0"/>
    <n v="1081.1638"/>
    <n v="2.5"/>
    <n v="1163.79"/>
    <n v="1.9580666999707901"/>
    <n v="1116.3800000000001"/>
    <s v="AD"/>
    <n v="1"/>
    <n v="1281"/>
    <n v="1108"/>
    <n v="0"/>
    <n v="1108"/>
  </r>
  <r>
    <x v="10"/>
    <s v="BRANDO HERMILO DIAZ AMARO"/>
    <n v="36"/>
    <n v="36"/>
    <d v="1899-12-31T11:00:00"/>
    <s v="BRANDO.HERMILIO@DOMINION.MX"/>
    <x v="0"/>
    <n v="1080.8202000000001"/>
    <n v="2.5"/>
    <n v="1163.79"/>
    <n v="1.9580666999707901"/>
    <n v="1158.8800000000001"/>
    <s v="AD"/>
    <n v="1"/>
    <n v="1281"/>
    <n v="1108"/>
    <n v="0"/>
    <n v="1108"/>
  </r>
  <r>
    <x v="10"/>
    <s v="JAIME NOVA"/>
    <n v="11"/>
    <n v="36"/>
    <d v="1899-12-31T23:30:00"/>
    <s v="jaime.nova@ejemplo.com"/>
    <x v="5"/>
    <n v="1081.229"/>
    <n v="8.5"/>
    <n v="1163.79"/>
    <n v="6.6574267799006801"/>
    <n v="1237.07"/>
    <s v="AD"/>
    <n v="1"/>
    <n v="1346"/>
    <n v="1173"/>
    <n v="0"/>
    <n v="1173"/>
  </r>
  <r>
    <x v="10"/>
    <s v="MANUEL YBARRA AÃ‘ORVE"/>
    <n v="19"/>
    <n v="35"/>
    <d v="1899-12-31T06:00:00"/>
    <s v="MANOLOGP16@GMAIL.COM"/>
    <x v="2"/>
    <n v="1081.2560000000001"/>
    <n v="7"/>
    <n v="1163.79"/>
    <n v="5.4825867599182097"/>
    <n v="1158.8800000000001"/>
    <s v="AD"/>
    <n v="1"/>
    <n v="1330"/>
    <n v="1157"/>
    <n v="0"/>
    <n v="1157"/>
  </r>
  <r>
    <x v="10"/>
    <s v="MANUEL YBARRA AÃ‘ORVE"/>
    <n v="19"/>
    <n v="35"/>
    <d v="1899-12-31T06:00:00"/>
    <s v="MANOLOGP16@GMAIL.COM"/>
    <x v="2"/>
    <n v="1081.2560000000001"/>
    <n v="7"/>
    <n v="1163.79"/>
    <n v="5.4825867599182097"/>
    <n v="1158.8800000000001"/>
    <s v="AD"/>
    <n v="1"/>
    <n v="1330"/>
    <n v="1157"/>
    <n v="0"/>
    <n v="1157"/>
  </r>
  <r>
    <x v="10"/>
    <s v="MARICARMEN DEL CARMEN BAÃ‘OS"/>
    <n v="20"/>
    <n v="35"/>
    <d v="1899-12-31T06:00:00"/>
    <s v="MANOLOGP16@GMAIL.COM"/>
    <x v="2"/>
    <n v="1081.2380000000001"/>
    <n v="7"/>
    <n v="1163.79"/>
    <n v="5.4825867599182097"/>
    <n v="1158.8800000000001"/>
    <s v="AD"/>
    <n v="1"/>
    <n v="1330"/>
    <n v="1157"/>
    <n v="0"/>
    <n v="1157"/>
  </r>
  <r>
    <x v="10"/>
    <s v="MARICARMEN DEL CARMEN BAÃ‘OS"/>
    <n v="20"/>
    <n v="35"/>
    <d v="1899-12-31T06:00:00"/>
    <s v="MANOLOGP16@GMAIL.COM"/>
    <x v="2"/>
    <n v="1081.2380000000001"/>
    <n v="7"/>
    <n v="1163.79"/>
    <n v="5.4825867599182097"/>
    <n v="1158.8800000000001"/>
    <s v="AD"/>
    <n v="1"/>
    <n v="1330"/>
    <n v="1157"/>
    <n v="0"/>
    <n v="1157"/>
  </r>
  <r>
    <x v="10"/>
    <s v="JONATHAN ALEXIS HERNANDEZ INFANTE"/>
    <n v="5"/>
    <n v="36"/>
    <d v="1899-12-31T23:30:00"/>
    <s v="TICKETCENTER@ALTOUR.MX"/>
    <x v="3"/>
    <n v="1081.3363999999999"/>
    <n v="0"/>
    <n v="1163.79"/>
    <n v="0"/>
    <n v="1219.83"/>
    <s v="AD"/>
    <n v="1"/>
    <n v="1254"/>
    <n v="1081"/>
    <n v="0"/>
    <n v="1081"/>
  </r>
  <r>
    <x v="10"/>
    <s v="GABRIELA GALVAN"/>
    <n v="11"/>
    <n v="36"/>
    <d v="1899-12-31T23:59:00"/>
    <s v="gabriela.galvan@ejemplo.com"/>
    <x v="5"/>
    <n v="1081.2288000000001"/>
    <n v="8.5"/>
    <n v="1163.79"/>
    <n v="6.6574267799006801"/>
    <n v="1237.07"/>
    <s v="AD"/>
    <n v="1"/>
    <n v="1346"/>
    <n v="1173"/>
    <n v="0"/>
    <n v="1173"/>
  </r>
  <r>
    <x v="10"/>
    <s v="FRANCISCO CERON"/>
    <n v="25"/>
    <n v="36"/>
    <d v="1899-12-31T23:59:00"/>
    <s v="francisco.ceron@ejemplo.com"/>
    <x v="3"/>
    <n v="1080.8583000000001"/>
    <n v="0"/>
    <n v="1163.79"/>
    <n v="0"/>
    <n v="989.66"/>
    <s v="PE"/>
    <n v="1"/>
    <n v="1254"/>
    <n v="1081"/>
    <n v="0"/>
    <n v="1081"/>
  </r>
  <r>
    <x v="10"/>
    <s v="MATIAS URIEL CERON"/>
    <n v="26"/>
    <n v="36"/>
    <d v="1899-12-31T23:59:00"/>
    <s v="matias.uriel.ceron@ejemplo.com"/>
    <x v="3"/>
    <n v="1080.8405"/>
    <n v="0"/>
    <n v="1163.79"/>
    <n v="0"/>
    <n v="989.66"/>
    <s v="PE"/>
    <n v="1"/>
    <n v="1254"/>
    <n v="1081"/>
    <n v="0"/>
    <n v="1081"/>
  </r>
  <r>
    <x v="10"/>
    <s v="JORGE GOMEZ"/>
    <n v="29"/>
    <n v="36"/>
    <d v="1899-12-31T23:59:00"/>
    <s v="DANIELGAONAG32@GMAIL.COM"/>
    <x v="5"/>
    <n v="1078.7405000000001"/>
    <n v="8.5"/>
    <n v="1163.79"/>
    <n v="6.6574267799006801"/>
    <n v="1219.83"/>
    <s v="AD"/>
    <n v="1"/>
    <n v="1343"/>
    <n v="1170"/>
    <n v="0"/>
    <n v="1170"/>
  </r>
  <r>
    <x v="10"/>
    <s v="JAVIER GUERRERO"/>
    <n v="28"/>
    <n v="36"/>
    <d v="1899-12-31T23:59:00"/>
    <s v="javier.guerrero@ejemplo.com"/>
    <x v="5"/>
    <n v="1080.8043"/>
    <n v="8.5"/>
    <n v="1163.79"/>
    <n v="6.6574267799006801"/>
    <n v="1237.07"/>
    <s v="AD"/>
    <n v="1"/>
    <n v="1346"/>
    <n v="1173"/>
    <n v="0"/>
    <n v="1173"/>
  </r>
  <r>
    <x v="10"/>
    <s v="SALVADOR   MARCOS  MAGDALENO"/>
    <n v="36"/>
    <n v="36"/>
    <d v="1899-12-31T02:00:00"/>
    <s v="salvador...marcos..magdaleno@ejemplo.com"/>
    <x v="2"/>
    <n v="1080.8112000000001"/>
    <n v="7"/>
    <n v="1163.79"/>
    <n v="5.4825867599182097"/>
    <n v="1219.83"/>
    <s v="AD"/>
    <n v="1"/>
    <n v="1329"/>
    <n v="1156"/>
    <n v="0"/>
    <n v="1156"/>
  </r>
  <r>
    <x v="10"/>
    <s v="HECTOR ORTEGA"/>
    <n v="11"/>
    <n v="36"/>
    <d v="1899-12-31T02:00:00"/>
    <s v="hector.ortega@ejemplo.com"/>
    <x v="1"/>
    <n v="1081.3933"/>
    <n v="10"/>
    <n v="1163.79"/>
    <n v="7.8322667998831603"/>
    <n v="609.91"/>
    <s v="NI"/>
    <n v="1"/>
    <n v="1363"/>
    <n v="1190"/>
    <n v="0.5"/>
    <n v="595"/>
  </r>
  <r>
    <x v="10"/>
    <s v="JAZMIN TAFOLLA"/>
    <n v="12"/>
    <n v="36"/>
    <d v="1899-12-31T02:00:00"/>
    <s v="jazmin.tafolla@ejemplo.com"/>
    <x v="1"/>
    <n v="1081.3753999999999"/>
    <n v="10"/>
    <n v="1163.79"/>
    <n v="7.8322667998831603"/>
    <n v="609.91"/>
    <s v="NI"/>
    <n v="1"/>
    <n v="1363"/>
    <n v="1190"/>
    <n v="0.5"/>
    <n v="595"/>
  </r>
  <r>
    <x v="11"/>
    <s v="SEBASTIAN RAMIREZ"/>
    <n v="32"/>
    <n v="36"/>
    <d v="1899-12-31T02:00:00"/>
    <s v="sebastian.ramirez@ejemplo.com"/>
    <x v="2"/>
    <n v="1080.8823"/>
    <n v="7"/>
    <n v="1163.79"/>
    <n v="5.4825867599182097"/>
    <n v="1219.83"/>
    <s v="AD"/>
    <n v="1"/>
    <n v="1329"/>
    <n v="1157"/>
    <n v="0"/>
    <n v="1157"/>
  </r>
  <r>
    <x v="11"/>
    <s v="SERGIO PACHECO"/>
    <n v="18"/>
    <n v="36"/>
    <d v="1899-12-31T02:00:00"/>
    <s v="sergio.pacheco@ejemplo.com"/>
    <x v="2"/>
    <n v="1081.2665999999999"/>
    <n v="7"/>
    <n v="1163.79"/>
    <n v="5.4825867599182097"/>
    <n v="1219.83"/>
    <s v="AD"/>
    <n v="1"/>
    <n v="1330"/>
    <n v="1157"/>
    <n v="0"/>
    <n v="1157"/>
  </r>
  <r>
    <x v="11"/>
    <s v="ALFREDO OSORIO"/>
    <n v="21"/>
    <n v="36"/>
    <d v="1899-12-31T02:00:00"/>
    <s v="alfredo.osorio@ejemplo.com"/>
    <x v="2"/>
    <n v="1081.2129"/>
    <n v="7"/>
    <n v="1163.79"/>
    <n v="5.4825867599182097"/>
    <n v="1219.83"/>
    <s v="AD"/>
    <n v="1"/>
    <n v="1330"/>
    <n v="1157"/>
    <n v="0"/>
    <n v="1157"/>
  </r>
  <r>
    <x v="11"/>
    <s v="CARLA ANGELICA MENDEZ ZAVALA"/>
    <n v="19"/>
    <n v="36"/>
    <d v="1899-12-31T02:00:00"/>
    <s v="CARLA.MENDEZ@KURTZERSA.COM"/>
    <x v="2"/>
    <n v="1081.2487000000001"/>
    <n v="7"/>
    <n v="1163.79"/>
    <n v="5.4825867599182097"/>
    <n v="1219.83"/>
    <s v="AD"/>
    <n v="1"/>
    <n v="1330"/>
    <n v="1157"/>
    <n v="0"/>
    <n v="1157"/>
  </r>
  <r>
    <x v="11"/>
    <s v="MUKUNDA RODRIGUEZ"/>
    <n v="20"/>
    <n v="36"/>
    <d v="1899-12-31T02:00:00"/>
    <s v="CARLA.MENDEZ@KURTZERSA.COM"/>
    <x v="2"/>
    <n v="1081.2308"/>
    <n v="7"/>
    <n v="1163.79"/>
    <n v="5.4825867599182097"/>
    <n v="1219.83"/>
    <s v="AD"/>
    <n v="1"/>
    <n v="1330"/>
    <n v="1157"/>
    <n v="0"/>
    <n v="1157"/>
  </r>
  <r>
    <x v="11"/>
    <s v="ZIYUAN HUANG"/>
    <n v="13"/>
    <n v="36"/>
    <d v="1899-12-31T02:00:00"/>
    <s v="ziyuan.huang@ejemplo.com"/>
    <x v="2"/>
    <n v="1081.3566000000001"/>
    <n v="7"/>
    <n v="1163.79"/>
    <n v="5.4825867599182097"/>
    <n v="1219.83"/>
    <s v="AD"/>
    <n v="1"/>
    <n v="1330"/>
    <n v="1157"/>
    <n v="0"/>
    <n v="1157"/>
  </r>
  <r>
    <x v="11"/>
    <s v="ANGELICA LOPEZ"/>
    <n v="7"/>
    <n v="36"/>
    <d v="1899-12-31T02:00:00"/>
    <s v="angelica.lopez@ejemplo.com"/>
    <x v="2"/>
    <n v="1081.4641999999999"/>
    <n v="7"/>
    <n v="1163.79"/>
    <n v="5.4825867599182097"/>
    <n v="1219.83"/>
    <s v="AD"/>
    <n v="1"/>
    <n v="1330"/>
    <n v="1157"/>
    <n v="0"/>
    <n v="1157"/>
  </r>
  <r>
    <x v="11"/>
    <s v="ALDO PAUL   LOPEZ LOPEZ"/>
    <n v="8"/>
    <n v="36"/>
    <d v="1899-12-31T02:00:00"/>
    <s v="aldo.paul...lopez.lopez@ejemplo.com"/>
    <x v="1"/>
    <n v="1081.4464"/>
    <n v="10"/>
    <n v="1163.79"/>
    <n v="7.8322667998831603"/>
    <n v="609.91"/>
    <s v="NI"/>
    <n v="1"/>
    <n v="1363"/>
    <n v="1190"/>
    <n v="0.5"/>
    <n v="595"/>
  </r>
  <r>
    <x v="11"/>
    <s v="ADRIAN LOPEZ"/>
    <n v="9"/>
    <n v="36"/>
    <d v="1899-12-31T02:00:00"/>
    <s v="adrian.lopez@ejemplo.com"/>
    <x v="2"/>
    <n v="1081.4285"/>
    <n v="7"/>
    <n v="1163.79"/>
    <n v="5.4825867599182097"/>
    <n v="1219.83"/>
    <s v="AD"/>
    <n v="1"/>
    <n v="1330"/>
    <n v="1157"/>
    <n v="0"/>
    <n v="1157"/>
  </r>
  <r>
    <x v="11"/>
    <s v="GRACE ART"/>
    <n v="2"/>
    <n v="36"/>
    <d v="1899-12-31T06:00:00"/>
    <s v="GRACE.ART@STUDIUM.UNI-HAMBURG.DE"/>
    <x v="0"/>
    <n v="1081.5524"/>
    <n v="2.5"/>
    <n v="1163.79"/>
    <n v="1.9580666999707901"/>
    <n v="1175.17"/>
    <s v="AD"/>
    <n v="1"/>
    <n v="1282"/>
    <n v="1109"/>
    <n v="0"/>
    <n v="1109"/>
  </r>
  <r>
    <x v="11"/>
    <s v="JORDIS HANSEN"/>
    <n v="3"/>
    <n v="36"/>
    <d v="1899-12-31T06:00:00"/>
    <s v="GRACE.ART@STUDIUM.UNI-HAMBURG.DE"/>
    <x v="0"/>
    <n v="1081.5344"/>
    <n v="2.5"/>
    <n v="1163.79"/>
    <n v="1.9580666999707901"/>
    <n v="1175.17"/>
    <s v="AD"/>
    <n v="1"/>
    <n v="1282"/>
    <n v="1109"/>
    <n v="0"/>
    <n v="1109"/>
  </r>
  <r>
    <x v="11"/>
    <s v="JOSUE HERNANDEZ"/>
    <n v="2"/>
    <n v="36"/>
    <d v="1899-12-31T02:00:00"/>
    <s v="josue.hernandez@ejemplo.com"/>
    <x v="5"/>
    <n v="1081.5543"/>
    <n v="8.5"/>
    <n v="1163.79"/>
    <n v="6.6574267799006801"/>
    <n v="1219.83"/>
    <s v="AD"/>
    <n v="1"/>
    <n v="1347"/>
    <n v="1173"/>
    <n v="0"/>
    <n v="1173"/>
  </r>
  <r>
    <x v="11"/>
    <s v="GRACE ART"/>
    <n v="5"/>
    <n v="36"/>
    <d v="1899-12-31T02:00:00"/>
    <s v="GRACE.ART@STUDIUM.UNI-HAMBURG.DE"/>
    <x v="0"/>
    <n v="1081.5005000000001"/>
    <n v="2.5"/>
    <n v="1163.79"/>
    <n v="1.9580666999707901"/>
    <n v="1175.17"/>
    <s v="AD"/>
    <n v="1"/>
    <n v="1282"/>
    <n v="1109"/>
    <n v="0"/>
    <n v="1109"/>
  </r>
  <r>
    <x v="11"/>
    <s v="GRACE ART"/>
    <n v="5"/>
    <n v="36"/>
    <d v="1899-12-31T02:00:00"/>
    <s v="JORDIS.HANSEN@STUDIUM.UNI-HAMBURG.DE"/>
    <x v="0"/>
    <n v="1081.5005000000001"/>
    <n v="2.5"/>
    <n v="1163.79"/>
    <n v="1.9580666999707901"/>
    <n v="1175.17"/>
    <s v="AD"/>
    <n v="1"/>
    <n v="1282"/>
    <n v="1109"/>
    <n v="0"/>
    <n v="1109"/>
  </r>
  <r>
    <x v="11"/>
    <s v="JORDIS HANSEN"/>
    <n v="6"/>
    <n v="36"/>
    <d v="1899-12-31T02:00:00"/>
    <s v="GRACE.ART@STUDIUM.UNI-HAMBURG.DE"/>
    <x v="0"/>
    <n v="1081.4825000000001"/>
    <n v="2.5"/>
    <n v="1163.79"/>
    <n v="1.9580666999707901"/>
    <n v="1175.17"/>
    <s v="AD"/>
    <n v="1"/>
    <n v="1282"/>
    <n v="1109"/>
    <n v="0"/>
    <n v="1109"/>
  </r>
  <r>
    <x v="11"/>
    <s v="JORDIS HANSEN"/>
    <n v="6"/>
    <n v="36"/>
    <d v="1899-12-31T02:00:00"/>
    <s v="JORDIS.HANSEN@STUDIUM.UNI-HAMBURG.DE"/>
    <x v="0"/>
    <n v="1081.4825000000001"/>
    <n v="2.5"/>
    <n v="1163.79"/>
    <n v="1.9580666999707901"/>
    <n v="1175.17"/>
    <s v="AD"/>
    <n v="1"/>
    <n v="1282"/>
    <n v="1109"/>
    <n v="0"/>
    <n v="1109"/>
  </r>
  <r>
    <x v="11"/>
    <s v="JUANA ORTA BAÃ‘UELOS"/>
    <n v="14"/>
    <n v="36"/>
    <d v="1899-12-31T02:00:00"/>
    <s v="juana.orta.baÃ±uelos@ejemplo.com"/>
    <x v="4"/>
    <n v="1081.3385000000001"/>
    <n v="5"/>
    <n v="1163.79"/>
    <n v="3.9161333999415802"/>
    <n v="609.91"/>
    <s v="IN"/>
    <n v="1"/>
    <n v="1308"/>
    <n v="1135"/>
    <n v="0.5"/>
    <n v="567.5"/>
  </r>
  <r>
    <x v="11"/>
    <s v="ENRIQUE GARCIA SANCHEZ"/>
    <n v="15"/>
    <n v="36"/>
    <d v="1899-12-31T02:00:00"/>
    <s v="enrique.garcia.sanchez@ejemplo.com"/>
    <x v="4"/>
    <n v="1081.3206"/>
    <n v="5"/>
    <n v="1163.79"/>
    <n v="3.9161333999415802"/>
    <n v="609.91"/>
    <s v="IN"/>
    <n v="1"/>
    <n v="1308"/>
    <n v="1135"/>
    <n v="0.5"/>
    <n v="567.5"/>
  </r>
  <r>
    <x v="11"/>
    <s v="JOSE DE JESUS CARVAJAL"/>
    <n v="16"/>
    <n v="36"/>
    <d v="1899-12-31T02:00:00"/>
    <s v="jose.de.jesus.carvajal@ejemplo.com"/>
    <x v="2"/>
    <n v="1081.3018"/>
    <n v="7"/>
    <n v="1163.79"/>
    <n v="5.4825867599182097"/>
    <n v="1219.83"/>
    <s v="AD"/>
    <n v="1"/>
    <n v="1330"/>
    <n v="1157"/>
    <n v="0"/>
    <n v="1157"/>
  </r>
  <r>
    <x v="11"/>
    <s v="GABRIEL PEREZ LOPEZ"/>
    <n v="4"/>
    <n v="36"/>
    <d v="1899-12-31T02:00:00"/>
    <s v="gabriel.perez.lopez@ejemplo.com"/>
    <x v="2"/>
    <n v="1081.385"/>
    <n v="7"/>
    <n v="1163.79"/>
    <n v="5.4825867599182097"/>
    <n v="1219.83"/>
    <s v="AD"/>
    <n v="1"/>
    <n v="1330"/>
    <n v="1157"/>
    <n v="0"/>
    <n v="1157"/>
  </r>
  <r>
    <x v="11"/>
    <s v="LUIS JOSE MERETE"/>
    <n v="26"/>
    <n v="36"/>
    <d v="1899-12-31T02:00:00"/>
    <s v="luis.jose.merete@ejemplo.com"/>
    <x v="5"/>
    <n v="1080.9894999999999"/>
    <n v="8.5"/>
    <n v="1163.79"/>
    <n v="6.6574267799006801"/>
    <n v="1219.83"/>
    <s v="AD"/>
    <n v="1"/>
    <n v="1346"/>
    <n v="1173"/>
    <n v="0"/>
    <n v="1173"/>
  </r>
  <r>
    <x v="11"/>
    <s v="JAUN LOPEZ"/>
    <n v="24"/>
    <n v="36"/>
    <d v="1899-12-31T02:00:00"/>
    <s v="jaun.lopez@ejemplo.com"/>
    <x v="2"/>
    <n v="1081.0254"/>
    <n v="7"/>
    <n v="1163.79"/>
    <n v="5.4825867599182097"/>
    <n v="1219.83"/>
    <s v="AD"/>
    <n v="1"/>
    <n v="1330"/>
    <n v="1157"/>
    <n v="0"/>
    <n v="1157"/>
  </r>
  <r>
    <x v="11"/>
    <s v="JOSE FABIAN RICO"/>
    <n v="23"/>
    <n v="36"/>
    <d v="1899-12-31T02:00:00"/>
    <s v="jose.fabian.rico@ejemplo.com"/>
    <x v="2"/>
    <n v="1081.0426"/>
    <n v="7"/>
    <n v="1163.79"/>
    <n v="5.4825867599182097"/>
    <n v="1219.83"/>
    <s v="AD"/>
    <n v="1"/>
    <n v="1330"/>
    <n v="1157"/>
    <n v="0"/>
    <n v="1157"/>
  </r>
  <r>
    <x v="11"/>
    <s v="MARÃA DE LOURDES LÃ“PEZ MARTÃNEZ LÃ“PEZ MARTÃNE"/>
    <n v="1"/>
    <n v="36"/>
    <d v="1899-12-31T23:10:00"/>
    <s v="LULALMML@HOTMAIL.COM"/>
    <x v="2"/>
    <n v="1081.5518"/>
    <n v="7"/>
    <n v="1163.79"/>
    <n v="5.4825867599182097"/>
    <n v="1097.8399999999999"/>
    <s v="AD"/>
    <n v="1"/>
    <n v="1330"/>
    <n v="1157"/>
    <n v="0"/>
    <n v="1157"/>
  </r>
  <r>
    <x v="11"/>
    <s v="MARÃA DE LOURDES LÃ“PEZ MARTÃNEZ LÃ“PEZ MARTÃNE"/>
    <n v="1"/>
    <n v="36"/>
    <d v="1899-12-31T23:10:00"/>
    <s v="LULALMML@HOTMAIL.COM"/>
    <x v="2"/>
    <n v="1081.5518"/>
    <n v="7"/>
    <n v="1163.79"/>
    <n v="5.4825867599182097"/>
    <n v="1097.8399999999999"/>
    <s v="AD"/>
    <n v="1"/>
    <n v="1330"/>
    <n v="1157"/>
    <n v="0"/>
    <n v="1157"/>
  </r>
  <r>
    <x v="11"/>
    <s v="MARÃA DE LOURDES LÃ“PEZ MARTÃNEZ LÃ“PEZ MARTÃNE"/>
    <n v="1"/>
    <n v="36"/>
    <d v="1899-12-31T23:10:00"/>
    <s v="LULALMML@HOTMAIL.COM"/>
    <x v="2"/>
    <n v="1081.5518"/>
    <n v="7"/>
    <n v="1163.79"/>
    <n v="5.4825867599182097"/>
    <n v="1097.8399999999999"/>
    <s v="AD"/>
    <n v="1"/>
    <n v="1330"/>
    <n v="1157"/>
    <n v="0"/>
    <n v="1157"/>
  </r>
  <r>
    <x v="11"/>
    <s v="OSIRIS SAMANTHA MORA ARTEAGA"/>
    <n v="3"/>
    <n v="36"/>
    <d v="1899-12-31T23:10:00"/>
    <s v="LULALMML@HOTMAIL.COM"/>
    <x v="2"/>
    <n v="1081.5155999999999"/>
    <n v="7"/>
    <n v="1163.79"/>
    <n v="5.4825867599182097"/>
    <n v="1097.8399999999999"/>
    <s v="AD"/>
    <n v="1"/>
    <n v="1330"/>
    <n v="1157"/>
    <n v="0"/>
    <n v="1157"/>
  </r>
  <r>
    <x v="11"/>
    <s v="OSIRIS SAMANTHA MORA ARTEAGA"/>
    <n v="3"/>
    <n v="36"/>
    <d v="1899-12-31T23:10:00"/>
    <s v="LULALMML@HOTMAIL.COM"/>
    <x v="2"/>
    <n v="1081.5155999999999"/>
    <n v="7"/>
    <n v="1163.79"/>
    <n v="5.4825867599182097"/>
    <n v="1097.8399999999999"/>
    <s v="AD"/>
    <n v="1"/>
    <n v="1330"/>
    <n v="1157"/>
    <n v="0"/>
    <n v="1157"/>
  </r>
  <r>
    <x v="11"/>
    <s v="OSIRIS SAMANTHA MORA ARTEAGA"/>
    <n v="3"/>
    <n v="36"/>
    <d v="1899-12-31T23:10:00"/>
    <s v="LULALMML@HOTMAIL.COM"/>
    <x v="2"/>
    <n v="1081.5155999999999"/>
    <n v="7"/>
    <n v="1163.79"/>
    <n v="5.4825867599182097"/>
    <n v="1097.8399999999999"/>
    <s v="AD"/>
    <n v="1"/>
    <n v="1330"/>
    <n v="1157"/>
    <n v="0"/>
    <n v="1157"/>
  </r>
  <r>
    <x v="11"/>
    <s v="SEBASTIÃN LUÃ‰VANOS LÃ“PEZ"/>
    <n v="2"/>
    <n v="36"/>
    <d v="1899-12-31T23:10:00"/>
    <s v="LULALMML@HOTMAIL.COM"/>
    <x v="2"/>
    <n v="1081.5337"/>
    <n v="7"/>
    <n v="1163.79"/>
    <n v="5.4825867599182097"/>
    <n v="1097.8399999999999"/>
    <s v="AD"/>
    <n v="1"/>
    <n v="1330"/>
    <n v="1157"/>
    <n v="0"/>
    <n v="1157"/>
  </r>
  <r>
    <x v="11"/>
    <s v="SEBASTIÃN LUÃ‰VANOS LÃ“PEZ"/>
    <n v="2"/>
    <n v="36"/>
    <d v="1899-12-31T23:10:00"/>
    <s v="LULALMML@HOTMAIL.COM"/>
    <x v="2"/>
    <n v="1081.5337"/>
    <n v="7"/>
    <n v="1163.79"/>
    <n v="5.4825867599182097"/>
    <n v="1097.8399999999999"/>
    <s v="AD"/>
    <n v="1"/>
    <n v="1330"/>
    <n v="1157"/>
    <n v="0"/>
    <n v="1157"/>
  </r>
  <r>
    <x v="11"/>
    <s v="SEBASTIÃN LUÃ‰VANOS LÃ“PEZ"/>
    <n v="2"/>
    <n v="36"/>
    <d v="1899-12-31T23:10:00"/>
    <s v="LULALMML@HOTMAIL.COM"/>
    <x v="2"/>
    <n v="1081.5337"/>
    <n v="7"/>
    <n v="1163.79"/>
    <n v="5.4825867599182097"/>
    <n v="1097.8399999999999"/>
    <s v="AD"/>
    <n v="1"/>
    <n v="1330"/>
    <n v="1157"/>
    <n v="0"/>
    <n v="1157"/>
  </r>
  <r>
    <x v="11"/>
    <s v="PABLO HERNANDEZ"/>
    <n v="6"/>
    <n v="36"/>
    <d v="1899-12-31T06:00:00"/>
    <s v="VECTORSTANDSPRODUCCION@GMAIL.COM"/>
    <x v="3"/>
    <n v="1081.4781"/>
    <n v="0"/>
    <n v="1163.79"/>
    <n v="0"/>
    <n v="1219.83"/>
    <s v="AD"/>
    <n v="1"/>
    <n v="1255"/>
    <n v="1081"/>
    <n v="0"/>
    <n v="1081"/>
  </r>
  <r>
    <x v="11"/>
    <s v="MARTHA ELENA ALMAGUER"/>
    <n v="33"/>
    <n v="36"/>
    <d v="1899-12-31T06:00:00"/>
    <s v="martha.elena.almaguer@ejemplo.com"/>
    <x v="4"/>
    <n v="1080.8606"/>
    <n v="5"/>
    <n v="1163.79"/>
    <n v="3.9161333999415802"/>
    <n v="609.91"/>
    <s v="IN"/>
    <n v="1"/>
    <n v="1308"/>
    <n v="1135"/>
    <n v="0.5"/>
    <n v="567.5"/>
  </r>
  <r>
    <x v="11"/>
    <s v="MARCELA  NICOLAS"/>
    <n v="3"/>
    <n v="36"/>
    <d v="1899-12-31T06:00:00"/>
    <s v="marcela..nicolas@ejemplo.com"/>
    <x v="5"/>
    <n v="1081.5305000000001"/>
    <n v="8.5"/>
    <n v="1163.79"/>
    <n v="6.6574267799006801"/>
    <n v="1219.83"/>
    <s v="AD"/>
    <n v="1"/>
    <n v="1347"/>
    <n v="1173"/>
    <n v="0"/>
    <n v="1173"/>
  </r>
  <r>
    <x v="11"/>
    <s v="DAVID PEREZ"/>
    <n v="19"/>
    <n v="36"/>
    <d v="1899-12-31T06:00:00"/>
    <s v="ETNPASES@GMAIL.COM"/>
    <x v="2"/>
    <n v="1079.2113999999999"/>
    <n v="7"/>
    <n v="1163.79"/>
    <n v="5.4825867599182097"/>
    <n v="1219.83"/>
    <s v="AD"/>
    <n v="1"/>
    <n v="1327"/>
    <n v="1155"/>
    <n v="0"/>
    <n v="1155"/>
  </r>
  <r>
    <x v="11"/>
    <s v="MAXIMO ALDANA"/>
    <n v="20"/>
    <n v="36"/>
    <d v="1899-12-31T06:00:00"/>
    <s v="ETNPASES@GMAIL.COM"/>
    <x v="2"/>
    <n v="1079.1934000000001"/>
    <n v="7"/>
    <n v="1163.79"/>
    <n v="5.4825867599182097"/>
    <n v="1219.83"/>
    <s v="AD"/>
    <n v="1"/>
    <n v="1327"/>
    <n v="1155"/>
    <n v="0"/>
    <n v="1155"/>
  </r>
  <r>
    <x v="11"/>
    <s v="NAHOMI SOLIS"/>
    <n v="4"/>
    <n v="36"/>
    <d v="1899-12-31T06:00:00"/>
    <s v="nahomi.solis@ejemplo.com"/>
    <x v="5"/>
    <n v="1081.3818000000001"/>
    <n v="8.5"/>
    <n v="1163.79"/>
    <n v="6.6574267799006801"/>
    <n v="1219.83"/>
    <s v="AD"/>
    <n v="1"/>
    <n v="1346"/>
    <n v="1173"/>
    <n v="0"/>
    <n v="1173"/>
  </r>
  <r>
    <x v="11"/>
    <s v="JOAN RODRÃGUEZ"/>
    <n v="7"/>
    <n v="36"/>
    <d v="1899-12-31T23:59:00"/>
    <s v="J_RODRIC@HOTMAIL.COM"/>
    <x v="2"/>
    <n v="1080.5369000000001"/>
    <n v="7"/>
    <n v="1163.79"/>
    <n v="5.4825867599182097"/>
    <n v="1219.83"/>
    <s v="AD"/>
    <n v="1"/>
    <n v="1329"/>
    <n v="1156"/>
    <n v="0"/>
    <n v="1156"/>
  </r>
  <r>
    <x v="11"/>
    <s v="JUAN BAEZA CASTILLO"/>
    <n v="4"/>
    <n v="36"/>
    <d v="1899-12-31T23:59:00"/>
    <s v="JBAEZAC@GMINFRA.MX"/>
    <x v="5"/>
    <n v="1081.1615999999999"/>
    <n v="8.5"/>
    <n v="1163.79"/>
    <n v="6.6574267799006801"/>
    <n v="1158.8800000000001"/>
    <s v="AD"/>
    <n v="1"/>
    <n v="1346"/>
    <n v="1173"/>
    <n v="0"/>
    <n v="1173"/>
  </r>
  <r>
    <x v="11"/>
    <s v="VASTHI GUADALUPE PALMA GRACIA"/>
    <n v="17"/>
    <n v="36"/>
    <d v="1899-12-31T11:00:00"/>
    <s v="vasthi.guadalupe.palma.gracia@ejemplo.com"/>
    <x v="5"/>
    <n v="1081.2739999999999"/>
    <n v="8.5"/>
    <n v="1163.79"/>
    <n v="6.6574267799006801"/>
    <n v="1219.83"/>
    <s v="AD"/>
    <n v="1"/>
    <n v="1346"/>
    <n v="1173"/>
    <n v="0"/>
    <n v="1173"/>
  </r>
  <r>
    <x v="11"/>
    <s v="VICENTE CORONA"/>
    <n v="15"/>
    <n v="36"/>
    <d v="1899-12-31T11:00:00"/>
    <s v="vicente.corona@ejemplo.com"/>
    <x v="5"/>
    <n v="1081.3092999999999"/>
    <n v="8.5"/>
    <n v="1163.79"/>
    <n v="6.6574267799006801"/>
    <n v="1219.83"/>
    <s v="AD"/>
    <n v="1"/>
    <n v="1346"/>
    <n v="1173"/>
    <n v="0"/>
    <n v="1173"/>
  </r>
  <r>
    <x v="11"/>
    <s v="BLANCA LUCIA CRUZ SANCHEZ"/>
    <n v="32"/>
    <n v="36"/>
    <d v="1899-12-31T23:59:00"/>
    <s v="blanca.lucia.cruz.sanchez@ejemplo.com"/>
    <x v="4"/>
    <n v="1080.0744999999999"/>
    <n v="5"/>
    <n v="1163.79"/>
    <n v="3.9161333999415802"/>
    <n v="609.91"/>
    <s v="IN"/>
    <n v="1"/>
    <n v="1307"/>
    <n v="1134"/>
    <n v="0.5"/>
    <n v="567"/>
  </r>
  <r>
    <x v="11"/>
    <s v="RAUL RODRIGUEZ ESCAMILLA"/>
    <n v="17"/>
    <n v="36"/>
    <d v="1899-12-31T23:10:00"/>
    <s v="raul.rodriguez.escamilla@ejemplo.com"/>
    <x v="2"/>
    <n v="1080.5477000000001"/>
    <n v="7"/>
    <n v="1163.79"/>
    <n v="5.4825867599182097"/>
    <n v="1097.8399999999999"/>
    <s v="AD"/>
    <n v="1"/>
    <n v="1329"/>
    <n v="1156"/>
    <n v="0"/>
    <n v="1156"/>
  </r>
  <r>
    <x v="11"/>
    <s v="BRANDON ZAMUDIO"/>
    <n v="24"/>
    <n v="36"/>
    <d v="1899-12-31T11:00:00"/>
    <s v="brandon.zamudio@ejemplo.com"/>
    <x v="5"/>
    <n v="1081.0233000000001"/>
    <n v="8.5"/>
    <n v="1163.79"/>
    <n v="6.6574267799006801"/>
    <n v="1219.83"/>
    <s v="AD"/>
    <n v="1"/>
    <n v="1346"/>
    <n v="1173"/>
    <n v="0"/>
    <n v="1173"/>
  </r>
  <r>
    <x v="11"/>
    <s v="MARIA HILDA TINOCO AYALA"/>
    <n v="20"/>
    <n v="36"/>
    <d v="1899-12-31T23:59:00"/>
    <s v="HUESITOSGDG@GMAIL.COM"/>
    <x v="4"/>
    <n v="1080.9991"/>
    <n v="5"/>
    <n v="1163.79"/>
    <n v="3.9161333999415802"/>
    <n v="609.91"/>
    <s v="IN"/>
    <n v="1"/>
    <n v="1308"/>
    <n v="1135"/>
    <n v="0.5"/>
    <n v="567.5"/>
  </r>
  <r>
    <x v="11"/>
    <s v="RAFAEL GUTIERREZ TINOCO"/>
    <n v="19"/>
    <n v="36"/>
    <d v="1899-12-31T23:59:00"/>
    <s v="HUESITOSGDG@GMAIL.COM"/>
    <x v="4"/>
    <n v="1081.0172"/>
    <n v="5"/>
    <n v="1163.79"/>
    <n v="3.9161333999415802"/>
    <n v="609.91"/>
    <s v="IN"/>
    <n v="1"/>
    <n v="1308"/>
    <n v="1135"/>
    <n v="0.5"/>
    <n v="567.5"/>
  </r>
  <r>
    <x v="11"/>
    <s v="MARIA TERESA GUZMAN"/>
    <n v="8"/>
    <n v="35"/>
    <d v="1899-12-31T23:30:00"/>
    <s v="maria.teresa.guzman@ejemplo.com"/>
    <x v="1"/>
    <n v="1081.1976"/>
    <n v="10"/>
    <n v="1163.79"/>
    <n v="7.8322667998831603"/>
    <n v="609.91"/>
    <s v="NI"/>
    <n v="1"/>
    <n v="1362"/>
    <n v="1189"/>
    <n v="0.5"/>
    <n v="594.5"/>
  </r>
  <r>
    <x v="11"/>
    <s v="JOSEFINA CENTENARIO"/>
    <n v="9"/>
    <n v="35"/>
    <d v="1899-12-31T23:30:00"/>
    <s v="josefina.centenario@ejemplo.com"/>
    <x v="1"/>
    <n v="1081.1797999999999"/>
    <n v="10"/>
    <n v="1163.79"/>
    <n v="7.8322667998831603"/>
    <n v="609.91"/>
    <s v="NI"/>
    <n v="1"/>
    <n v="1362"/>
    <n v="1189"/>
    <n v="0.5"/>
    <n v="594.5"/>
  </r>
  <r>
    <x v="11"/>
    <s v="MARIANO JACOBO CAYETANO"/>
    <n v="7"/>
    <n v="36"/>
    <d v="1899-12-31T11:00:00"/>
    <s v="MJACOBO@SNE.COM.MX"/>
    <x v="3"/>
    <n v="1081.4647"/>
    <n v="0"/>
    <n v="1163.79"/>
    <n v="0"/>
    <n v="1158.8800000000001"/>
    <s v="AD"/>
    <n v="1"/>
    <n v="1254"/>
    <n v="1081"/>
    <n v="0"/>
    <n v="1081"/>
  </r>
  <r>
    <x v="11"/>
    <s v="ANGEL RAFAEL IBARRA MENDEZ"/>
    <n v="11"/>
    <n v="36"/>
    <d v="1899-12-31T11:00:00"/>
    <s v="ONCEARQUITECTOSLAB@GMAIL.COM"/>
    <x v="0"/>
    <n v="1081.4302"/>
    <n v="2.5"/>
    <n v="1163.79"/>
    <n v="1.9580666999707901"/>
    <n v="1158.8800000000001"/>
    <s v="AD"/>
    <n v="1"/>
    <n v="1281"/>
    <n v="1108"/>
    <n v="0"/>
    <n v="1108"/>
  </r>
  <r>
    <x v="11"/>
    <s v="ANGEL RAFAEL IBARRA MENDEZ"/>
    <n v="11"/>
    <n v="36"/>
    <d v="1899-12-31T11:00:00"/>
    <s v="ONCEARQUITECTOSLAB@GMAIL.COM"/>
    <x v="0"/>
    <n v="1081.4302"/>
    <n v="2.5"/>
    <n v="1163.79"/>
    <n v="1.9580666999707901"/>
    <n v="1158.8800000000001"/>
    <s v="AD"/>
    <n v="1"/>
    <n v="1281"/>
    <n v="1108"/>
    <n v="0"/>
    <n v="1108"/>
  </r>
  <r>
    <x v="11"/>
    <s v="MIGUEL ANGEL IBARRA FELIX"/>
    <n v="12"/>
    <n v="36"/>
    <d v="1899-12-31T11:00:00"/>
    <s v="ONCEARQUITECTOSLAB@GMAIL.COM"/>
    <x v="0"/>
    <n v="1081.4122"/>
    <n v="2.5"/>
    <n v="1163.79"/>
    <n v="1.9580666999707901"/>
    <n v="1158.8800000000001"/>
    <s v="AD"/>
    <n v="1"/>
    <n v="1281"/>
    <n v="1108"/>
    <n v="0"/>
    <n v="1108"/>
  </r>
  <r>
    <x v="11"/>
    <s v="MIGUEL ANGEL IBARRA FELIX"/>
    <n v="12"/>
    <n v="36"/>
    <d v="1899-12-31T11:00:00"/>
    <s v="ONCEARQUITECTOSLAB@GMAIL.COM"/>
    <x v="0"/>
    <n v="1081.4122"/>
    <n v="2.5"/>
    <n v="1163.79"/>
    <n v="1.9580666999707901"/>
    <n v="1158.8800000000001"/>
    <s v="AD"/>
    <n v="1"/>
    <n v="1281"/>
    <n v="1108"/>
    <n v="0"/>
    <n v="1108"/>
  </r>
  <r>
    <x v="11"/>
    <s v="ERNESDTO ROSAS"/>
    <n v="4"/>
    <n v="36"/>
    <d v="1899-12-31T11:00:00"/>
    <s v="ernesdto.rosas@ejemplo.com"/>
    <x v="5"/>
    <n v="1081.3832"/>
    <n v="8.5"/>
    <n v="1163.79"/>
    <n v="6.6574267799006801"/>
    <n v="1219.83"/>
    <s v="AD"/>
    <n v="1"/>
    <n v="1346"/>
    <n v="1173"/>
    <n v="0"/>
    <n v="1173"/>
  </r>
  <r>
    <x v="11"/>
    <s v="JESUS JAVIER GODINEZ"/>
    <n v="29"/>
    <n v="36"/>
    <d v="1899-12-31T11:00:00"/>
    <s v="jesus.javier.godinez@ejemplo.com"/>
    <x v="5"/>
    <n v="1080.9332999999999"/>
    <n v="8.5"/>
    <n v="1163.79"/>
    <n v="6.6574267799006801"/>
    <n v="1219.83"/>
    <s v="AD"/>
    <n v="1"/>
    <n v="1346"/>
    <n v="1173"/>
    <n v="0"/>
    <n v="1173"/>
  </r>
  <r>
    <x v="11"/>
    <s v="LUIS GONZÃLEZ GUERRERO"/>
    <n v="30"/>
    <n v="36"/>
    <d v="1899-12-31T23:59:00"/>
    <s v="VICKYGG8110@HORMAIL.COM"/>
    <x v="3"/>
    <n v="1080.6918000000001"/>
    <n v="0"/>
    <n v="1163.79"/>
    <n v="0"/>
    <n v="1158.8800000000001"/>
    <s v="AD"/>
    <n v="1"/>
    <n v="1254"/>
    <n v="1081"/>
    <n v="0"/>
    <n v="1081"/>
  </r>
  <r>
    <x v="11"/>
    <s v="LUIS GONZÃLEZ GUERRERO"/>
    <n v="30"/>
    <n v="36"/>
    <d v="1899-12-31T23:59:00"/>
    <s v="VICKYGG8110@HOTMAIL.COM"/>
    <x v="3"/>
    <n v="1080.6918000000001"/>
    <n v="0"/>
    <n v="1163.79"/>
    <n v="0"/>
    <n v="1158.8800000000001"/>
    <s v="AD"/>
    <n v="1"/>
    <n v="1254"/>
    <n v="1081"/>
    <n v="0"/>
    <n v="1081"/>
  </r>
  <r>
    <x v="11"/>
    <s v="NINA GRAJALES LAGUNES"/>
    <n v="31"/>
    <n v="36"/>
    <d v="1899-12-31T23:59:00"/>
    <s v="VICKYGG8110@HORMAIL.COM"/>
    <x v="3"/>
    <n v="1080.6738"/>
    <n v="0"/>
    <n v="1163.79"/>
    <n v="0"/>
    <n v="1158.8800000000001"/>
    <s v="AD"/>
    <n v="1"/>
    <n v="1254"/>
    <n v="1081"/>
    <n v="0"/>
    <n v="1081"/>
  </r>
  <r>
    <x v="11"/>
    <s v="NINA GRAJALES LAGUNES"/>
    <n v="31"/>
    <n v="36"/>
    <d v="1899-12-31T23:59:00"/>
    <s v="VICKYGG8110@HOTMAIL.COM"/>
    <x v="3"/>
    <n v="1080.6738"/>
    <n v="0"/>
    <n v="1163.79"/>
    <n v="0"/>
    <n v="1158.8800000000001"/>
    <s v="AD"/>
    <n v="1"/>
    <n v="1254"/>
    <n v="1081"/>
    <n v="0"/>
    <n v="1081"/>
  </r>
  <r>
    <x v="11"/>
    <s v="JOSE JIMENEZ SANCHEZ"/>
    <n v="10"/>
    <n v="36"/>
    <d v="1899-12-31T23:10:00"/>
    <s v="jose.jimenez.sanchez@ejemplo.com"/>
    <x v="4"/>
    <n v="1081.3688"/>
    <n v="5"/>
    <n v="1163.79"/>
    <n v="3.9161333999415802"/>
    <n v="609.91"/>
    <s v="IN"/>
    <n v="1"/>
    <n v="1308"/>
    <n v="1135"/>
    <n v="0.5"/>
    <n v="567.5"/>
  </r>
  <r>
    <x v="11"/>
    <s v="VÃCTOR ADRIÃN REYES HERNÃNDEZ"/>
    <n v="10"/>
    <n v="36"/>
    <d v="1899-12-31T02:00:00"/>
    <s v="KARINA.PEA@HOTMAIL.COM"/>
    <x v="0"/>
    <n v="1081.4095"/>
    <n v="2.5"/>
    <n v="1163.79"/>
    <n v="1.9580666999707901"/>
    <n v="1120.69"/>
    <s v="AD"/>
    <n v="1"/>
    <n v="1281"/>
    <n v="1108"/>
    <n v="0"/>
    <n v="1108"/>
  </r>
  <r>
    <x v="11"/>
    <s v="ARTURO ANTONIO"/>
    <n v="13"/>
    <n v="36"/>
    <d v="1899-12-31T23:10:00"/>
    <s v="arturo.antonio@ejemplo.com"/>
    <x v="2"/>
    <n v="1081.1759999999999"/>
    <n v="7"/>
    <n v="1163.79"/>
    <n v="5.4825867599182097"/>
    <n v="1158.8800000000001"/>
    <s v="AD"/>
    <n v="1"/>
    <n v="1330"/>
    <n v="1157"/>
    <n v="0"/>
    <n v="1157"/>
  </r>
  <r>
    <x v="11"/>
    <s v="JAVIER HERNANDEZ ARANDA"/>
    <n v="19"/>
    <n v="36"/>
    <d v="1899-12-31T23:59:00"/>
    <s v="JAVI_HDEZ_ARANDA@HOTMAIL.COM"/>
    <x v="3"/>
    <n v="1081.0214000000001"/>
    <n v="0"/>
    <n v="1163.79"/>
    <n v="0"/>
    <n v="1158.8800000000001"/>
    <s v="AD"/>
    <n v="1"/>
    <n v="1254"/>
    <n v="1081"/>
    <n v="0"/>
    <n v="1081"/>
  </r>
  <r>
    <x v="11"/>
    <s v="CHRISTIAN CAMACHO RODRIGUEZ"/>
    <n v="24"/>
    <n v="36"/>
    <d v="1899-12-31T23:30:00"/>
    <s v="CCAMACHO@ANEBERRIES.MX"/>
    <x v="3"/>
    <n v="1080.799"/>
    <n v="0"/>
    <n v="1163.79"/>
    <n v="0"/>
    <n v="1120.69"/>
    <s v="AD"/>
    <n v="1"/>
    <n v="1254"/>
    <n v="1081"/>
    <n v="0"/>
    <n v="1081"/>
  </r>
  <r>
    <x v="11"/>
    <s v="JUAN RAMOS PEÃ‘A"/>
    <n v="7"/>
    <n v="36"/>
    <d v="1899-12-31T23:10:00"/>
    <s v="GABRIELRAMOS_4@YAHOO.COM.MX"/>
    <x v="2"/>
    <n v="1081.2370000000001"/>
    <n v="7"/>
    <n v="1163.79"/>
    <n v="5.4825867599182097"/>
    <n v="609.91"/>
    <s v="IN"/>
    <n v="1"/>
    <n v="1330"/>
    <n v="1157"/>
    <n v="0.5"/>
    <n v="578.5"/>
  </r>
  <r>
    <x v="11"/>
    <s v="GABRIEL CEJA RODRIGUEZ"/>
    <n v="32"/>
    <n v="36"/>
    <d v="1899-12-31T23:10:00"/>
    <s v="gabriel.ceja.rodriguez@ejemplo.com"/>
    <x v="1"/>
    <n v="1080.5275999999999"/>
    <n v="10"/>
    <n v="1163.79"/>
    <n v="7.8322667998831603"/>
    <n v="609.91"/>
    <s v="NI"/>
    <n v="1"/>
    <n v="1361"/>
    <n v="1189"/>
    <n v="0.5"/>
    <n v="594.5"/>
  </r>
  <r>
    <x v="11"/>
    <s v="NAHOMY VALERIA ALVAREZ LOZANO"/>
    <n v="36"/>
    <n v="36"/>
    <d v="1899-12-31T23:59:00"/>
    <s v="LOZANO.NVA@GMAIL.COM"/>
    <x v="3"/>
    <n v="1080.5824"/>
    <n v="0"/>
    <n v="1163.79"/>
    <n v="0"/>
    <n v="1158.8800000000001"/>
    <s v="AD"/>
    <n v="1"/>
    <n v="1253"/>
    <n v="1081"/>
    <n v="0"/>
    <n v="1081"/>
  </r>
  <r>
    <x v="11"/>
    <s v="DENISS GARCÃA ARROYO"/>
    <n v="23"/>
    <n v="36"/>
    <d v="1899-12-31T23:59:00"/>
    <s v="DEN.GARCIA98@GMAIL.COM"/>
    <x v="3"/>
    <n v="1080.816"/>
    <n v="0"/>
    <n v="1163.79"/>
    <n v="0"/>
    <n v="1158.8800000000001"/>
    <s v="AD"/>
    <n v="1"/>
    <n v="1254"/>
    <n v="1081"/>
    <n v="0"/>
    <n v="1081"/>
  </r>
  <r>
    <x v="11"/>
    <s v="KATYA GARCÃA CHÃVEZ"/>
    <n v="36"/>
    <n v="36"/>
    <d v="1899-12-31T02:00:00"/>
    <s v="KATYAGARCIA@INOLAB.COM"/>
    <x v="2"/>
    <n v="1080.8605"/>
    <n v="7"/>
    <n v="1163.79"/>
    <n v="5.4825867599182097"/>
    <n v="1158.8800000000001"/>
    <s v="AD"/>
    <n v="1"/>
    <n v="1329"/>
    <n v="1157"/>
    <n v="0"/>
    <n v="1157"/>
  </r>
  <r>
    <x v="11"/>
    <s v="CESAR EDUARDO CRUZ MATEOS"/>
    <n v="11"/>
    <n v="36"/>
    <d v="1899-12-31T23:30:00"/>
    <s v="cesar.eduardo.cruz.mateos@ejemplo.com"/>
    <x v="5"/>
    <n v="1081.1641999999999"/>
    <n v="8.5"/>
    <n v="1163.79"/>
    <n v="6.6574267799006801"/>
    <n v="1163.79"/>
    <s v="AD"/>
    <n v="1"/>
    <n v="1346"/>
    <n v="1173"/>
    <n v="0"/>
    <n v="1173"/>
  </r>
  <r>
    <x v="11"/>
    <s v="BENITO ESCALANTE ARENAS"/>
    <n v="29"/>
    <n v="36"/>
    <d v="1899-12-31T23:59:00"/>
    <s v="MARCELABASURTO0329@GMAIL.COM"/>
    <x v="3"/>
    <n v="1080.7080000000001"/>
    <n v="0"/>
    <n v="1163.79"/>
    <n v="0"/>
    <n v="1158.8800000000001"/>
    <s v="AD"/>
    <n v="1"/>
    <n v="1254"/>
    <n v="1081"/>
    <n v="0"/>
    <n v="1081"/>
  </r>
  <r>
    <x v="11"/>
    <s v="BENITO ESCALANTE ARENAS"/>
    <n v="29"/>
    <n v="36"/>
    <d v="1899-12-31T23:59:00"/>
    <s v="MARCELABASURTO0329@GMAIL.COM"/>
    <x v="3"/>
    <n v="1080.7080000000001"/>
    <n v="0"/>
    <n v="1163.79"/>
    <n v="0"/>
    <n v="1158.8800000000001"/>
    <s v="AD"/>
    <n v="1"/>
    <n v="1254"/>
    <n v="1081"/>
    <n v="0"/>
    <n v="1081"/>
  </r>
  <r>
    <x v="11"/>
    <s v="MARIA MARCELA RAMÃREZ BASURTO"/>
    <n v="28"/>
    <n v="36"/>
    <d v="1899-12-31T23:59:00"/>
    <s v="MARCELABASURTO0329@GMAIL.COM"/>
    <x v="3"/>
    <n v="1080.7260000000001"/>
    <n v="0"/>
    <n v="1163.79"/>
    <n v="0"/>
    <n v="1158.8800000000001"/>
    <s v="AD"/>
    <n v="1"/>
    <n v="1254"/>
    <n v="1081"/>
    <n v="0"/>
    <n v="1081"/>
  </r>
  <r>
    <x v="11"/>
    <s v="MARIA MARCELA RAMÃREZ BASURTO"/>
    <n v="28"/>
    <n v="36"/>
    <d v="1899-12-31T23:59:00"/>
    <s v="MARCELABASURTO0329@GMAIL.COM"/>
    <x v="3"/>
    <n v="1080.7260000000001"/>
    <n v="0"/>
    <n v="1163.79"/>
    <n v="0"/>
    <n v="1158.8800000000001"/>
    <s v="AD"/>
    <n v="1"/>
    <n v="1254"/>
    <n v="1081"/>
    <n v="0"/>
    <n v="1081"/>
  </r>
  <r>
    <x v="11"/>
    <s v="ISABEL CRISTINA RIOS ROMERO"/>
    <n v="32"/>
    <n v="36"/>
    <d v="1899-12-31T02:00:00"/>
    <s v="VIRIDIANAGALINDORIOS@GMAIL.COM"/>
    <x v="4"/>
    <n v="1080.8805"/>
    <n v="5"/>
    <n v="1163.79"/>
    <n v="3.9161333999415802"/>
    <n v="609.91"/>
    <s v="IN"/>
    <n v="1"/>
    <n v="1308"/>
    <n v="1135"/>
    <n v="0.5"/>
    <n v="567.5"/>
  </r>
  <r>
    <x v="11"/>
    <s v="BRENDA I MENDOZA RODRIGUEZ"/>
    <n v="7"/>
    <n v="36"/>
    <d v="1899-12-31T02:00:00"/>
    <s v="BM-ARQ@OUTLOOK.COM"/>
    <x v="5"/>
    <n v="1081.4618"/>
    <n v="8.5"/>
    <n v="1163.79"/>
    <n v="6.6574267799006801"/>
    <n v="1158.8800000000001"/>
    <s v="AD"/>
    <n v="1"/>
    <n v="1346"/>
    <n v="1173"/>
    <n v="0"/>
    <n v="1173"/>
  </r>
  <r>
    <x v="11"/>
    <s v="OZURY JOSELINE GONZÃLEZ RANGEL"/>
    <n v="16"/>
    <n v="36"/>
    <d v="1899-12-31T23:30:00"/>
    <s v="RANGELOZURI@GMAIL.COM"/>
    <x v="3"/>
    <n v="1081.0735999999999"/>
    <n v="0"/>
    <n v="1163.79"/>
    <n v="0"/>
    <n v="1158.8800000000001"/>
    <s v="AD"/>
    <n v="1"/>
    <n v="1254"/>
    <n v="1081"/>
    <n v="0"/>
    <n v="1081"/>
  </r>
  <r>
    <x v="11"/>
    <s v="JOSE MANUEL MARTINEZ TOSTADO"/>
    <n v="35"/>
    <n v="36"/>
    <d v="1899-12-31T11:00:00"/>
    <s v="jose.manuel.martinez.tostado@ejemplo.com"/>
    <x v="1"/>
    <n v="1080.9459999999999"/>
    <n v="10"/>
    <n v="1163.79"/>
    <n v="7.8322667998831603"/>
    <n v="609.91"/>
    <s v="NI"/>
    <n v="1"/>
    <n v="1362"/>
    <n v="1189"/>
    <n v="0.5"/>
    <n v="594.5"/>
  </r>
  <r>
    <x v="11"/>
    <s v="SERGIO URQUIETA ORTEGA"/>
    <n v="18"/>
    <n v="35"/>
    <d v="1899-12-31T06:00:00"/>
    <s v="sergio.urquieta.ortega@ejemplo.com"/>
    <x v="2"/>
    <n v="1081.1171999999999"/>
    <n v="7"/>
    <n v="1163.79"/>
    <n v="5.4825867599182097"/>
    <n v="1219.83"/>
    <s v="AD"/>
    <n v="1"/>
    <n v="1330"/>
    <n v="1157"/>
    <n v="0"/>
    <n v="1157"/>
  </r>
  <r>
    <x v="11"/>
    <s v="ALAN SOLEDAD ROMERO"/>
    <n v="6"/>
    <n v="36"/>
    <d v="1899-12-31T23:59:00"/>
    <s v="ALAN.SOLEDAD.R@GMAIL.COM"/>
    <x v="3"/>
    <n v="1081.2534000000001"/>
    <n v="0"/>
    <n v="1163.79"/>
    <n v="0"/>
    <n v="1158.8800000000001"/>
    <s v="AD"/>
    <n v="1"/>
    <n v="1254"/>
    <n v="1081"/>
    <n v="0"/>
    <n v="1081"/>
  </r>
  <r>
    <x v="11"/>
    <s v="YI HAN"/>
    <n v="30"/>
    <n v="36"/>
    <d v="1899-12-31T02:00:00"/>
    <s v="NINA047HAN@126.COM"/>
    <x v="2"/>
    <n v="1080.9151999999999"/>
    <n v="7"/>
    <n v="1163.79"/>
    <n v="5.4825867599182097"/>
    <n v="1219.83"/>
    <s v="AD"/>
    <n v="1"/>
    <n v="1330"/>
    <n v="1157"/>
    <n v="0"/>
    <n v="1157"/>
  </r>
  <r>
    <x v="11"/>
    <s v="OSWALDO URRUTIA TORRES"/>
    <n v="21"/>
    <n v="36"/>
    <d v="1899-12-31T23:10:00"/>
    <s v="URRUTIA@IMACPROYECTOS.COM.MX"/>
    <x v="0"/>
    <n v="1080.9780000000001"/>
    <n v="2.5"/>
    <n v="1163.79"/>
    <n v="1.9580666999707901"/>
    <n v="1158.8800000000001"/>
    <s v="AD"/>
    <n v="1"/>
    <n v="1281"/>
    <n v="1108"/>
    <n v="0"/>
    <n v="1108"/>
  </r>
  <r>
    <x v="11"/>
    <s v="GABRIEL BOLONGARO CREVENNA PONCE"/>
    <n v="17"/>
    <n v="36"/>
    <d v="1899-12-31T02:00:00"/>
    <s v="BOLONGARO@GMAIL.COM"/>
    <x v="2"/>
    <n v="1081.2668000000001"/>
    <n v="7"/>
    <n v="1163.79"/>
    <n v="5.4825867599182097"/>
    <n v="1158.8800000000001"/>
    <s v="AD"/>
    <n v="1"/>
    <n v="1330"/>
    <n v="1157"/>
    <n v="0"/>
    <n v="1157"/>
  </r>
  <r>
    <x v="11"/>
    <s v="LUIS CASAS ANDRADE"/>
    <n v="18"/>
    <n v="36"/>
    <d v="1899-12-31T23:30:00"/>
    <s v="CASAS.ANDRADE@HOTMAIL.COM"/>
    <x v="3"/>
    <n v="1081.0360000000001"/>
    <n v="0"/>
    <n v="1163.79"/>
    <n v="0"/>
    <n v="1158.8800000000001"/>
    <s v="AD"/>
    <n v="1"/>
    <n v="1254"/>
    <n v="1081"/>
    <n v="0"/>
    <n v="1081"/>
  </r>
  <r>
    <x v="11"/>
    <s v="JOSE MORALES PEÃ‘A"/>
    <n v="10"/>
    <n v="36"/>
    <d v="1899-12-31T23:30:00"/>
    <s v="JAVIERSAMPAYO61175@GMAIL.COM"/>
    <x v="2"/>
    <n v="1081.1797999999999"/>
    <n v="7"/>
    <n v="1163.79"/>
    <n v="5.4825867599182097"/>
    <n v="1158.8800000000001"/>
    <s v="AD"/>
    <n v="1"/>
    <n v="1330"/>
    <n v="1157"/>
    <n v="0"/>
    <n v="1157"/>
  </r>
  <r>
    <x v="11"/>
    <s v="JOSE MORALES PEÃ‘A"/>
    <n v="10"/>
    <n v="36"/>
    <d v="1899-12-31T23:30:00"/>
    <s v="JAVIERSAMPAYO61175@GMAIL.COM"/>
    <x v="2"/>
    <n v="1081.1797999999999"/>
    <n v="7"/>
    <n v="1163.79"/>
    <n v="5.4825867599182097"/>
    <n v="1158.8800000000001"/>
    <s v="AD"/>
    <n v="1"/>
    <n v="1330"/>
    <n v="1157"/>
    <n v="0"/>
    <n v="1157"/>
  </r>
  <r>
    <x v="11"/>
    <s v="JOSE MORALES PEÃ‘A"/>
    <n v="10"/>
    <n v="36"/>
    <d v="1899-12-31T23:30:00"/>
    <s v="JAVIERSAMPAYO61175@GMAIL.COM"/>
    <x v="2"/>
    <n v="1081.1797999999999"/>
    <n v="7"/>
    <n v="1163.79"/>
    <n v="5.4825867599182097"/>
    <n v="1158.8800000000001"/>
    <s v="AD"/>
    <n v="1"/>
    <n v="1330"/>
    <n v="1157"/>
    <n v="0"/>
    <n v="1157"/>
  </r>
  <r>
    <x v="11"/>
    <s v="MAURICIO PORTELA FLORES"/>
    <n v="4"/>
    <n v="36"/>
    <d v="1899-12-31T23:30:00"/>
    <s v="JAVIERSAMPAYO61175@GMAIL.COM"/>
    <x v="2"/>
    <n v="1081.1551999999999"/>
    <n v="7"/>
    <n v="1163.79"/>
    <n v="5.4825867599182097"/>
    <n v="1158.8800000000001"/>
    <s v="AD"/>
    <n v="1"/>
    <n v="1330"/>
    <n v="1157"/>
    <n v="0"/>
    <n v="1157"/>
  </r>
  <r>
    <x v="11"/>
    <s v="MAURICIO PORTELA FLORES"/>
    <n v="4"/>
    <n v="36"/>
    <d v="1899-12-31T23:30:00"/>
    <s v="JAVIERSAMPAYO61175@GMAIL.COM"/>
    <x v="2"/>
    <n v="1081.1551999999999"/>
    <n v="7"/>
    <n v="1163.79"/>
    <n v="5.4825867599182097"/>
    <n v="1158.8800000000001"/>
    <s v="AD"/>
    <n v="1"/>
    <n v="1330"/>
    <n v="1157"/>
    <n v="0"/>
    <n v="1157"/>
  </r>
  <r>
    <x v="11"/>
    <s v="MAURICIO PORTELA FLORES"/>
    <n v="4"/>
    <n v="36"/>
    <d v="1899-12-31T23:30:00"/>
    <s v="JAVIERSAMPAYO61175@GMAIL.COM"/>
    <x v="2"/>
    <n v="1081.1551999999999"/>
    <n v="7"/>
    <n v="1163.79"/>
    <n v="5.4825867599182097"/>
    <n v="1158.8800000000001"/>
    <s v="AD"/>
    <n v="1"/>
    <n v="1330"/>
    <n v="1157"/>
    <n v="0"/>
    <n v="1157"/>
  </r>
  <r>
    <x v="11"/>
    <s v="MIGUEL ANGEL GUILLÃ‰N"/>
    <n v="7"/>
    <n v="36"/>
    <d v="1899-12-31T23:30:00"/>
    <s v="JAVIERSAMPAYO61175@GMAIL.COM"/>
    <x v="2"/>
    <n v="1081.2336"/>
    <n v="7"/>
    <n v="1163.79"/>
    <n v="5.4825867599182097"/>
    <n v="1158.8800000000001"/>
    <s v="AD"/>
    <n v="1"/>
    <n v="1330"/>
    <n v="1157"/>
    <n v="0"/>
    <n v="1157"/>
  </r>
  <r>
    <x v="11"/>
    <s v="MIGUEL ANGEL GUILLÃ‰N"/>
    <n v="7"/>
    <n v="36"/>
    <d v="1899-12-31T23:30:00"/>
    <s v="JAVIERSAMPAYO61175@GMAIL.COM"/>
    <x v="2"/>
    <n v="1081.2336"/>
    <n v="7"/>
    <n v="1163.79"/>
    <n v="5.4825867599182097"/>
    <n v="1158.8800000000001"/>
    <s v="AD"/>
    <n v="1"/>
    <n v="1330"/>
    <n v="1157"/>
    <n v="0"/>
    <n v="1157"/>
  </r>
  <r>
    <x v="11"/>
    <s v="MIGUEL ANGEL GUILLÃ‰N"/>
    <n v="7"/>
    <n v="36"/>
    <d v="1899-12-31T23:30:00"/>
    <s v="JAVIERSAMPAYO61175@GMAIL.COM"/>
    <x v="2"/>
    <n v="1081.2336"/>
    <n v="7"/>
    <n v="1163.79"/>
    <n v="5.4825867599182097"/>
    <n v="1158.8800000000001"/>
    <s v="AD"/>
    <n v="1"/>
    <n v="1330"/>
    <n v="1157"/>
    <n v="0"/>
    <n v="1157"/>
  </r>
  <r>
    <x v="11"/>
    <s v="CARLOS SANTOS"/>
    <n v="5"/>
    <n v="36"/>
    <d v="1899-12-31T23:59:00"/>
    <s v="CARLOS73SC@GMAIL.COM"/>
    <x v="3"/>
    <n v="1081.2695000000001"/>
    <n v="0"/>
    <n v="1163.79"/>
    <n v="0"/>
    <n v="1158.8800000000001"/>
    <s v="AD"/>
    <n v="1"/>
    <n v="1254"/>
    <n v="1081"/>
    <n v="0"/>
    <n v="1081"/>
  </r>
  <r>
    <x v="11"/>
    <s v="HECTOR ENRIQUE CANCHOLA BEAS"/>
    <n v="10"/>
    <n v="36"/>
    <d v="1899-12-31T23:59:00"/>
    <s v="hector.enrique.canchola.beas@ejemplo.com"/>
    <x v="2"/>
    <n v="1080.6261999999999"/>
    <n v="7"/>
    <n v="1163.79"/>
    <n v="5.4825867599182097"/>
    <n v="1219.83"/>
    <s v="AD"/>
    <n v="1"/>
    <n v="1329"/>
    <n v="1156"/>
    <n v="0"/>
    <n v="1156"/>
  </r>
  <r>
    <x v="11"/>
    <s v="HÃ‰CTOR FERNANDO BARBOSA AGUILAR"/>
    <n v="23"/>
    <n v="36"/>
    <d v="1899-12-31T23:10:00"/>
    <s v="HBARBOSA@ALTIKS.COM.MX"/>
    <x v="2"/>
    <n v="1080.8136"/>
    <n v="7"/>
    <n v="1163.79"/>
    <n v="5.4825867599182097"/>
    <n v="1158.8800000000001"/>
    <s v="AD"/>
    <n v="1"/>
    <n v="1329"/>
    <n v="1156"/>
    <n v="0"/>
    <n v="1156"/>
  </r>
  <r>
    <x v="11"/>
    <s v="DAMIAN OCHOA"/>
    <n v="15"/>
    <n v="36"/>
    <d v="1899-12-31T23:59:00"/>
    <s v="OHERNANDEZ@EUROPAN.MX"/>
    <x v="3"/>
    <n v="1081.0899999999999"/>
    <n v="0"/>
    <n v="1163.79"/>
    <n v="0"/>
    <n v="1158.8800000000001"/>
    <s v="AD"/>
    <n v="1"/>
    <n v="1254"/>
    <n v="1081"/>
    <n v="0"/>
    <n v="1081"/>
  </r>
  <r>
    <x v="11"/>
    <s v="ARGENIS ISMAEL GARCIA FRAGA"/>
    <n v="22"/>
    <n v="36"/>
    <d v="1899-12-31T23:10:00"/>
    <s v="ADMINISTRACION@BIOCLIMEX.COM"/>
    <x v="3"/>
    <n v="1080.8308"/>
    <n v="0"/>
    <n v="1163.79"/>
    <n v="0"/>
    <n v="1158.8800000000001"/>
    <s v="AD"/>
    <n v="1"/>
    <n v="1254"/>
    <n v="1081"/>
    <n v="0"/>
    <n v="1081"/>
  </r>
  <r>
    <x v="11"/>
    <s v="OSCAR PIÃ‘A JASSO"/>
    <n v="2"/>
    <n v="36"/>
    <d v="1899-12-31T23:59:00"/>
    <s v="OSCARILO87@GMAIL.COM"/>
    <x v="3"/>
    <n v="1081.3228999999999"/>
    <n v="0"/>
    <n v="1163.79"/>
    <n v="0"/>
    <n v="1158.8800000000001"/>
    <s v="AD"/>
    <n v="1"/>
    <n v="1254"/>
    <n v="1081"/>
    <n v="0"/>
    <n v="1081"/>
  </r>
  <r>
    <x v="11"/>
    <s v="FAUSTO CESAR PEREZ DIAZ"/>
    <n v="16"/>
    <n v="36"/>
    <d v="1899-12-31T23:10:00"/>
    <s v="fausto.cesar.perez.diaz@ejemplo.com"/>
    <x v="2"/>
    <n v="1080.56"/>
    <n v="7"/>
    <n v="1163.79"/>
    <n v="5.4825867599182097"/>
    <n v="1097.8399999999999"/>
    <s v="AD"/>
    <n v="1"/>
    <n v="1329"/>
    <n v="1156"/>
    <n v="0"/>
    <n v="1156"/>
  </r>
  <r>
    <x v="11"/>
    <s v="EDGAR EDUARDO MERA"/>
    <n v="19"/>
    <n v="36"/>
    <d v="1899-12-31T23:30:00"/>
    <s v="FACTURACIONESAF@HOTMAIL.COM"/>
    <x v="3"/>
    <n v="1081.0172"/>
    <n v="0"/>
    <n v="1163.79"/>
    <n v="0"/>
    <n v="1158.8800000000001"/>
    <s v="AD"/>
    <n v="1"/>
    <n v="1254"/>
    <n v="1081"/>
    <n v="0"/>
    <n v="1081"/>
  </r>
  <r>
    <x v="11"/>
    <s v="JOSE RICARDO FLORES"/>
    <n v="20"/>
    <n v="36"/>
    <d v="1899-12-31T23:30:00"/>
    <s v="FACTURACIONESAF@HOTMAIL.COM"/>
    <x v="3"/>
    <n v="1080.9992999999999"/>
    <n v="0"/>
    <n v="1163.79"/>
    <n v="0"/>
    <n v="1158.8800000000001"/>
    <s v="AD"/>
    <n v="1"/>
    <n v="1254"/>
    <n v="1081"/>
    <n v="0"/>
    <n v="1081"/>
  </r>
  <r>
    <x v="11"/>
    <s v="NOE VELAZQUEZ GARCIA"/>
    <n v="21"/>
    <n v="36"/>
    <d v="1899-12-31T23:30:00"/>
    <s v="ETNPASES@GMAIL.COM"/>
    <x v="2"/>
    <n v="1078.9365"/>
    <n v="7"/>
    <n v="1163.79"/>
    <n v="5.4825867599182097"/>
    <n v="1219.83"/>
    <s v="AD"/>
    <n v="1"/>
    <n v="1327"/>
    <n v="1154"/>
    <n v="0"/>
    <n v="1154"/>
  </r>
  <r>
    <x v="11"/>
    <s v="SERGIO RAMIREZ TORRES"/>
    <n v="7"/>
    <n v="36"/>
    <d v="1899-12-31T02:00:00"/>
    <s v="TRASLADOS.MX@MEDIAPRO.TV"/>
    <x v="0"/>
    <n v="1081.454"/>
    <n v="2.5"/>
    <n v="1163.79"/>
    <n v="1.9580666999707901"/>
    <n v="1158.8800000000001"/>
    <s v="AD"/>
    <n v="1"/>
    <n v="1282"/>
    <n v="1108"/>
    <n v="0"/>
    <n v="1108"/>
  </r>
  <r>
    <x v="11"/>
    <s v="GUSTAVO LUGO MORALES"/>
    <n v="22"/>
    <n v="36"/>
    <d v="1899-12-31T23:59:00"/>
    <s v="ROBERTO-PH@HOTMAIL.COM"/>
    <x v="3"/>
    <n v="1080.8302000000001"/>
    <n v="0"/>
    <n v="1163.79"/>
    <n v="0"/>
    <n v="1158.8800000000001"/>
    <s v="AD"/>
    <n v="1"/>
    <n v="1254"/>
    <n v="1081"/>
    <n v="0"/>
    <n v="1081"/>
  </r>
  <r>
    <x v="11"/>
    <s v="NORMA COLIN IRETA"/>
    <n v="30"/>
    <n v="36"/>
    <d v="1899-12-31T11:00:00"/>
    <s v="norma.colin.ireta@ejemplo.com"/>
    <x v="1"/>
    <n v="1081.0327"/>
    <n v="10"/>
    <n v="1163.79"/>
    <n v="7.8322667998831603"/>
    <n v="609.91"/>
    <s v="NI"/>
    <n v="1"/>
    <n v="1362"/>
    <n v="1189"/>
    <n v="0.5"/>
    <n v="594.5"/>
  </r>
  <r>
    <x v="11"/>
    <s v="MIRIAM COLIN IRETA"/>
    <n v="31"/>
    <n v="36"/>
    <d v="1899-12-31T11:00:00"/>
    <s v="miriam.colin.ireta@ejemplo.com"/>
    <x v="1"/>
    <n v="1081.0148999999999"/>
    <n v="10"/>
    <n v="1163.79"/>
    <n v="7.8322667998831603"/>
    <n v="609.91"/>
    <s v="NI"/>
    <n v="1"/>
    <n v="1362"/>
    <n v="1189"/>
    <n v="0.5"/>
    <n v="594.5"/>
  </r>
  <r>
    <x v="11"/>
    <s v="CARLOS RAMIREZ COLIN"/>
    <n v="32"/>
    <n v="36"/>
    <d v="1899-12-31T11:00:00"/>
    <s v="carlos.ramirez.colin@ejemplo.com"/>
    <x v="2"/>
    <n v="1080.9970000000001"/>
    <n v="7"/>
    <n v="1163.79"/>
    <n v="5.4825867599182097"/>
    <n v="1219.83"/>
    <s v="AD"/>
    <n v="1"/>
    <n v="1330"/>
    <n v="1157"/>
    <n v="0"/>
    <n v="1157"/>
  </r>
  <r>
    <x v="11"/>
    <s v="ISAURO MARTÃNEZ BETANZOS"/>
    <n v="6"/>
    <n v="36"/>
    <d v="1899-12-31T23:30:00"/>
    <s v="ISAUROBETANZOS@GMAIL.COM"/>
    <x v="0"/>
    <n v="1081.2501999999999"/>
    <n v="2.5"/>
    <n v="1163.79"/>
    <n v="1.9580666999707901"/>
    <n v="1158.8800000000001"/>
    <s v="AD"/>
    <n v="1"/>
    <n v="1281"/>
    <n v="1108"/>
    <n v="0"/>
    <n v="1108"/>
  </r>
  <r>
    <x v="11"/>
    <s v="EZEQUIEL GALINDO"/>
    <n v="17"/>
    <n v="36"/>
    <d v="1899-12-31T23:30:00"/>
    <s v="FACTURACIONESAF@HOTMAIL.COM"/>
    <x v="3"/>
    <n v="1081.0524"/>
    <n v="0"/>
    <n v="1163.79"/>
    <n v="0"/>
    <n v="1158.8800000000001"/>
    <s v="AD"/>
    <n v="1"/>
    <n v="1254"/>
    <n v="1081"/>
    <n v="0"/>
    <n v="1081"/>
  </r>
  <r>
    <x v="11"/>
    <s v="JOSÃ‰ FRANCISCO CARMONA ESCOBEDO"/>
    <n v="24"/>
    <n v="36"/>
    <d v="1899-12-31T23:10:00"/>
    <s v="PACOCE65@GMAIL.COM"/>
    <x v="0"/>
    <n v="1080.7892999999999"/>
    <n v="2.5"/>
    <n v="1163.79"/>
    <n v="1.9580666999707901"/>
    <n v="1158.8800000000001"/>
    <s v="AD"/>
    <n v="1"/>
    <n v="1281"/>
    <n v="1108"/>
    <n v="0"/>
    <n v="1108"/>
  </r>
  <r>
    <x v="11"/>
    <s v="ERNESTO JOEL MUÃ‘OZ VAZQUEZ"/>
    <n v="27"/>
    <n v="36"/>
    <d v="1899-12-31T23:10:00"/>
    <s v="TRASLADOS.MX@MEDIAPRO.TV"/>
    <x v="0"/>
    <n v="1080.7354"/>
    <n v="2.5"/>
    <n v="1163.79"/>
    <n v="1.9580666999707901"/>
    <n v="1158.8800000000001"/>
    <s v="AD"/>
    <n v="1"/>
    <n v="1281"/>
    <n v="1108"/>
    <n v="0"/>
    <n v="1108"/>
  </r>
  <r>
    <x v="11"/>
    <s v="EDWIN ORTIZ"/>
    <n v="25"/>
    <n v="36"/>
    <d v="1899-12-31T23:59:00"/>
    <s v="edwin.ortiz@ejemplo.com"/>
    <x v="3"/>
    <n v="1080.7761"/>
    <n v="0"/>
    <n v="1163.79"/>
    <n v="0"/>
    <n v="1158.8800000000001"/>
    <s v="AD"/>
    <n v="1"/>
    <n v="1254"/>
    <n v="1081"/>
    <n v="0"/>
    <n v="1081"/>
  </r>
  <r>
    <x v="11"/>
    <s v="SONIA IRENE OLMOS DOMINGUEZ"/>
    <n v="7"/>
    <n v="36"/>
    <d v="1899-12-31T23:10:00"/>
    <s v="ABSH_LUCKY@HOTMAIL.COM"/>
    <x v="4"/>
    <n v="1081.4304999999999"/>
    <n v="5"/>
    <n v="1163.79"/>
    <n v="3.9161333999415802"/>
    <n v="609.91"/>
    <s v="IN"/>
    <n v="1"/>
    <n v="1309"/>
    <n v="1136"/>
    <n v="0.5"/>
    <n v="568"/>
  </r>
  <r>
    <x v="11"/>
    <s v="MIGUEL ANGEL PERALTA GARCIA"/>
    <n v="32"/>
    <n v="36"/>
    <d v="1899-12-31T23:59:00"/>
    <s v="MPERALTAGAR@GMAIL.COM"/>
    <x v="3"/>
    <n v="1080.6495"/>
    <n v="0"/>
    <n v="1163.79"/>
    <n v="0"/>
    <n v="1158.8800000000001"/>
    <s v="AD"/>
    <n v="1"/>
    <n v="1254"/>
    <n v="1081"/>
    <n v="0"/>
    <n v="1081"/>
  </r>
  <r>
    <x v="11"/>
    <s v="MIGUEL ANGEL FUENTES"/>
    <n v="35"/>
    <n v="36"/>
    <d v="1899-12-31T23:59:00"/>
    <s v="MIGUEL_A_FTES@YAHOO.COM.MX"/>
    <x v="4"/>
    <n v="1080.633"/>
    <n v="5"/>
    <n v="1163.79"/>
    <n v="3.9161333999415802"/>
    <n v="609.91"/>
    <s v="IN"/>
    <n v="1"/>
    <n v="1308"/>
    <n v="1135"/>
    <n v="0.5"/>
    <n v="567.5"/>
  </r>
  <r>
    <x v="11"/>
    <s v="TAK MAN YIM"/>
    <n v="1"/>
    <n v="36"/>
    <d v="1899-12-31T23:59:00"/>
    <s v="REOYIM@GMAIL.COM"/>
    <x v="3"/>
    <n v="1081.3296"/>
    <n v="0"/>
    <n v="1163.79"/>
    <n v="0"/>
    <n v="1158.8800000000001"/>
    <s v="AD"/>
    <n v="1"/>
    <n v="1254"/>
    <n v="1081"/>
    <n v="0"/>
    <n v="1081"/>
  </r>
  <r>
    <x v="11"/>
    <s v="GUILLERMO ARELLANO OCHOA"/>
    <n v="9"/>
    <n v="36"/>
    <d v="1899-12-31T23:59:00"/>
    <s v="CHIMALHU443@GMAIL.COM"/>
    <x v="3"/>
    <n v="1081.1947"/>
    <n v="0"/>
    <n v="1163.79"/>
    <n v="0"/>
    <n v="1158.8800000000001"/>
    <s v="AD"/>
    <n v="1"/>
    <n v="1254"/>
    <n v="1081"/>
    <n v="0"/>
    <n v="1081"/>
  </r>
  <r>
    <x v="11"/>
    <s v="BRENDA I MENDOZA RODRIGUEZ"/>
    <n v="20"/>
    <n v="36"/>
    <d v="1899-12-31T23:59:00"/>
    <s v="BM-ARQ@OUTLOOK.COM"/>
    <x v="5"/>
    <n v="1080.9971"/>
    <n v="8.5"/>
    <n v="1163.79"/>
    <n v="6.6574267799006801"/>
    <n v="1158.8800000000001"/>
    <s v="AD"/>
    <n v="1"/>
    <n v="1346"/>
    <n v="1173"/>
    <n v="0"/>
    <n v="1173"/>
  </r>
  <r>
    <x v="11"/>
    <s v="CARLOS CAMACHO"/>
    <n v="36"/>
    <n v="36"/>
    <d v="1899-12-31T23:30:00"/>
    <s v="ANUNO.PER@GMAIL.COM"/>
    <x v="3"/>
    <n v="1080.5769"/>
    <n v="0"/>
    <n v="1163.79"/>
    <n v="0"/>
    <n v="1158.8800000000001"/>
    <s v="AD"/>
    <n v="1"/>
    <n v="1253"/>
    <n v="1081"/>
    <n v="0"/>
    <n v="1081"/>
  </r>
  <r>
    <x v="11"/>
    <s v="SANTOS ALEJANDRO CHAVEZ CASILLAS"/>
    <n v="32"/>
    <n v="36"/>
    <d v="1899-12-31T23:59:00"/>
    <s v="SANTOSACC@YAHOO.COM"/>
    <x v="4"/>
    <n v="1079.9213"/>
    <n v="5"/>
    <n v="1163.79"/>
    <n v="3.9161333999415802"/>
    <n v="609.91"/>
    <s v="IN"/>
    <n v="1"/>
    <n v="1307"/>
    <n v="1134"/>
    <n v="0.5"/>
    <n v="567"/>
  </r>
  <r>
    <x v="11"/>
    <s v="HÃ‰CTOR FERNANDO VÃZQUEZ BUENDÃA"/>
    <n v="21"/>
    <n v="36"/>
    <d v="1899-12-31T23:30:00"/>
    <s v="TRASLADOS.MX@MEDIAPRO.TV"/>
    <x v="0"/>
    <n v="1080.9744000000001"/>
    <n v="2.5"/>
    <n v="1163.79"/>
    <n v="1.9580666999707901"/>
    <n v="1158.8800000000001"/>
    <s v="AD"/>
    <n v="1"/>
    <n v="1281"/>
    <n v="1108"/>
    <n v="0"/>
    <n v="1108"/>
  </r>
  <r>
    <x v="11"/>
    <s v="ALBERTO MAXIMINO PEREZ PEREZ"/>
    <n v="35"/>
    <n v="36"/>
    <d v="1899-12-31T23:59:00"/>
    <s v="ALPEREZPE@GMAIL.COM"/>
    <x v="0"/>
    <n v="1080.5853"/>
    <n v="2.5"/>
    <n v="1163.79"/>
    <n v="1.9580666999707901"/>
    <n v="1158.8800000000001"/>
    <s v="AD"/>
    <n v="1"/>
    <n v="1280"/>
    <n v="1108"/>
    <n v="0"/>
    <n v="1108"/>
  </r>
  <r>
    <x v="11"/>
    <s v="FERNANDO SOTO"/>
    <n v="22"/>
    <n v="36"/>
    <d v="1899-12-31T23:30:00"/>
    <s v="C97915513@GMAIL.COM"/>
    <x v="3"/>
    <n v="1080.8286000000001"/>
    <n v="0"/>
    <n v="1163.79"/>
    <n v="0"/>
    <n v="1158.8800000000001"/>
    <s v="AD"/>
    <n v="1"/>
    <n v="1254"/>
    <n v="1081"/>
    <n v="0"/>
    <n v="1081"/>
  </r>
  <r>
    <x v="11"/>
    <s v="ROSALINA PEREZ BRIONES"/>
    <n v="35"/>
    <n v="36"/>
    <d v="1899-12-31T23:30:00"/>
    <s v="BRIONESRP@GMAIL.COM"/>
    <x v="2"/>
    <n v="1080.7931000000001"/>
    <n v="7"/>
    <n v="1163.79"/>
    <n v="5.4825867599182097"/>
    <n v="1097.8399999999999"/>
    <s v="AD"/>
    <n v="1"/>
    <n v="1329"/>
    <n v="1156"/>
    <n v="0"/>
    <n v="1156"/>
  </r>
  <r>
    <x v="11"/>
    <s v="EMANUEL SÃNCHEZ GINEZ"/>
    <n v="24"/>
    <n v="36"/>
    <d v="1899-12-31T02:00:00"/>
    <s v="KARLAPAOLA0101@GMAIL.COM"/>
    <x v="0"/>
    <n v="1081.019"/>
    <n v="2.5"/>
    <n v="1163.79"/>
    <n v="1.9580666999707901"/>
    <n v="1158.8800000000001"/>
    <s v="AD"/>
    <n v="1"/>
    <n v="1281"/>
    <n v="1108"/>
    <n v="0"/>
    <n v="1108"/>
  </r>
  <r>
    <x v="11"/>
    <s v="EMANUEL SÃNCHEZ GINEZ"/>
    <n v="24"/>
    <n v="36"/>
    <d v="1899-12-31T02:00:00"/>
    <s v="KARLAPAOLA0101@GMAIL.COM"/>
    <x v="0"/>
    <n v="1081.019"/>
    <n v="2.5"/>
    <n v="1163.79"/>
    <n v="1.9580666999707901"/>
    <n v="1158.8800000000001"/>
    <s v="AD"/>
    <n v="1"/>
    <n v="1281"/>
    <n v="1108"/>
    <n v="0"/>
    <n v="1108"/>
  </r>
  <r>
    <x v="11"/>
    <s v="EMANUEL SÃNCHEZ GINEZ"/>
    <n v="24"/>
    <n v="36"/>
    <d v="1899-12-31T02:00:00"/>
    <s v="KARLAPAOLA0101@GMAIL.COM"/>
    <x v="0"/>
    <n v="1081.019"/>
    <n v="2.5"/>
    <n v="1163.79"/>
    <n v="1.9580666999707901"/>
    <n v="1158.8800000000001"/>
    <s v="AD"/>
    <n v="1"/>
    <n v="1281"/>
    <n v="1108"/>
    <n v="0"/>
    <n v="1108"/>
  </r>
  <r>
    <x v="11"/>
    <s v="GODOFREDO MONTAÃ‘O ORTEGA"/>
    <n v="27"/>
    <n v="36"/>
    <d v="1899-12-31T02:00:00"/>
    <s v="KARLAPAOLA0101@GMAIL.COM"/>
    <x v="0"/>
    <n v="1080.9650999999999"/>
    <n v="2.5"/>
    <n v="1163.79"/>
    <n v="1.9580666999707901"/>
    <n v="1158.8800000000001"/>
    <s v="AD"/>
    <n v="1"/>
    <n v="1281"/>
    <n v="1108"/>
    <n v="0"/>
    <n v="1108"/>
  </r>
  <r>
    <x v="11"/>
    <s v="GODOFREDO MONTAÃ‘O ORTEGA"/>
    <n v="27"/>
    <n v="36"/>
    <d v="1899-12-31T02:00:00"/>
    <s v="KARLAPAOLA0101@GMAIL.COM"/>
    <x v="0"/>
    <n v="1080.9650999999999"/>
    <n v="2.5"/>
    <n v="1163.79"/>
    <n v="1.9580666999707901"/>
    <n v="1158.8800000000001"/>
    <s v="AD"/>
    <n v="1"/>
    <n v="1281"/>
    <n v="1108"/>
    <n v="0"/>
    <n v="1108"/>
  </r>
  <r>
    <x v="11"/>
    <s v="GODOFREDO MONTAÃ‘O ORTEGA"/>
    <n v="27"/>
    <n v="36"/>
    <d v="1899-12-31T02:00:00"/>
    <s v="KARLAPAOLA0101@GMAIL.COM"/>
    <x v="0"/>
    <n v="1080.9650999999999"/>
    <n v="2.5"/>
    <n v="1163.79"/>
    <n v="1.9580666999707901"/>
    <n v="1158.8800000000001"/>
    <s v="AD"/>
    <n v="1"/>
    <n v="1281"/>
    <n v="1108"/>
    <n v="0"/>
    <n v="1108"/>
  </r>
  <r>
    <x v="11"/>
    <s v="JESÃšS VALDEZ RODRIGUEZ"/>
    <n v="36"/>
    <n v="36"/>
    <d v="1899-12-31T02:00:00"/>
    <s v="KARLAPAOLA0101@GMAIL.COM"/>
    <x v="0"/>
    <n v="1080.8033"/>
    <n v="2.5"/>
    <n v="1163.79"/>
    <n v="1.9580666999707901"/>
    <n v="1158.8800000000001"/>
    <s v="AD"/>
    <n v="1"/>
    <n v="1281"/>
    <n v="1108"/>
    <n v="0"/>
    <n v="1108"/>
  </r>
  <r>
    <x v="11"/>
    <s v="JESÃšS VALDEZ RODRIGUEZ"/>
    <n v="36"/>
    <n v="36"/>
    <d v="1899-12-31T02:00:00"/>
    <s v="KARLAPAOLA0101@GMAIL.COM"/>
    <x v="0"/>
    <n v="1080.8033"/>
    <n v="2.5"/>
    <n v="1163.79"/>
    <n v="1.9580666999707901"/>
    <n v="1158.8800000000001"/>
    <s v="AD"/>
    <n v="1"/>
    <n v="1281"/>
    <n v="1108"/>
    <n v="0"/>
    <n v="1108"/>
  </r>
  <r>
    <x v="11"/>
    <s v="JESÃšS VALDEZ RODRIGUEZ"/>
    <n v="36"/>
    <n v="36"/>
    <d v="1899-12-31T02:00:00"/>
    <s v="KARLAPAOLA0101@GMAIL.COM"/>
    <x v="0"/>
    <n v="1080.8033"/>
    <n v="2.5"/>
    <n v="1163.79"/>
    <n v="1.9580666999707901"/>
    <n v="1158.8800000000001"/>
    <s v="AD"/>
    <n v="1"/>
    <n v="1281"/>
    <n v="1108"/>
    <n v="0"/>
    <n v="1108"/>
  </r>
  <r>
    <x v="11"/>
    <s v="FERNANDO LOBSANG CAMARGO GARCIA"/>
    <n v="7"/>
    <n v="36"/>
    <d v="1899-12-31T11:00:00"/>
    <s v="AGUSTIN.ALVAREZ@ENCOREGLOBAL.COM"/>
    <x v="2"/>
    <n v="1081.452"/>
    <n v="7"/>
    <n v="1163.79"/>
    <n v="5.4825867599182097"/>
    <n v="1158.8800000000001"/>
    <s v="AD"/>
    <n v="1"/>
    <n v="1330"/>
    <n v="1157"/>
    <n v="0"/>
    <n v="1157"/>
  </r>
  <r>
    <x v="11"/>
    <s v="ALEX EDUARDO VELASQUEZ GOMEZ"/>
    <n v="18"/>
    <n v="36"/>
    <d v="1899-12-31T23:30:00"/>
    <s v="ALEVELGOM@GMAIL.COM"/>
    <x v="0"/>
    <n v="1081.0272"/>
    <n v="2.5"/>
    <n v="1163.79"/>
    <n v="1.9580666999707901"/>
    <n v="1158.8800000000001"/>
    <s v="AD"/>
    <n v="1"/>
    <n v="1281"/>
    <n v="1108"/>
    <n v="0"/>
    <n v="1108"/>
  </r>
  <r>
    <x v="11"/>
    <s v="CLARA CAMARENA"/>
    <n v="24"/>
    <n v="36"/>
    <d v="1899-12-31T11:00:00"/>
    <s v="CLARA.CAMARENA.V@GMAIL.COM"/>
    <x v="2"/>
    <n v="1081.1507999999999"/>
    <n v="7"/>
    <n v="1163.79"/>
    <n v="5.4825867599182097"/>
    <n v="1097.8399999999999"/>
    <s v="AD"/>
    <n v="1"/>
    <n v="1330"/>
    <n v="1157"/>
    <n v="0"/>
    <n v="1157"/>
  </r>
  <r>
    <x v="11"/>
    <s v="ROGELIO MORALES VÃZQUEZ"/>
    <n v="27"/>
    <n v="36"/>
    <d v="1899-12-31T23:30:00"/>
    <s v="RMORALES@CUNSA.COM.MX"/>
    <x v="3"/>
    <n v="1080.7379000000001"/>
    <n v="0"/>
    <n v="1163.79"/>
    <n v="0"/>
    <n v="1158.8800000000001"/>
    <s v="AD"/>
    <n v="1"/>
    <n v="1254"/>
    <n v="1081"/>
    <n v="0"/>
    <n v="1081"/>
  </r>
  <r>
    <x v="11"/>
    <s v="VICTOR ZUÃ‘IGA"/>
    <n v="35"/>
    <n v="36"/>
    <d v="1899-12-31T02:00:00"/>
    <s v="victor.zuÃ±iga@ejemplo.com"/>
    <x v="5"/>
    <n v="1080.8073999999999"/>
    <n v="8.5"/>
    <n v="1163.79"/>
    <n v="6.6574267799006801"/>
    <n v="1219.83"/>
    <s v="AD"/>
    <n v="1"/>
    <n v="1346"/>
    <n v="1173"/>
    <n v="0"/>
    <n v="1173"/>
  </r>
  <r>
    <x v="11"/>
    <s v="ANGELICA LIZETH CAMPECHANO NAVARRO"/>
    <n v="19"/>
    <n v="36"/>
    <d v="1899-12-31T02:00:00"/>
    <s v="LIZETH14712@GMAIL.COM"/>
    <x v="0"/>
    <n v="1081.4429"/>
    <n v="2.5"/>
    <n v="1163.79"/>
    <n v="1.9580666999707901"/>
    <n v="1158.8800000000001"/>
    <s v="AD"/>
    <n v="1"/>
    <n v="1282"/>
    <n v="1108"/>
    <n v="0"/>
    <n v="1108"/>
  </r>
  <r>
    <x v="11"/>
    <s v="ARTURO CASTELAZO BARRIGA"/>
    <n v="21"/>
    <n v="36"/>
    <d v="1899-12-31T23:30:00"/>
    <s v="ARCHI_AMERICA10@HOTMAIL.COM"/>
    <x v="4"/>
    <n v="1080.9584"/>
    <n v="5"/>
    <n v="1163.79"/>
    <n v="3.9161333999415802"/>
    <n v="609.91"/>
    <s v="OD"/>
    <n v="1"/>
    <n v="1308"/>
    <n v="1135"/>
    <n v="0.5"/>
    <n v="567.5"/>
  </r>
  <r>
    <x v="11"/>
    <s v="HIROSHI SEKISAKA PÃ‰REZ"/>
    <n v="8"/>
    <n v="36"/>
    <d v="1899-12-31T23:30:00"/>
    <s v="TRAUMAYORTO11@GMAIL.COM"/>
    <x v="3"/>
    <n v="1081.211"/>
    <n v="0"/>
    <n v="1163.79"/>
    <n v="0"/>
    <n v="1158.8800000000001"/>
    <s v="AD"/>
    <n v="1"/>
    <n v="1254"/>
    <n v="1081"/>
    <n v="0"/>
    <n v="1081"/>
  </r>
  <r>
    <x v="11"/>
    <s v="HIROSHI SEKISAKA PÃ‰REZ"/>
    <n v="8"/>
    <n v="36"/>
    <d v="1899-12-31T23:30:00"/>
    <s v="KARENMTZA_CP@HOTMAIL.COM"/>
    <x v="3"/>
    <n v="1081.211"/>
    <n v="0"/>
    <n v="1163.79"/>
    <n v="0"/>
    <n v="1158.8800000000001"/>
    <s v="AD"/>
    <n v="1"/>
    <n v="1254"/>
    <n v="1081"/>
    <n v="0"/>
    <n v="1081"/>
  </r>
  <r>
    <x v="11"/>
    <s v="KAREN GUADALUPE MARTÃNEZ AVIÃ‘A"/>
    <n v="9"/>
    <n v="36"/>
    <d v="1899-12-31T23:30:00"/>
    <s v="TRAUMAYORTO11@GMAIL.COM"/>
    <x v="3"/>
    <n v="1081.1931"/>
    <n v="0"/>
    <n v="1163.79"/>
    <n v="0"/>
    <n v="1158.8800000000001"/>
    <s v="AD"/>
    <n v="1"/>
    <n v="1254"/>
    <n v="1081"/>
    <n v="0"/>
    <n v="1081"/>
  </r>
  <r>
    <x v="11"/>
    <s v="KAREN GUADALUPE MARTÃNEZ AVIÃ‘A"/>
    <n v="9"/>
    <n v="36"/>
    <d v="1899-12-31T23:30:00"/>
    <s v="KARENMTZA_CP@HOTMAIL.COM"/>
    <x v="3"/>
    <n v="1081.1931"/>
    <n v="0"/>
    <n v="1163.79"/>
    <n v="0"/>
    <n v="1158.8800000000001"/>
    <s v="AD"/>
    <n v="1"/>
    <n v="1254"/>
    <n v="1081"/>
    <n v="0"/>
    <n v="1081"/>
  </r>
  <r>
    <x v="11"/>
    <s v="JORGE   TAMAYO  SOLORIO"/>
    <n v="5"/>
    <n v="36"/>
    <d v="1899-12-31T23:30:00"/>
    <s v="jorge...tamayo..solorio@ejemplo.com"/>
    <x v="1"/>
    <n v="1081.2568000000001"/>
    <n v="10"/>
    <n v="1163.79"/>
    <n v="7.8322667998831603"/>
    <n v="609.91"/>
    <s v="NI"/>
    <n v="1"/>
    <n v="1362"/>
    <n v="1189"/>
    <n v="0.5"/>
    <n v="594.5"/>
  </r>
  <r>
    <x v="11"/>
    <s v="THALÃA FERNANDA COTA VALDEZ"/>
    <n v="33"/>
    <n v="36"/>
    <d v="1899-12-31T23:59:00"/>
    <s v="THALIACOTA@GMAIL.COM"/>
    <x v="0"/>
    <n v="1080.6283000000001"/>
    <n v="2.5"/>
    <n v="1163.79"/>
    <n v="1.9580666999707901"/>
    <n v="1158.8800000000001"/>
    <s v="AD"/>
    <n v="1"/>
    <n v="1281"/>
    <n v="1108"/>
    <n v="0"/>
    <n v="1108"/>
  </r>
  <r>
    <x v="11"/>
    <s v="ALEJANDRO BERGARA PEÃ‘A"/>
    <n v="13"/>
    <n v="36"/>
    <d v="1899-12-31T23:10:00"/>
    <s v="DIRECCION@TUASISTENCIA.MX"/>
    <x v="0"/>
    <n v="1081.3188"/>
    <n v="2.5"/>
    <n v="1163.79"/>
    <n v="1.9580666999707901"/>
    <n v="1097.8399999999999"/>
    <s v="AD"/>
    <n v="1"/>
    <n v="1281"/>
    <n v="1108"/>
    <n v="0"/>
    <n v="1108"/>
  </r>
  <r>
    <x v="11"/>
    <s v="ADAM CROUCH"/>
    <n v="21"/>
    <n v="36"/>
    <d v="1899-12-31T11:00:00"/>
    <s v="ADAMCROUCH77@YAHOO.CO.UK"/>
    <x v="2"/>
    <n v="1081.1986999999999"/>
    <n v="7"/>
    <n v="1163.79"/>
    <n v="5.4825867599182097"/>
    <n v="1158.8800000000001"/>
    <s v="AD"/>
    <n v="1"/>
    <n v="1330"/>
    <n v="1157"/>
    <n v="0"/>
    <n v="1157"/>
  </r>
  <r>
    <x v="11"/>
    <s v="VLADIMIR SARMIENTO PEREZ"/>
    <n v="2"/>
    <n v="36"/>
    <d v="1899-12-31T23:30:00"/>
    <s v="vladimir.sarmiento.perez@ejemplo.com"/>
    <x v="5"/>
    <n v="1081.3107"/>
    <n v="8.5"/>
    <n v="1163.79"/>
    <n v="6.6574267799006801"/>
    <n v="1219.83"/>
    <s v="AD"/>
    <n v="1"/>
    <n v="1346"/>
    <n v="1173"/>
    <n v="0"/>
    <n v="1173"/>
  </r>
  <r>
    <x v="11"/>
    <s v="ROSA MA DEL CARMEN RODRIGUEZ PEREZ"/>
    <n v="8"/>
    <n v="36"/>
    <d v="1899-12-31T23:59:00"/>
    <s v="rosa.ma.del.carmen.rodriguez.perez@ejemplo.com"/>
    <x v="4"/>
    <n v="1081.203"/>
    <n v="5"/>
    <n v="1163.79"/>
    <n v="3.9161333999415802"/>
    <n v="609.91"/>
    <s v="IN"/>
    <n v="1"/>
    <n v="1308"/>
    <n v="1135"/>
    <n v="0.5"/>
    <n v="567.5"/>
  </r>
  <r>
    <x v="11"/>
    <s v="LILIANA RODRIGUEZ RODRIGUEZ"/>
    <n v="14"/>
    <n v="36"/>
    <d v="1899-12-31T23:59:00"/>
    <s v="liliana.rodriguez.rodriguez@ejemplo.com"/>
    <x v="5"/>
    <n v="1081.0948000000001"/>
    <n v="8.5"/>
    <n v="1163.79"/>
    <n v="6.6574267799006801"/>
    <n v="1219.83"/>
    <s v="AD"/>
    <n v="1"/>
    <n v="1346"/>
    <n v="1173"/>
    <n v="0"/>
    <n v="1173"/>
  </r>
  <r>
    <x v="11"/>
    <s v="JOSE SANTOS  VAZQUEZ"/>
    <n v="25"/>
    <n v="36"/>
    <d v="1899-12-31T23:30:00"/>
    <s v="jose.santos..vazquez@ejemplo.com"/>
    <x v="5"/>
    <n v="1080.7786000000001"/>
    <n v="8.5"/>
    <n v="1163.79"/>
    <n v="6.6574267799006801"/>
    <n v="1219.83"/>
    <s v="AD"/>
    <n v="1"/>
    <n v="1346"/>
    <n v="1173"/>
    <n v="0"/>
    <n v="1173"/>
  </r>
  <r>
    <x v="11"/>
    <s v="ANDRES PEÃ‘ARANDA GASCA"/>
    <n v="3"/>
    <n v="36"/>
    <d v="1899-12-31T23:30:00"/>
    <s v="andres.peÃ±aranda.gasca@ejemplo.com"/>
    <x v="5"/>
    <n v="1081.2927999999999"/>
    <n v="8.5"/>
    <n v="1163.79"/>
    <n v="6.6574267799006801"/>
    <n v="1219.83"/>
    <s v="AD"/>
    <n v="1"/>
    <n v="1346"/>
    <n v="1173"/>
    <n v="0"/>
    <n v="1173"/>
  </r>
  <r>
    <x v="11"/>
    <s v="CESAR CRUZ CORDERO"/>
    <n v="4"/>
    <n v="36"/>
    <d v="1899-12-31T02:00:00"/>
    <s v="cesar.cruz.cordero@ejemplo.com"/>
    <x v="2"/>
    <n v="1081.3629000000001"/>
    <n v="7"/>
    <n v="1163.79"/>
    <n v="5.4825867599182097"/>
    <n v="1219.83"/>
    <s v="AD"/>
    <n v="1"/>
    <n v="1330"/>
    <n v="1157"/>
    <n v="0"/>
    <n v="1157"/>
  </r>
  <r>
    <x v="11"/>
    <s v="LUZ MARÃA RUIZ"/>
    <n v="10"/>
    <n v="36"/>
    <d v="1899-12-31T11:00:00"/>
    <s v="LUZMACSC43@GMAIL.COM"/>
    <x v="0"/>
    <n v="1081.3956000000001"/>
    <n v="2.5"/>
    <n v="1163.79"/>
    <n v="1.9580666999707901"/>
    <n v="1158.8800000000001"/>
    <s v="AD"/>
    <n v="1"/>
    <n v="1281"/>
    <n v="1108"/>
    <n v="0"/>
    <n v="1108"/>
  </r>
  <r>
    <x v="11"/>
    <s v="ZHUOZHENG CHEN"/>
    <n v="23"/>
    <n v="36"/>
    <d v="1899-12-31T23:30:00"/>
    <s v="zhuozheng.chen@ejemplo.com"/>
    <x v="5"/>
    <n v="1080.8141000000001"/>
    <n v="8.5"/>
    <n v="1163.79"/>
    <n v="6.6574267799006801"/>
    <n v="1219.83"/>
    <s v="AD"/>
    <n v="1"/>
    <n v="1346"/>
    <n v="1173"/>
    <n v="0"/>
    <n v="1173"/>
  </r>
  <r>
    <x v="11"/>
    <s v="ROBERTO DE ALBA"/>
    <n v="33"/>
    <n v="36"/>
    <d v="1899-12-31T23:30:00"/>
    <s v="roberto.de.alba@ejemplo.com"/>
    <x v="5"/>
    <n v="1080.6342"/>
    <n v="8.5"/>
    <n v="1163.79"/>
    <n v="6.6574267799006801"/>
    <n v="1219.83"/>
    <s v="AD"/>
    <n v="1"/>
    <n v="1345"/>
    <n v="1172"/>
    <n v="0"/>
    <n v="1172"/>
  </r>
  <r>
    <x v="11"/>
    <s v="HERMELINDA DE LOS SANTOS"/>
    <n v="34"/>
    <n v="36"/>
    <d v="1899-12-31T23:30:00"/>
    <s v="hermelinda.de.los.santos@ejemplo.com"/>
    <x v="5"/>
    <n v="1080.616"/>
    <n v="8.5"/>
    <n v="1163.79"/>
    <n v="6.6574267799006801"/>
    <n v="1219.83"/>
    <s v="AD"/>
    <n v="1"/>
    <n v="1345"/>
    <n v="1172"/>
    <n v="0"/>
    <n v="1172"/>
  </r>
  <r>
    <x v="11"/>
    <s v="CYNTHIA DE ALBA"/>
    <n v="12"/>
    <n v="36"/>
    <d v="1899-12-31T23:30:00"/>
    <s v="cynthia.de.alba@ejemplo.com"/>
    <x v="5"/>
    <n v="1081.1304"/>
    <n v="8.5"/>
    <n v="1163.79"/>
    <n v="6.6574267799006801"/>
    <n v="1219.83"/>
    <s v="AD"/>
    <n v="1"/>
    <n v="1346"/>
    <n v="1173"/>
    <n v="0"/>
    <n v="1173"/>
  </r>
  <r>
    <x v="11"/>
    <s v="VANIA REGINA MARIN ALARCÃ“N"/>
    <n v="16"/>
    <n v="36"/>
    <d v="1899-12-31T02:00:00"/>
    <s v="VANIAREGINAMARINALARCON@GMAIL.COM"/>
    <x v="0"/>
    <n v="1081.2920999999999"/>
    <n v="2.5"/>
    <n v="1163.79"/>
    <n v="1.9580666999707901"/>
    <n v="1158.8800000000001"/>
    <s v="AD"/>
    <n v="1"/>
    <n v="1281"/>
    <n v="1108"/>
    <n v="0"/>
    <n v="1108"/>
  </r>
  <r>
    <x v="11"/>
    <s v="SAID OMAR"/>
    <n v="34"/>
    <n v="36"/>
    <d v="1899-12-31T23:59:00"/>
    <s v="said.omar@ejemplo.com"/>
    <x v="5"/>
    <n v="1080.616"/>
    <n v="8.5"/>
    <n v="1163.79"/>
    <n v="6.6574267799006801"/>
    <n v="1219.83"/>
    <s v="AD"/>
    <n v="1"/>
    <n v="1345"/>
    <n v="1172"/>
    <n v="0"/>
    <n v="1172"/>
  </r>
  <r>
    <x v="12"/>
    <s v="DAVID ALFREDO SALDAÃ‘A VALADEZ"/>
    <n v="33"/>
    <n v="36"/>
    <d v="1899-12-31T02:00:00"/>
    <s v="david.alfredo.saldaÃ±a.valadez@ejemplo.com"/>
    <x v="2"/>
    <n v="1080.8407999999999"/>
    <n v="7"/>
    <n v="1163.79"/>
    <n v="5.4825867599182097"/>
    <n v="1219.83"/>
    <s v="AD"/>
    <n v="1"/>
    <n v="1329"/>
    <n v="1156"/>
    <n v="0"/>
    <n v="1156"/>
  </r>
  <r>
    <x v="12"/>
    <s v="DIEGO HERIBERTO RODRIGUEZ VALADEZ"/>
    <n v="34"/>
    <n v="36"/>
    <d v="1899-12-31T02:00:00"/>
    <s v="diego.heriberto.rodriguez.valadez@ejemplo.com"/>
    <x v="2"/>
    <n v="1080.8230000000001"/>
    <n v="7"/>
    <n v="1163.79"/>
    <n v="5.4825867599182097"/>
    <n v="1219.83"/>
    <s v="AD"/>
    <n v="1"/>
    <n v="1329"/>
    <n v="1156"/>
    <n v="0"/>
    <n v="1156"/>
  </r>
  <r>
    <x v="12"/>
    <s v="IGNACIO ARMANDO ROLON"/>
    <n v="19"/>
    <n v="36"/>
    <d v="1899-12-31T02:00:00"/>
    <s v="ignacio.armando.rolon@ejemplo.com"/>
    <x v="4"/>
    <n v="1081.2244000000001"/>
    <n v="5"/>
    <n v="1163.79"/>
    <n v="3.9161333999415802"/>
    <n v="609.91"/>
    <s v="IN"/>
    <n v="1"/>
    <n v="1308"/>
    <n v="1135"/>
    <n v="0.5"/>
    <n v="567.5"/>
  </r>
  <r>
    <x v="12"/>
    <s v="MARTHA EMILIA HERNANDEZ"/>
    <n v="20"/>
    <n v="36"/>
    <d v="1899-12-31T02:00:00"/>
    <s v="martha.emilia.hernandez@ejemplo.com"/>
    <x v="4"/>
    <n v="1081.2064"/>
    <n v="5"/>
    <n v="1163.79"/>
    <n v="3.9161333999415802"/>
    <n v="609.91"/>
    <s v="IN"/>
    <n v="1"/>
    <n v="1308"/>
    <n v="1135"/>
    <n v="0.5"/>
    <n v="567.5"/>
  </r>
  <r>
    <x v="12"/>
    <s v="DOLLY PINTO"/>
    <n v="7"/>
    <n v="36"/>
    <d v="1899-12-31T02:00:00"/>
    <s v="dolly.pinto@ejemplo.com"/>
    <x v="2"/>
    <n v="1081.44"/>
    <n v="7"/>
    <n v="1163.79"/>
    <n v="5.4825867599182097"/>
    <n v="1219.83"/>
    <s v="AD"/>
    <n v="1"/>
    <n v="1330"/>
    <n v="1157"/>
    <n v="0"/>
    <n v="1157"/>
  </r>
  <r>
    <x v="12"/>
    <s v="FRANCISCO DANIEL RIVERA HERNANDEZ"/>
    <n v="13"/>
    <n v="36"/>
    <d v="1899-12-31T02:00:00"/>
    <s v="DANIELHZZX@GMAIL.COM"/>
    <x v="3"/>
    <n v="1081.3453"/>
    <n v="0"/>
    <n v="1163.79"/>
    <n v="0"/>
    <n v="1158.8800000000001"/>
    <s v="AD"/>
    <n v="1"/>
    <n v="1254"/>
    <n v="1081"/>
    <n v="0"/>
    <n v="1081"/>
  </r>
  <r>
    <x v="12"/>
    <s v="CRISTIAN LARA"/>
    <n v="21"/>
    <n v="36"/>
    <d v="1899-12-31T02:00:00"/>
    <s v="cristian.lara@ejemplo.com"/>
    <x v="3"/>
    <n v="1081.2008000000001"/>
    <n v="0"/>
    <n v="1163.79"/>
    <n v="0"/>
    <n v="1158.8800000000001"/>
    <s v="AD"/>
    <n v="1"/>
    <n v="1254"/>
    <n v="1081"/>
    <n v="0"/>
    <n v="1081"/>
  </r>
  <r>
    <x v="12"/>
    <s v="MARISELA CENDEJAS HERNÃNDEZ"/>
    <n v="33"/>
    <n v="36"/>
    <d v="1899-12-31T23:30:00"/>
    <s v="RAULERNESTO08@GMAIL.COM"/>
    <x v="0"/>
    <n v="1080.6713999999999"/>
    <n v="2.5"/>
    <n v="1163.79"/>
    <n v="1.9580666999707901"/>
    <n v="1158.8800000000001"/>
    <s v="AD"/>
    <n v="1"/>
    <n v="1281"/>
    <n v="1108"/>
    <n v="0"/>
    <n v="1108"/>
  </r>
  <r>
    <x v="12"/>
    <s v="MELANIA TORRES ORTIZ"/>
    <n v="34"/>
    <n v="36"/>
    <d v="1899-12-31T23:30:00"/>
    <s v="RAULERNESTO08@GMAIL.COM"/>
    <x v="0"/>
    <n v="1080.6533999999999"/>
    <n v="2.5"/>
    <n v="1163.79"/>
    <n v="1.9580666999707901"/>
    <n v="609.91"/>
    <s v="IN"/>
    <n v="1"/>
    <n v="1281"/>
    <n v="1108"/>
    <n v="0.5"/>
    <n v="554"/>
  </r>
  <r>
    <x v="12"/>
    <s v="FRANCISCO EDUARDO BELLO DIAZ"/>
    <n v="13"/>
    <n v="35"/>
    <d v="1899-12-31T06:00:00"/>
    <s v="francisco.eduardo.bello.diaz@ejemplo.com"/>
    <x v="5"/>
    <n v="1081.3278"/>
    <n v="8.5"/>
    <n v="1163.79"/>
    <n v="6.6574267799006801"/>
    <n v="1219.83"/>
    <s v="AD"/>
    <n v="1"/>
    <n v="1346"/>
    <n v="1173"/>
    <n v="0"/>
    <n v="1173"/>
  </r>
  <r>
    <x v="12"/>
    <s v="YANET LAUREANO NAVA"/>
    <n v="5"/>
    <n v="35"/>
    <d v="1899-12-31T06:00:00"/>
    <s v="yanet.laureano.nava@ejemplo.com"/>
    <x v="1"/>
    <n v="1081.4708000000001"/>
    <n v="10"/>
    <n v="1163.79"/>
    <n v="7.8322667998831603"/>
    <n v="609.91"/>
    <s v="NI"/>
    <n v="1"/>
    <n v="1363"/>
    <n v="1190"/>
    <n v="0.5"/>
    <n v="595"/>
  </r>
  <r>
    <x v="12"/>
    <s v="ADRIAN LAUREANO TEOFILO"/>
    <n v="6"/>
    <n v="35"/>
    <d v="1899-12-31T06:00:00"/>
    <s v="adrian.laureano.teofilo@ejemplo.com"/>
    <x v="5"/>
    <n v="1081.4528"/>
    <n v="8.5"/>
    <n v="1163.79"/>
    <n v="6.6574267799006801"/>
    <n v="1219.83"/>
    <s v="AD"/>
    <n v="1"/>
    <n v="1346"/>
    <n v="1173"/>
    <n v="0"/>
    <n v="1173"/>
  </r>
  <r>
    <x v="12"/>
    <s v="MARILU NAVA"/>
    <n v="8"/>
    <n v="35"/>
    <d v="1899-12-31T06:00:00"/>
    <s v="marilu.nava@ejemplo.com"/>
    <x v="5"/>
    <n v="1081.4170999999999"/>
    <n v="8.5"/>
    <n v="1163.79"/>
    <n v="6.6574267799006801"/>
    <n v="1219.83"/>
    <s v="AD"/>
    <n v="1"/>
    <n v="1346"/>
    <n v="1173"/>
    <n v="0"/>
    <n v="1173"/>
  </r>
  <r>
    <x v="12"/>
    <s v="ANDRES LAUREANO"/>
    <n v="9"/>
    <n v="35"/>
    <d v="1899-12-31T06:00:00"/>
    <s v="andres.laureano@ejemplo.com"/>
    <x v="5"/>
    <n v="1081.3989999999999"/>
    <n v="8.5"/>
    <n v="1163.79"/>
    <n v="6.6574267799006801"/>
    <n v="1219.83"/>
    <s v="AD"/>
    <n v="1"/>
    <n v="1346"/>
    <n v="1173"/>
    <n v="0"/>
    <n v="1173"/>
  </r>
  <r>
    <x v="12"/>
    <s v="JOSE  ALFREDO   BANDILLA VILLA"/>
    <n v="24"/>
    <n v="35"/>
    <d v="1899-12-31T06:00:00"/>
    <s v="jose..alfredo...bandilla.villa@ejemplo.com"/>
    <x v="1"/>
    <n v="1080.9999"/>
    <n v="10"/>
    <n v="1163.79"/>
    <n v="7.8322667998831603"/>
    <n v="609.91"/>
    <s v="NI"/>
    <n v="1"/>
    <n v="1362"/>
    <n v="1189"/>
    <n v="0.5"/>
    <n v="594.5"/>
  </r>
  <r>
    <x v="12"/>
    <s v="MA. ALEJANDRINA ESPÃRITU OLMOS"/>
    <n v="18"/>
    <n v="36"/>
    <d v="1899-12-31T02:00:00"/>
    <s v="JANDRY373ALE@GMAIL.COM"/>
    <x v="4"/>
    <n v="1081.3003000000001"/>
    <n v="5"/>
    <n v="1163.79"/>
    <n v="3.9161333999415802"/>
    <n v="609.91"/>
    <s v="IN"/>
    <n v="1"/>
    <n v="1308"/>
    <n v="1135"/>
    <n v="0.5"/>
    <n v="567.5"/>
  </r>
  <r>
    <x v="12"/>
    <s v="JORGE ESCUDERO FUENTES"/>
    <n v="20"/>
    <n v="36"/>
    <d v="1899-12-31T11:00:00"/>
    <s v="CREDITOYCOBRANZA@GRUPOEDM.COM.MX"/>
    <x v="3"/>
    <n v="1081.2080000000001"/>
    <n v="0"/>
    <n v="1163.79"/>
    <n v="0"/>
    <n v="1158.8800000000001"/>
    <s v="AD"/>
    <n v="1"/>
    <n v="1254"/>
    <n v="1081"/>
    <n v="0"/>
    <n v="1081"/>
  </r>
  <r>
    <x v="12"/>
    <s v="JORGE ESCUDERO FUENTES"/>
    <n v="20"/>
    <n v="36"/>
    <d v="1899-12-31T11:00:00"/>
    <s v="CREDITOYCOBRANZA@GRUPOEDM.COM.MX"/>
    <x v="3"/>
    <n v="1081.2080000000001"/>
    <n v="0"/>
    <n v="1163.79"/>
    <n v="0"/>
    <n v="1158.8800000000001"/>
    <s v="AD"/>
    <n v="1"/>
    <n v="1254"/>
    <n v="1081"/>
    <n v="0"/>
    <n v="1081"/>
  </r>
  <r>
    <x v="12"/>
    <s v="JOSE ELÃAS MARTÃNEZ SOLIS"/>
    <n v="19"/>
    <n v="36"/>
    <d v="1899-12-31T11:00:00"/>
    <s v="CREDITOYCOBRANZA@GRUPOEDM.COM.MX"/>
    <x v="3"/>
    <n v="1081.2260000000001"/>
    <n v="0"/>
    <n v="1163.79"/>
    <n v="0"/>
    <n v="1158.8800000000001"/>
    <s v="AD"/>
    <n v="1"/>
    <n v="1254"/>
    <n v="1081"/>
    <n v="0"/>
    <n v="1081"/>
  </r>
  <r>
    <x v="12"/>
    <s v="JOSE ELÃAS MARTÃNEZ SOLIS"/>
    <n v="19"/>
    <n v="36"/>
    <d v="1899-12-31T11:00:00"/>
    <s v="CREDITOYCOBRANZA@GRUPOEDM.COM.MX"/>
    <x v="3"/>
    <n v="1081.2260000000001"/>
    <n v="0"/>
    <n v="1163.79"/>
    <n v="0"/>
    <n v="1158.8800000000001"/>
    <s v="AD"/>
    <n v="1"/>
    <n v="1254"/>
    <n v="1081"/>
    <n v="0"/>
    <n v="1081"/>
  </r>
  <r>
    <x v="12"/>
    <s v="VIRGINIA MARISOL ESLAVA"/>
    <n v="13"/>
    <n v="36"/>
    <d v="1899-12-31T11:00:00"/>
    <s v="virginia.marisol.eslava@ejemplo.com"/>
    <x v="1"/>
    <n v="1081.3214"/>
    <n v="10"/>
    <n v="1163.79"/>
    <n v="7.8322667998831603"/>
    <n v="609.91"/>
    <s v="NI"/>
    <n v="1"/>
    <n v="1362"/>
    <n v="1189"/>
    <n v="0.5"/>
    <n v="594.5"/>
  </r>
  <r>
    <x v="12"/>
    <s v="MARIA ESTELA REGALADO"/>
    <n v="16"/>
    <n v="36"/>
    <d v="1899-12-31T11:00:00"/>
    <s v="maria.estela.regalado@ejemplo.com"/>
    <x v="1"/>
    <n v="1081.2668000000001"/>
    <n v="10"/>
    <n v="1163.79"/>
    <n v="7.8322667998831603"/>
    <n v="609.91"/>
    <s v="NI"/>
    <n v="1"/>
    <n v="1362"/>
    <n v="1189"/>
    <n v="0.5"/>
    <n v="594.5"/>
  </r>
  <r>
    <x v="12"/>
    <s v="LUIS MILLARES"/>
    <n v="36"/>
    <n v="36"/>
    <d v="1899-12-31T11:00:00"/>
    <s v="VICLEON1984@GMAIL.COM"/>
    <x v="2"/>
    <n v="1080.924"/>
    <n v="7"/>
    <n v="1163.79"/>
    <n v="5.4825867599182097"/>
    <n v="1158.8800000000001"/>
    <s v="AD"/>
    <n v="1"/>
    <n v="1330"/>
    <n v="1157"/>
    <n v="0"/>
    <n v="1157"/>
  </r>
  <r>
    <x v="12"/>
    <s v="GLORIA VERGARA PONCE"/>
    <n v="32"/>
    <n v="36"/>
    <d v="1899-12-31T11:00:00"/>
    <s v="gloria.vergara.ponce@ejemplo.com"/>
    <x v="4"/>
    <n v="1080.9779000000001"/>
    <n v="5"/>
    <n v="1163.79"/>
    <n v="3.9161333999415802"/>
    <n v="609.91"/>
    <s v="IN"/>
    <n v="1"/>
    <n v="1308"/>
    <n v="1135"/>
    <n v="0.5"/>
    <n v="567.5"/>
  </r>
  <r>
    <x v="12"/>
    <s v="ADONAY ORTIZ HERNANDEZ"/>
    <n v="35"/>
    <n v="36"/>
    <d v="1899-12-31T23:10:00"/>
    <s v="adonay.ortiz.hernandez@ejemplo.com"/>
    <x v="1"/>
    <n v="1080.6193000000001"/>
    <n v="10"/>
    <n v="1163.79"/>
    <n v="7.8322667998831603"/>
    <n v="609.91"/>
    <s v="NI"/>
    <n v="1"/>
    <n v="1362"/>
    <n v="1189"/>
    <n v="0.5"/>
    <n v="594.5"/>
  </r>
  <r>
    <x v="12"/>
    <s v="EDGAR ZÃRATE LÃ“PEZ"/>
    <n v="17"/>
    <n v="36"/>
    <d v="1899-12-31T02:00:00"/>
    <s v="EZLOPEZ8604@OUTLOOK.COM"/>
    <x v="0"/>
    <n v="1081.2599"/>
    <n v="2.5"/>
    <n v="1163.79"/>
    <n v="1.9580666999707901"/>
    <n v="1158.8800000000001"/>
    <s v="AD"/>
    <n v="1"/>
    <n v="1281"/>
    <n v="1108"/>
    <n v="0"/>
    <n v="1108"/>
  </r>
  <r>
    <x v="12"/>
    <s v="ELSA CRISTINA FERNANDEZ SANTANA"/>
    <n v="20"/>
    <n v="36"/>
    <d v="1899-12-31T23:59:00"/>
    <s v="ELSACRISTINA60@GMAIL.COM"/>
    <x v="4"/>
    <n v="1080.9650999999999"/>
    <n v="5"/>
    <n v="1163.79"/>
    <n v="3.9161333999415802"/>
    <n v="609.91"/>
    <s v="IN"/>
    <n v="1"/>
    <n v="1308"/>
    <n v="1135"/>
    <n v="0.5"/>
    <n v="567.5"/>
  </r>
  <r>
    <x v="12"/>
    <s v="ELSA CRISTINA FERNANDEZ SANTANA"/>
    <n v="20"/>
    <n v="36"/>
    <d v="1899-12-31T23:59:00"/>
    <s v="ELSACRISTINA60@GMAIL.COM"/>
    <x v="4"/>
    <n v="1080.9650999999999"/>
    <n v="5"/>
    <n v="1163.79"/>
    <n v="3.9161333999415802"/>
    <n v="609.91"/>
    <s v="IN"/>
    <n v="1"/>
    <n v="1308"/>
    <n v="1135"/>
    <n v="0.5"/>
    <n v="567.5"/>
  </r>
  <r>
    <x v="12"/>
    <s v="NORMA FERNANDEZ SANTANA"/>
    <n v="19"/>
    <n v="36"/>
    <d v="1899-12-31T23:59:00"/>
    <s v="ELSACRISTINA60@GMAIL.COM"/>
    <x v="4"/>
    <n v="1080.9833000000001"/>
    <n v="5"/>
    <n v="1163.79"/>
    <n v="3.9161333999415802"/>
    <n v="609.91"/>
    <s v="IN"/>
    <n v="1"/>
    <n v="1308"/>
    <n v="1135"/>
    <n v="0.5"/>
    <n v="567.5"/>
  </r>
  <r>
    <x v="12"/>
    <s v="NORMA FERNANDEZ SANTANA"/>
    <n v="19"/>
    <n v="36"/>
    <d v="1899-12-31T23:59:00"/>
    <s v="ELSACRISTINA60@GMAIL.COM"/>
    <x v="4"/>
    <n v="1080.9833000000001"/>
    <n v="5"/>
    <n v="1163.79"/>
    <n v="3.9161333999415802"/>
    <n v="609.91"/>
    <s v="IN"/>
    <n v="1"/>
    <n v="1308"/>
    <n v="1135"/>
    <n v="0.5"/>
    <n v="567.5"/>
  </r>
  <r>
    <x v="12"/>
    <s v="GUILLERMO MENDOZA"/>
    <n v="8"/>
    <n v="36"/>
    <d v="1899-12-31T06:00:00"/>
    <s v="guillermo.mendoza@ejemplo.com"/>
    <x v="4"/>
    <n v="1081.4536000000001"/>
    <n v="5"/>
    <n v="1163.79"/>
    <n v="3.9161333999415802"/>
    <n v="609.91"/>
    <s v="IN"/>
    <n v="1"/>
    <n v="1309"/>
    <n v="1136"/>
    <n v="0.5"/>
    <n v="568"/>
  </r>
  <r>
    <x v="12"/>
    <s v="SILVIA HERNANDEZ"/>
    <n v="9"/>
    <n v="36"/>
    <d v="1899-12-31T06:00:00"/>
    <s v="silvia.hernandez@ejemplo.com"/>
    <x v="4"/>
    <n v="1081.4355"/>
    <n v="5"/>
    <n v="1163.79"/>
    <n v="3.9161333999415802"/>
    <n v="609.91"/>
    <s v="IN"/>
    <n v="1"/>
    <n v="1309"/>
    <n v="1136"/>
    <n v="0.5"/>
    <n v="568"/>
  </r>
  <r>
    <x v="12"/>
    <s v="ANDREA FERNÃNDEZ BARROETA"/>
    <n v="1"/>
    <n v="36"/>
    <d v="1899-12-31T06:00:00"/>
    <s v="ANDREA.FERNANDEZ@LDRSOLUTIONS.COM.MX"/>
    <x v="2"/>
    <n v="1081.7528"/>
    <n v="7"/>
    <n v="1163.79"/>
    <n v="5.4825867599182097"/>
    <n v="1158.8800000000001"/>
    <s v="AD"/>
    <n v="1"/>
    <n v="1331"/>
    <n v="1157"/>
    <n v="0"/>
    <n v="1157"/>
  </r>
  <r>
    <x v="12"/>
    <s v="RAFAEL ALEJANDRO TORRES TINAJERO"/>
    <n v="13"/>
    <n v="36"/>
    <d v="1899-12-31T02:00:00"/>
    <s v="AAMENDOZAMARTINEZ03@GMAIL.COM"/>
    <x v="0"/>
    <n v="1081.3309999999999"/>
    <n v="2.5"/>
    <n v="1163.79"/>
    <n v="1.9580666999707901"/>
    <n v="1158.8800000000001"/>
    <s v="AD"/>
    <n v="1"/>
    <n v="1281"/>
    <n v="1108"/>
    <n v="0"/>
    <n v="1108"/>
  </r>
  <r>
    <x v="12"/>
    <s v="DANIELAPAOLA PADILLA"/>
    <n v="16"/>
    <n v="35"/>
    <d v="1899-12-31T23:30:00"/>
    <s v="DANNY.PAOM@GMAIL.COM"/>
    <x v="2"/>
    <n v="1080.9132999999999"/>
    <n v="7"/>
    <n v="1163.79"/>
    <n v="5.4825867599182097"/>
    <n v="1158.8800000000001"/>
    <s v="AD"/>
    <n v="1"/>
    <n v="1330"/>
    <n v="1157"/>
    <n v="0"/>
    <n v="1157"/>
  </r>
  <r>
    <x v="12"/>
    <s v="MIGUEL ANGEL POLANCO MARTINEZ"/>
    <n v="16"/>
    <n v="36"/>
    <d v="1899-12-31T02:00:00"/>
    <s v="MAPOLANCO010305@GMAIL.COM"/>
    <x v="2"/>
    <n v="1081.2772"/>
    <n v="7"/>
    <n v="1163.79"/>
    <n v="5.4825867599182097"/>
    <n v="1158.8800000000001"/>
    <s v="AD"/>
    <n v="1"/>
    <n v="1330"/>
    <n v="1157"/>
    <n v="0"/>
    <n v="1157"/>
  </r>
  <r>
    <x v="12"/>
    <s v="MARTIN PAMILA SANCHEZ"/>
    <n v="18"/>
    <n v="36"/>
    <d v="1899-12-31T23:59:00"/>
    <s v="MARTINPAMILA8LM@GMAIL.COM"/>
    <x v="3"/>
    <n v="1081.0139999999999"/>
    <n v="0"/>
    <n v="1163.79"/>
    <n v="0"/>
    <n v="1158.8800000000001"/>
    <s v="AD"/>
    <n v="1"/>
    <n v="1254"/>
    <n v="1081"/>
    <n v="0"/>
    <n v="1081"/>
  </r>
  <r>
    <x v="12"/>
    <s v="ANGEL GUADALUPE ALEGRIA GUERRERO"/>
    <n v="18"/>
    <n v="36"/>
    <d v="1899-12-31T23:30:00"/>
    <s v="SANCHEZCAMACHOJORGE@GMAIL.COM"/>
    <x v="0"/>
    <n v="1081.0657000000001"/>
    <n v="2.5"/>
    <n v="1163.79"/>
    <n v="1.9580666999707901"/>
    <n v="1158.8800000000001"/>
    <s v="AD"/>
    <n v="1"/>
    <n v="1281"/>
    <n v="1108"/>
    <n v="0"/>
    <n v="1108"/>
  </r>
  <r>
    <x v="12"/>
    <s v="ANTONIO TOMÃS MACARIO"/>
    <n v="21"/>
    <n v="36"/>
    <d v="1899-12-31T23:30:00"/>
    <s v="SANCHEZCAMACHOJORGE@GMAIL.COM"/>
    <x v="0"/>
    <n v="1081.0118"/>
    <n v="2.5"/>
    <n v="1163.79"/>
    <n v="1.9580666999707901"/>
    <n v="1158.8800000000001"/>
    <s v="AD"/>
    <n v="1"/>
    <n v="1281"/>
    <n v="1108"/>
    <n v="0"/>
    <n v="1108"/>
  </r>
  <r>
    <x v="12"/>
    <s v="GERARDO SANCHEZ MOCINOS"/>
    <n v="17"/>
    <n v="36"/>
    <d v="1899-12-31T23:30:00"/>
    <s v="SANCHEZCAMACHOJORGE@GMAIL.COM"/>
    <x v="0"/>
    <n v="1081.0836999999999"/>
    <n v="2.5"/>
    <n v="1163.79"/>
    <n v="1.9580666999707901"/>
    <n v="1158.8800000000001"/>
    <s v="AD"/>
    <n v="1"/>
    <n v="1281"/>
    <n v="1108"/>
    <n v="0"/>
    <n v="1108"/>
  </r>
  <r>
    <x v="12"/>
    <s v="VÃCTOR MAURO SILVESTRE VIVANCO"/>
    <n v="24"/>
    <n v="36"/>
    <d v="1899-12-31T23:30:00"/>
    <s v="SANCHEZCAMACHOJORGE@GMAIL.COM"/>
    <x v="0"/>
    <n v="1080.8253"/>
    <n v="2.5"/>
    <n v="1163.79"/>
    <n v="1.9580666999707901"/>
    <n v="1158.8800000000001"/>
    <s v="AD"/>
    <n v="1"/>
    <n v="1281"/>
    <n v="1108"/>
    <n v="0"/>
    <n v="1108"/>
  </r>
  <r>
    <x v="12"/>
    <s v="REYNA GISELA HERNANDEZ GRESS"/>
    <n v="16"/>
    <n v="36"/>
    <d v="1899-12-31T23:59:00"/>
    <s v="EDGAR.CAMPOSH@ICLOUD.COM"/>
    <x v="4"/>
    <n v="1081.1011000000001"/>
    <n v="5"/>
    <n v="1163.79"/>
    <n v="3.9161333999415802"/>
    <n v="609.91"/>
    <s v="IN"/>
    <n v="1"/>
    <n v="1308"/>
    <n v="1135"/>
    <n v="0.5"/>
    <n v="567.5"/>
  </r>
  <r>
    <x v="12"/>
    <s v="FELIX RAMIREZ SANTOS"/>
    <n v="4"/>
    <n v="36"/>
    <d v="1899-12-31T23:10:00"/>
    <s v="LRUBI@MGC.COM.MX"/>
    <x v="2"/>
    <n v="1081.1746000000001"/>
    <n v="7"/>
    <n v="1163.79"/>
    <n v="5.4825867599182097"/>
    <n v="1158.8800000000001"/>
    <s v="AD"/>
    <n v="1"/>
    <n v="1330"/>
    <n v="1157"/>
    <n v="0"/>
    <n v="1157"/>
  </r>
  <r>
    <x v="12"/>
    <s v="ARMANDO GARCÃA HERNÃNDEZ"/>
    <n v="23"/>
    <n v="36"/>
    <d v="1899-12-31T06:00:00"/>
    <s v="ALEJANDRAGRIS131116@GMAIL.COM"/>
    <x v="0"/>
    <n v="1081.0718999999999"/>
    <n v="2.5"/>
    <n v="1163.79"/>
    <n v="1.9580666999707901"/>
    <n v="1158.8800000000001"/>
    <s v="AD"/>
    <n v="1"/>
    <n v="1281"/>
    <n v="1108"/>
    <n v="0"/>
    <n v="1108"/>
  </r>
  <r>
    <x v="12"/>
    <s v="CELESTINO ROJAS MENDOZA"/>
    <n v="27"/>
    <n v="36"/>
    <d v="1899-12-31T06:00:00"/>
    <s v="ALEJANDRAGRIS131116@GMAIL.COM"/>
    <x v="0"/>
    <n v="1081"/>
    <n v="2.5"/>
    <n v="1163.79"/>
    <n v="1.9580666999707901"/>
    <n v="1158.8800000000001"/>
    <s v="AD"/>
    <n v="1"/>
    <n v="1281"/>
    <n v="1108"/>
    <n v="0"/>
    <n v="1108"/>
  </r>
  <r>
    <x v="12"/>
    <s v="CESAR ROJAS QUIJADA"/>
    <n v="22"/>
    <n v="36"/>
    <d v="1899-12-31T06:00:00"/>
    <s v="ALEJANDRAGRIS131116@GMAIL.COM"/>
    <x v="0"/>
    <n v="1081.0898"/>
    <n v="2.5"/>
    <n v="1163.79"/>
    <n v="1.9580666999707901"/>
    <n v="1158.8800000000001"/>
    <s v="AD"/>
    <n v="1"/>
    <n v="1281"/>
    <n v="1108"/>
    <n v="0"/>
    <n v="1108"/>
  </r>
  <r>
    <x v="12"/>
    <s v="EDUARDO SILVA SÃNCHEZ"/>
    <n v="24"/>
    <n v="36"/>
    <d v="1899-12-31T06:00:00"/>
    <s v="ALEJANDRAGRIS131116@GMAIL.COM"/>
    <x v="0"/>
    <n v="1081.0537999999999"/>
    <n v="2.5"/>
    <n v="1163.79"/>
    <n v="1.9580666999707901"/>
    <n v="1158.8800000000001"/>
    <s v="AD"/>
    <n v="1"/>
    <n v="1281"/>
    <n v="1108"/>
    <n v="0"/>
    <n v="1108"/>
  </r>
  <r>
    <x v="12"/>
    <s v="FRANCISCO JAIR GARCÃA ROJAS"/>
    <n v="25"/>
    <n v="36"/>
    <d v="1899-12-31T06:00:00"/>
    <s v="ALEJANDRAGRIS131116@GMAIL.COM"/>
    <x v="0"/>
    <n v="1081.0361"/>
    <n v="2.5"/>
    <n v="1163.79"/>
    <n v="1.9580666999707901"/>
    <n v="1158.8800000000001"/>
    <s v="AD"/>
    <n v="1"/>
    <n v="1281"/>
    <n v="1108"/>
    <n v="0"/>
    <n v="1108"/>
  </r>
  <r>
    <x v="12"/>
    <s v="MARCO ANTONIO PINEDA PÃ‰REZ"/>
    <n v="26"/>
    <n v="36"/>
    <d v="1899-12-31T06:00:00"/>
    <s v="ALEJANDRAGRIS131116@GMAIL.COM"/>
    <x v="0"/>
    <n v="1081.018"/>
    <n v="2.5"/>
    <n v="1163.79"/>
    <n v="1.9580666999707901"/>
    <n v="1158.8800000000001"/>
    <s v="AD"/>
    <n v="1"/>
    <n v="1281"/>
    <n v="1108"/>
    <n v="0"/>
    <n v="1108"/>
  </r>
  <r>
    <x v="12"/>
    <s v="PEDRO FERNÃNDEZ YAÃ‘EZ"/>
    <n v="21"/>
    <n v="36"/>
    <d v="1899-12-31T06:00:00"/>
    <s v="ALEJANDRAGRIS131116@GMAIL.COM"/>
    <x v="0"/>
    <n v="1081.2406000000001"/>
    <n v="2.5"/>
    <n v="1163.79"/>
    <n v="1.9580666999707901"/>
    <n v="1158.8800000000001"/>
    <s v="AD"/>
    <n v="1"/>
    <n v="1281"/>
    <n v="1108"/>
    <n v="0"/>
    <n v="1108"/>
  </r>
  <r>
    <x v="12"/>
    <s v="ROBERTO MORALES"/>
    <n v="1"/>
    <n v="36"/>
    <d v="1899-12-31T23:59:00"/>
    <s v="roberto.morales@ejemplo.com"/>
    <x v="2"/>
    <n v="1081.4431999999999"/>
    <n v="7"/>
    <n v="1163.79"/>
    <n v="5.4825867599182097"/>
    <n v="1219.83"/>
    <s v="AD"/>
    <n v="1"/>
    <n v="1330"/>
    <n v="1157"/>
    <n v="0"/>
    <n v="1157"/>
  </r>
  <r>
    <x v="12"/>
    <s v="CESAR MORALES"/>
    <n v="2"/>
    <n v="36"/>
    <d v="1899-12-31T23:59:00"/>
    <s v="cesar.morales@ejemplo.com"/>
    <x v="2"/>
    <n v="1081.4253000000001"/>
    <n v="7"/>
    <n v="1163.79"/>
    <n v="5.4825867599182097"/>
    <n v="1219.83"/>
    <s v="AD"/>
    <n v="1"/>
    <n v="1330"/>
    <n v="1157"/>
    <n v="0"/>
    <n v="1157"/>
  </r>
  <r>
    <x v="12"/>
    <s v="JOSE ISRAEL GARRIDO ORTEGA"/>
    <n v="21"/>
    <n v="36"/>
    <d v="1899-12-31T23:59:00"/>
    <s v="ISRAELSOSA024@GMAIL.COM"/>
    <x v="3"/>
    <n v="1080.9592"/>
    <n v="0"/>
    <n v="1163.79"/>
    <n v="0"/>
    <n v="1158.8800000000001"/>
    <s v="AD"/>
    <n v="1"/>
    <n v="1254"/>
    <n v="1081"/>
    <n v="0"/>
    <n v="1081"/>
  </r>
  <r>
    <x v="12"/>
    <s v="JORGE E SÃNCHEZ TAPIA"/>
    <n v="13"/>
    <n v="35"/>
    <d v="1899-12-31T23:30:00"/>
    <s v="JESANCHEZTAPIA@GMAIL.COM"/>
    <x v="0"/>
    <n v="1081.0980999999999"/>
    <n v="2.5"/>
    <n v="1163.79"/>
    <n v="1.9580666999707901"/>
    <n v="1082.33"/>
    <s v="AD"/>
    <n v="1"/>
    <n v="1281"/>
    <n v="1108"/>
    <n v="0"/>
    <n v="1108"/>
  </r>
  <r>
    <x v="12"/>
    <s v="AMANDA JULIETA SANDOVAL ORTIZ"/>
    <n v="13"/>
    <n v="36"/>
    <d v="1899-12-31T23:30:00"/>
    <s v="MANDYSSANDOVAL@YAHOO.COM.MX"/>
    <x v="0"/>
    <n v="1081.1031"/>
    <n v="2.5"/>
    <n v="1163.79"/>
    <n v="1.9580666999707901"/>
    <n v="1158.8800000000001"/>
    <s v="AD"/>
    <n v="1"/>
    <n v="1281"/>
    <n v="1108"/>
    <n v="0"/>
    <n v="1108"/>
  </r>
  <r>
    <x v="12"/>
    <s v="JOAQUIN PEREZ ESCOBEDO"/>
    <n v="10"/>
    <n v="36"/>
    <d v="1899-12-31T02:00:00"/>
    <s v="SABIDURIA.LIQUIDA@HOTMAIL.COM"/>
    <x v="2"/>
    <n v="1081.3825999999999"/>
    <n v="7"/>
    <n v="1163.79"/>
    <n v="5.4825867599182097"/>
    <n v="1158.8800000000001"/>
    <s v="AD"/>
    <n v="1"/>
    <n v="1330"/>
    <n v="1157"/>
    <n v="0"/>
    <n v="1157"/>
  </r>
  <r>
    <x v="12"/>
    <s v="SANTIAGO GALLEGO HINCAPIE"/>
    <n v="24"/>
    <n v="27"/>
    <d v="1899-12-31T06:00:00"/>
    <s v="SGALLEGOHINCAPIE@GMAIL.COM"/>
    <x v="0"/>
    <n v="1080.9965999999999"/>
    <n v="2.5"/>
    <n v="1163.79"/>
    <n v="1.9580666999707901"/>
    <n v="1158.8800000000001"/>
    <s v="AD"/>
    <n v="1"/>
    <n v="1281"/>
    <n v="1108"/>
    <n v="0"/>
    <n v="1108"/>
  </r>
  <r>
    <x v="12"/>
    <s v="CESAR PEREZ ROMERO"/>
    <n v="24"/>
    <n v="36"/>
    <d v="1899-12-31T23:30:00"/>
    <s v="THECHOSEN1_CPR@HOTMAIL.COM"/>
    <x v="0"/>
    <n v="1080.7711999999999"/>
    <n v="2.5"/>
    <n v="1163.79"/>
    <n v="1.9580666999707901"/>
    <n v="1158.8800000000001"/>
    <s v="AD"/>
    <n v="1"/>
    <n v="1281"/>
    <n v="1108"/>
    <n v="0"/>
    <n v="1108"/>
  </r>
  <r>
    <x v="12"/>
    <s v="MIGUEL ANGEL SERRATO ROJAS"/>
    <n v="1"/>
    <n v="36"/>
    <d v="1899-12-31T23:59:00"/>
    <s v="SAM_UP04@HOTMAIL.COM"/>
    <x v="4"/>
    <n v="1081.3688999999999"/>
    <n v="5"/>
    <n v="1163.79"/>
    <n v="3.9161333999415802"/>
    <n v="609.91"/>
    <s v="IN"/>
    <n v="1"/>
    <n v="1308"/>
    <n v="1135"/>
    <n v="0.5"/>
    <n v="567.5"/>
  </r>
  <r>
    <x v="12"/>
    <s v="PAOLO STEFANONI PINTO"/>
    <n v="32"/>
    <n v="36"/>
    <d v="1899-12-31T02:00:00"/>
    <s v="PAOLO.OLSON@GMAIL.COM"/>
    <x v="0"/>
    <n v="1080.854"/>
    <n v="2.5"/>
    <n v="1163.79"/>
    <n v="1.9580666999707901"/>
    <n v="1158.8800000000001"/>
    <s v="AD"/>
    <n v="1"/>
    <n v="1281"/>
    <n v="1108"/>
    <n v="0"/>
    <n v="1108"/>
  </r>
  <r>
    <x v="12"/>
    <s v="SALVADOR ANDREI GUTIERREZ"/>
    <n v="36"/>
    <n v="36"/>
    <d v="1899-12-31T11:00:00"/>
    <s v="salvador.andrei.gutierrez@ejemplo.com"/>
    <x v="0"/>
    <n v="1080.8342"/>
    <n v="2.5"/>
    <n v="1163.79"/>
    <n v="1.9580666999707901"/>
    <n v="1158.8800000000001"/>
    <s v="AD"/>
    <n v="1"/>
    <n v="1281"/>
    <n v="1108"/>
    <n v="0"/>
    <n v="1108"/>
  </r>
  <r>
    <x v="12"/>
    <s v="HASSIEL ARAGON GARCIA"/>
    <n v="21"/>
    <n v="36"/>
    <d v="1899-12-31T02:00:00"/>
    <s v="J.SYMA.TSE@GMAIL.COM"/>
    <x v="0"/>
    <n v="1081.1842999999999"/>
    <n v="2.5"/>
    <n v="1163.79"/>
    <n v="1.9580666999707901"/>
    <n v="1158.8800000000001"/>
    <s v="AD"/>
    <n v="1"/>
    <n v="1281"/>
    <n v="1108"/>
    <n v="0"/>
    <n v="1108"/>
  </r>
  <r>
    <x v="12"/>
    <s v="HASSIEL ARAGON GARCIA"/>
    <n v="21"/>
    <n v="36"/>
    <d v="1899-12-31T02:00:00"/>
    <s v="J.SYMA.TSE@GMAIL.COM"/>
    <x v="0"/>
    <n v="1081.1842999999999"/>
    <n v="2.5"/>
    <n v="1163.79"/>
    <n v="1.9580666999707901"/>
    <n v="1158.8800000000001"/>
    <s v="AD"/>
    <n v="1"/>
    <n v="1281"/>
    <n v="1108"/>
    <n v="0"/>
    <n v="1108"/>
  </r>
  <r>
    <x v="12"/>
    <s v="HASSIEL ARAGON GARCIA"/>
    <n v="21"/>
    <n v="36"/>
    <d v="1899-12-31T02:00:00"/>
    <s v="J.SYMA.TSE@GMAIL.COM"/>
    <x v="0"/>
    <n v="1081.1842999999999"/>
    <n v="2.5"/>
    <n v="1163.79"/>
    <n v="1.9580666999707901"/>
    <n v="1158.8800000000001"/>
    <s v="AD"/>
    <n v="1"/>
    <n v="1281"/>
    <n v="1108"/>
    <n v="0"/>
    <n v="1108"/>
  </r>
  <r>
    <x v="12"/>
    <s v="ISAIAS HERNANDEZ FLORES"/>
    <n v="27"/>
    <n v="36"/>
    <d v="1899-12-31T02:00:00"/>
    <s v="J.SYMA.TSE@GMAIL.COM"/>
    <x v="0"/>
    <n v="1080.9438"/>
    <n v="2.5"/>
    <n v="1163.79"/>
    <n v="1.9580666999707901"/>
    <n v="1158.8800000000001"/>
    <s v="AD"/>
    <n v="1"/>
    <n v="1281"/>
    <n v="1108"/>
    <n v="0"/>
    <n v="1108"/>
  </r>
  <r>
    <x v="12"/>
    <s v="ISAIAS HERNANDEZ FLORES"/>
    <n v="27"/>
    <n v="36"/>
    <d v="1899-12-31T02:00:00"/>
    <s v="J.SYMA.TSE@GMAIL.COM"/>
    <x v="0"/>
    <n v="1080.9438"/>
    <n v="2.5"/>
    <n v="1163.79"/>
    <n v="1.9580666999707901"/>
    <n v="1158.8800000000001"/>
    <s v="AD"/>
    <n v="1"/>
    <n v="1281"/>
    <n v="1108"/>
    <n v="0"/>
    <n v="1108"/>
  </r>
  <r>
    <x v="12"/>
    <s v="ISAIAS HERNANDEZ FLORES"/>
    <n v="27"/>
    <n v="36"/>
    <d v="1899-12-31T02:00:00"/>
    <s v="J.SYMA.TSE@GMAIL.COM"/>
    <x v="0"/>
    <n v="1080.9438"/>
    <n v="2.5"/>
    <n v="1163.79"/>
    <n v="1.9580666999707901"/>
    <n v="1158.8800000000001"/>
    <s v="AD"/>
    <n v="1"/>
    <n v="1281"/>
    <n v="1108"/>
    <n v="0"/>
    <n v="1108"/>
  </r>
  <r>
    <x v="12"/>
    <s v="JORGE ARMANDO HERNANDEZ MORALES"/>
    <n v="36"/>
    <n v="36"/>
    <d v="1899-12-31T02:00:00"/>
    <s v="J.SYMA.TSE@GMAIL.COM"/>
    <x v="0"/>
    <n v="1080.7819"/>
    <n v="2.5"/>
    <n v="1163.79"/>
    <n v="1.9580666999707901"/>
    <n v="1158.8800000000001"/>
    <s v="AD"/>
    <n v="1"/>
    <n v="1281"/>
    <n v="1108"/>
    <n v="0"/>
    <n v="1108"/>
  </r>
  <r>
    <x v="12"/>
    <s v="JORGE ARMANDO HERNANDEZ MORALES"/>
    <n v="36"/>
    <n v="36"/>
    <d v="1899-12-31T02:00:00"/>
    <s v="J.SYMA.TSE@GMAIL.COM"/>
    <x v="0"/>
    <n v="1080.7819"/>
    <n v="2.5"/>
    <n v="1163.79"/>
    <n v="1.9580666999707901"/>
    <n v="1158.8800000000001"/>
    <s v="AD"/>
    <n v="1"/>
    <n v="1281"/>
    <n v="1108"/>
    <n v="0"/>
    <n v="1108"/>
  </r>
  <r>
    <x v="12"/>
    <s v="JORGE ARMANDO HERNANDEZ MORALES"/>
    <n v="36"/>
    <n v="36"/>
    <d v="1899-12-31T02:00:00"/>
    <s v="J.SYMA.TSE@GMAIL.COM"/>
    <x v="0"/>
    <n v="1080.7819"/>
    <n v="2.5"/>
    <n v="1163.79"/>
    <n v="1.9580666999707901"/>
    <n v="1158.8800000000001"/>
    <s v="AD"/>
    <n v="1"/>
    <n v="1281"/>
    <n v="1108"/>
    <n v="0"/>
    <n v="1108"/>
  </r>
  <r>
    <x v="12"/>
    <s v="LUIS ALBERTO RAMIREZ SANTIAGO"/>
    <n v="24"/>
    <n v="36"/>
    <d v="1899-12-31T02:00:00"/>
    <s v="J.SYMA.TSE@GMAIL.COM"/>
    <x v="0"/>
    <n v="1080.9975999999999"/>
    <n v="2.5"/>
    <n v="1163.79"/>
    <n v="1.9580666999707901"/>
    <n v="1158.8800000000001"/>
    <s v="AD"/>
    <n v="1"/>
    <n v="1281"/>
    <n v="1108"/>
    <n v="0"/>
    <n v="1108"/>
  </r>
  <r>
    <x v="12"/>
    <s v="LUIS ALBERTO RAMIREZ SANTIAGO"/>
    <n v="24"/>
    <n v="36"/>
    <d v="1899-12-31T02:00:00"/>
    <s v="J.SYMA.TSE@GMAIL.COM"/>
    <x v="0"/>
    <n v="1080.9975999999999"/>
    <n v="2.5"/>
    <n v="1163.79"/>
    <n v="1.9580666999707901"/>
    <n v="1158.8800000000001"/>
    <s v="AD"/>
    <n v="1"/>
    <n v="1281"/>
    <n v="1108"/>
    <n v="0"/>
    <n v="1108"/>
  </r>
  <r>
    <x v="12"/>
    <s v="LUIS ALBERTO RAMIREZ SANTIAGO"/>
    <n v="24"/>
    <n v="36"/>
    <d v="1899-12-31T02:00:00"/>
    <s v="J.SYMA.TSE@GMAIL.COM"/>
    <x v="0"/>
    <n v="1080.9975999999999"/>
    <n v="2.5"/>
    <n v="1163.79"/>
    <n v="1.9580666999707901"/>
    <n v="1158.8800000000001"/>
    <s v="AD"/>
    <n v="1"/>
    <n v="1281"/>
    <n v="1108"/>
    <n v="0"/>
    <n v="1108"/>
  </r>
  <r>
    <x v="12"/>
    <s v="ERIC RICARDO CARVAJAL LARIOS"/>
    <n v="9"/>
    <n v="36"/>
    <d v="1899-12-31T23:59:00"/>
    <s v="ERIC.CARVAJALLARIOS@GMAIL.COM"/>
    <x v="3"/>
    <n v="1081.1727000000001"/>
    <n v="0"/>
    <n v="1163.79"/>
    <n v="0"/>
    <n v="1116.3800000000001"/>
    <s v="AD"/>
    <n v="1"/>
    <n v="1254"/>
    <n v="1081"/>
    <n v="0"/>
    <n v="1081"/>
  </r>
  <r>
    <x v="12"/>
    <s v="ALAN DE JESUS TERRONES ZATARAIN"/>
    <n v="24"/>
    <n v="36"/>
    <d v="1899-12-31T23:59:00"/>
    <s v="CONTACTO@SOLIDFIRE.COM.MX"/>
    <x v="0"/>
    <n v="1080.7705000000001"/>
    <n v="2.5"/>
    <n v="1163.79"/>
    <n v="1.9580666999707901"/>
    <n v="1158.8800000000001"/>
    <s v="AD"/>
    <n v="1"/>
    <n v="1281"/>
    <n v="1108"/>
    <n v="0"/>
    <n v="1108"/>
  </r>
  <r>
    <x v="12"/>
    <s v="IVAN MISAEL GUZMAN VALENCIA"/>
    <n v="27"/>
    <n v="36"/>
    <d v="1899-12-31T23:59:00"/>
    <s v="CONTACTO@SOLIDFIRE.COM.MX"/>
    <x v="0"/>
    <n v="1080.7164"/>
    <n v="2.5"/>
    <n v="1163.79"/>
    <n v="1.9580666999707901"/>
    <n v="1158.8800000000001"/>
    <s v="AD"/>
    <n v="1"/>
    <n v="1281"/>
    <n v="1108"/>
    <n v="0"/>
    <n v="1108"/>
  </r>
  <r>
    <x v="12"/>
    <s v="DANIEL RUBÃ‰N FLORES LÃ“PEZ"/>
    <n v="27"/>
    <n v="36"/>
    <d v="1899-12-31T11:00:00"/>
    <s v="JOUGEDKIRA@GMAIL.COM"/>
    <x v="2"/>
    <n v="1080.9951000000001"/>
    <n v="7"/>
    <n v="1163.79"/>
    <n v="5.4825867599182097"/>
    <n v="1158.8800000000001"/>
    <s v="AD"/>
    <n v="1"/>
    <n v="1330"/>
    <n v="1157"/>
    <n v="0"/>
    <n v="1157"/>
  </r>
  <r>
    <x v="12"/>
    <s v="ETELVINA JIMENEZ ARREOLA"/>
    <n v="33"/>
    <n v="36"/>
    <d v="1899-12-31T23:10:00"/>
    <s v="etelvina.jimenez.arreola@ejemplo.com"/>
    <x v="1"/>
    <n v="1080.6151"/>
    <n v="10"/>
    <n v="1163.79"/>
    <n v="7.8322667998831603"/>
    <n v="609.91"/>
    <s v="NI"/>
    <n v="1"/>
    <n v="1362"/>
    <n v="1189"/>
    <n v="0.5"/>
    <n v="594.5"/>
  </r>
  <r>
    <x v="12"/>
    <s v="MARCO AYALA NAVARRO"/>
    <n v="34"/>
    <n v="36"/>
    <d v="1899-12-31T23:10:00"/>
    <s v="marco.ayala.navarro@ejemplo.com"/>
    <x v="1"/>
    <n v="1080.5969"/>
    <n v="10"/>
    <n v="1163.79"/>
    <n v="7.8322667998831603"/>
    <n v="609.91"/>
    <s v="NI"/>
    <n v="1"/>
    <n v="1362"/>
    <n v="1189"/>
    <n v="0.5"/>
    <n v="594.5"/>
  </r>
  <r>
    <x v="12"/>
    <s v="CHRISTIAN JESÃšS ANGULO ORTEGA"/>
    <n v="35"/>
    <n v="36"/>
    <d v="1899-12-31T23:59:00"/>
    <s v="CHRISTIANANGULO2727@GMAIL.COM"/>
    <x v="3"/>
    <n v="1080.5726"/>
    <n v="0"/>
    <n v="1163.79"/>
    <n v="0"/>
    <n v="609.91"/>
    <s v="OD"/>
    <n v="1"/>
    <n v="1253"/>
    <n v="1081"/>
    <n v="0.5"/>
    <n v="540.5"/>
  </r>
  <r>
    <x v="12"/>
    <s v="MARIO ALBERTO RODRIGUEZ OREJEL"/>
    <n v="35"/>
    <n v="36"/>
    <d v="1899-12-31T23:10:00"/>
    <s v="mario.alberto.rodriguez.orejel@ejemplo.com"/>
    <x v="5"/>
    <n v="1080.5784000000001"/>
    <n v="8.5"/>
    <n v="1163.79"/>
    <n v="6.6574267799006801"/>
    <n v="1219.83"/>
    <s v="AD"/>
    <n v="1"/>
    <n v="1345"/>
    <n v="1172"/>
    <n v="0"/>
    <n v="1172"/>
  </r>
  <r>
    <x v="12"/>
    <s v="LORENA HERNANDEZ"/>
    <n v="1"/>
    <n v="36"/>
    <d v="1899-12-31T23:30:00"/>
    <s v="LORENAMORAHDZ@OUTLOOK.COM"/>
    <x v="3"/>
    <n v="1081.3085000000001"/>
    <n v="0"/>
    <n v="1163.79"/>
    <n v="0"/>
    <n v="1116.3800000000001"/>
    <s v="AD"/>
    <n v="1"/>
    <n v="1254"/>
    <n v="1081"/>
    <n v="0"/>
    <n v="1081"/>
  </r>
  <r>
    <x v="12"/>
    <s v="LORENA HERNANDEZ"/>
    <n v="5"/>
    <n v="36"/>
    <d v="1899-12-31T23:30:00"/>
    <s v="LORENAMORAHDZ@OUTLOOK.COM"/>
    <x v="3"/>
    <n v="1081.2366"/>
    <n v="0"/>
    <n v="1163.79"/>
    <n v="0"/>
    <n v="1219.83"/>
    <s v="AD"/>
    <n v="1"/>
    <n v="1254"/>
    <n v="1081"/>
    <n v="0"/>
    <n v="1081"/>
  </r>
  <r>
    <x v="12"/>
    <s v="ADRIAAN VAN DEN BERG MORA"/>
    <n v="6"/>
    <n v="36"/>
    <d v="1899-12-31T23:30:00"/>
    <s v="adriaan.van.den.berg.mora@ejemplo.com"/>
    <x v="5"/>
    <n v="1081.2184999999999"/>
    <n v="8.5"/>
    <n v="1163.79"/>
    <n v="6.6574267799006801"/>
    <n v="1219.83"/>
    <s v="AD"/>
    <n v="1"/>
    <n v="1346"/>
    <n v="1173"/>
    <n v="0"/>
    <n v="1173"/>
  </r>
  <r>
    <x v="12"/>
    <s v="MIGUEL ÃNGEL AMAYA MERCADO"/>
    <n v="12"/>
    <n v="36"/>
    <d v="1899-12-31T23:59:00"/>
    <s v="MIKEENGINEER61@GMAIL.COM"/>
    <x v="3"/>
    <n v="1081.1178"/>
    <n v="0"/>
    <n v="1163.79"/>
    <n v="0"/>
    <n v="1158.8800000000001"/>
    <s v="AD"/>
    <n v="1"/>
    <n v="1254"/>
    <n v="1081"/>
    <n v="0"/>
    <n v="1081"/>
  </r>
  <r>
    <x v="12"/>
    <s v="LUIS ALBERTO ROMÃN LEMUS LEMUS"/>
    <n v="26"/>
    <n v="36"/>
    <d v="1899-12-31T23:59:00"/>
    <s v="LROMAN.MASTER@GMAIL.COM"/>
    <x v="2"/>
    <n v="1080.7289000000001"/>
    <n v="7"/>
    <n v="1163.79"/>
    <n v="5.4825867599182097"/>
    <n v="1158.8800000000001"/>
    <s v="AD"/>
    <n v="1"/>
    <n v="1329"/>
    <n v="1156"/>
    <n v="0"/>
    <n v="1156"/>
  </r>
  <r>
    <x v="12"/>
    <s v="LUIS ALBERTO ROMÃN LEMUS LEMUS"/>
    <n v="26"/>
    <n v="36"/>
    <d v="1899-12-31T23:59:00"/>
    <s v="SEMC10@HOTMAIL.COM"/>
    <x v="0"/>
    <n v="1080.7289000000001"/>
    <n v="2.5"/>
    <n v="1163.79"/>
    <n v="1.9580666999707901"/>
    <n v="1158.8800000000001"/>
    <s v="AD"/>
    <n v="1"/>
    <n v="1281"/>
    <n v="1108"/>
    <n v="0"/>
    <n v="1108"/>
  </r>
  <r>
    <x v="12"/>
    <s v="SILVIA EDITH MEDINA CAMPOS"/>
    <n v="25"/>
    <n v="36"/>
    <d v="1899-12-31T23:59:00"/>
    <s v="LROMAN.MASTER@GMAIL.COM"/>
    <x v="2"/>
    <n v="1080.7467999999999"/>
    <n v="7"/>
    <n v="1163.79"/>
    <n v="5.4825867599182097"/>
    <n v="1158.8800000000001"/>
    <s v="AD"/>
    <n v="1"/>
    <n v="1329"/>
    <n v="1156"/>
    <n v="0"/>
    <n v="1156"/>
  </r>
  <r>
    <x v="12"/>
    <s v="SILVIA EDITH MEDINA CAMPOS"/>
    <n v="25"/>
    <n v="36"/>
    <d v="1899-12-31T23:59:00"/>
    <s v="SEMC10@HOTMAIL.COM"/>
    <x v="0"/>
    <n v="1080.7467999999999"/>
    <n v="2.5"/>
    <n v="1163.79"/>
    <n v="1.9580666999707901"/>
    <n v="1158.8800000000001"/>
    <s v="AD"/>
    <n v="1"/>
    <n v="1281"/>
    <n v="1108"/>
    <n v="0"/>
    <n v="1108"/>
  </r>
  <r>
    <x v="12"/>
    <s v="ISMAEL ARELLANO"/>
    <n v="15"/>
    <n v="36"/>
    <d v="1899-12-31T23:59:00"/>
    <s v="ismael.arellano@ejemplo.com"/>
    <x v="3"/>
    <n v="1081.0640000000001"/>
    <n v="0"/>
    <n v="1163.79"/>
    <n v="0"/>
    <n v="1158.8800000000001"/>
    <s v="AD"/>
    <n v="1"/>
    <n v="1254"/>
    <n v="1081"/>
    <n v="0"/>
    <n v="1081"/>
  </r>
  <r>
    <x v="12"/>
    <s v="FERNANDO VALENCIA"/>
    <n v="14"/>
    <n v="36"/>
    <d v="1899-12-31T23:59:00"/>
    <s v="FVALENCIA471@GMAIL.COM"/>
    <x v="4"/>
    <n v="1081.2849000000001"/>
    <n v="5"/>
    <n v="1163.79"/>
    <n v="3.9161333999415802"/>
    <n v="609.91"/>
    <s v="IN"/>
    <n v="1"/>
    <n v="1308"/>
    <n v="1135"/>
    <n v="0.5"/>
    <n v="567.5"/>
  </r>
  <r>
    <x v="12"/>
    <s v="FERNANDO VALENCIA"/>
    <n v="14"/>
    <n v="36"/>
    <d v="1899-12-31T23:59:00"/>
    <s v="FVALENCIA471@GMAIL.COM"/>
    <x v="4"/>
    <n v="1081.2849000000001"/>
    <n v="5"/>
    <n v="1163.79"/>
    <n v="3.9161333999415802"/>
    <n v="609.91"/>
    <s v="IN"/>
    <n v="1"/>
    <n v="1308"/>
    <n v="1135"/>
    <n v="0.5"/>
    <n v="567.5"/>
  </r>
  <r>
    <x v="12"/>
    <s v="ROGELIO VALENCIA"/>
    <n v="15"/>
    <n v="36"/>
    <d v="1899-12-31T23:59:00"/>
    <s v="FVALENCIA471@GMAIL.COM"/>
    <x v="4"/>
    <n v="1081.2673"/>
    <n v="5"/>
    <n v="1163.79"/>
    <n v="3.9161333999415802"/>
    <n v="609.91"/>
    <s v="IN"/>
    <n v="1"/>
    <n v="1308"/>
    <n v="1135"/>
    <n v="0.5"/>
    <n v="567.5"/>
  </r>
  <r>
    <x v="12"/>
    <s v="ROGELIO VALENCIA"/>
    <n v="15"/>
    <n v="36"/>
    <d v="1899-12-31T23:59:00"/>
    <s v="FVALENCIA471@GMAIL.COM"/>
    <x v="4"/>
    <n v="1081.2673"/>
    <n v="5"/>
    <n v="1163.79"/>
    <n v="3.9161333999415802"/>
    <n v="609.91"/>
    <s v="IN"/>
    <n v="1"/>
    <n v="1308"/>
    <n v="1135"/>
    <n v="0.5"/>
    <n v="567.5"/>
  </r>
  <r>
    <x v="12"/>
    <s v="MIRIAM ESTRADA RAMIREZ"/>
    <n v="32"/>
    <n v="36"/>
    <d v="1899-12-31T06:00:00"/>
    <s v="MIRIAMCORP1179@HOTMAIL.COM"/>
    <x v="0"/>
    <n v="1080.8400999999999"/>
    <n v="2.5"/>
    <n v="1163.79"/>
    <n v="1.9580666999707901"/>
    <n v="1158.8800000000001"/>
    <s v="AD"/>
    <n v="1"/>
    <n v="1281"/>
    <n v="1108"/>
    <n v="0"/>
    <n v="1108"/>
  </r>
  <r>
    <x v="12"/>
    <s v="HECTOR ENRIQUE CANCHOLA BEAS"/>
    <n v="10"/>
    <n v="36"/>
    <d v="1899-12-31T23:59:00"/>
    <s v="hector.enrique.canchola.beas@ejemplo.com"/>
    <x v="2"/>
    <n v="1081.1261"/>
    <n v="7"/>
    <n v="1163.79"/>
    <n v="5.4825867599182097"/>
    <n v="1219.83"/>
    <s v="AD"/>
    <n v="1"/>
    <n v="1330"/>
    <n v="1157"/>
    <n v="0"/>
    <n v="1157"/>
  </r>
  <r>
    <x v="12"/>
    <s v="SIGIFREDO  TELLEZ GARCIA"/>
    <n v="32"/>
    <n v="36"/>
    <d v="1899-12-31T11:00:00"/>
    <s v="sigifredo..tellez.garcia@ejemplo.com"/>
    <x v="1"/>
    <n v="1080.8425"/>
    <n v="10"/>
    <n v="1163.79"/>
    <n v="7.8322667998831603"/>
    <n v="609.91"/>
    <s v="NI"/>
    <n v="1"/>
    <n v="1362"/>
    <n v="1189"/>
    <n v="0.5"/>
    <n v="594.5"/>
  </r>
  <r>
    <x v="12"/>
    <s v="IRENE VARGAS VÃSQUEZ"/>
    <n v="2"/>
    <n v="36"/>
    <d v="1899-12-31T06:00:00"/>
    <s v="IREVARGAS@GMAIL.COM"/>
    <x v="0"/>
    <n v="1081.5684000000001"/>
    <n v="2.5"/>
    <n v="1163.79"/>
    <n v="1.9580666999707901"/>
    <n v="1158.8800000000001"/>
    <s v="AD"/>
    <n v="1"/>
    <n v="1282"/>
    <n v="1109"/>
    <n v="0"/>
    <n v="1109"/>
  </r>
  <r>
    <x v="12"/>
    <s v="IRENE VARGAS VÃSQUEZ"/>
    <n v="2"/>
    <n v="36"/>
    <d v="1899-12-31T06:00:00"/>
    <s v="RODOMAT@GMAIL.COM"/>
    <x v="0"/>
    <n v="1081.5684000000001"/>
    <n v="2.5"/>
    <n v="1163.79"/>
    <n v="1.9580666999707901"/>
    <n v="1158.8800000000001"/>
    <s v="AD"/>
    <n v="1"/>
    <n v="1282"/>
    <n v="1109"/>
    <n v="0"/>
    <n v="1109"/>
  </r>
  <r>
    <x v="12"/>
    <s v="RODOLFO MATAMOROS LÃ“PEZ"/>
    <n v="3"/>
    <n v="36"/>
    <d v="1899-12-31T06:00:00"/>
    <s v="IREVARGAS@GMAIL.COM"/>
    <x v="0"/>
    <n v="1081.5503000000001"/>
    <n v="2.5"/>
    <n v="1163.79"/>
    <n v="1.9580666999707901"/>
    <n v="1158.8800000000001"/>
    <s v="AD"/>
    <n v="1"/>
    <n v="1282"/>
    <n v="1109"/>
    <n v="0"/>
    <n v="1109"/>
  </r>
  <r>
    <x v="12"/>
    <s v="RODOLFO MATAMOROS LÃ“PEZ"/>
    <n v="3"/>
    <n v="36"/>
    <d v="1899-12-31T06:00:00"/>
    <s v="RODOMAT@GMAIL.COM"/>
    <x v="0"/>
    <n v="1081.5503000000001"/>
    <n v="2.5"/>
    <n v="1163.79"/>
    <n v="1.9580666999707901"/>
    <n v="1158.8800000000001"/>
    <s v="AD"/>
    <n v="1"/>
    <n v="1282"/>
    <n v="1109"/>
    <n v="0"/>
    <n v="1109"/>
  </r>
  <r>
    <x v="12"/>
    <s v="OSCAR OMAR GOMEZ PALACIO"/>
    <n v="20"/>
    <n v="36"/>
    <d v="1899-12-31T23:30:00"/>
    <s v="OGOMEZ@IPACTRONICS.COM"/>
    <x v="2"/>
    <n v="1081.1052999999999"/>
    <n v="7"/>
    <n v="1163.79"/>
    <n v="5.4825867599182097"/>
    <n v="1097.8399999999999"/>
    <s v="AD"/>
    <n v="1"/>
    <n v="1330"/>
    <n v="1157"/>
    <n v="0"/>
    <n v="1157"/>
  </r>
  <r>
    <x v="12"/>
    <s v="OSCAR OMAR GOMEZ PALACIO"/>
    <n v="20"/>
    <n v="36"/>
    <d v="1899-12-31T23:30:00"/>
    <s v="OGOMEZ@IPACTRONICS.COM"/>
    <x v="2"/>
    <n v="1081.1052999999999"/>
    <n v="7"/>
    <n v="1163.79"/>
    <n v="5.4825867599182097"/>
    <n v="1097.8399999999999"/>
    <s v="AD"/>
    <n v="1"/>
    <n v="1330"/>
    <n v="1157"/>
    <n v="0"/>
    <n v="1157"/>
  </r>
  <r>
    <x v="12"/>
    <s v="REGINA GOMEZ PALACIO"/>
    <n v="19"/>
    <n v="36"/>
    <d v="1899-12-31T23:30:00"/>
    <s v="OGOMEZ@IPACTRONICS.COM"/>
    <x v="2"/>
    <n v="1081.1233999999999"/>
    <n v="7"/>
    <n v="1163.79"/>
    <n v="5.4825867599182097"/>
    <n v="609.91"/>
    <s v="NI"/>
    <n v="1"/>
    <n v="1330"/>
    <n v="1157"/>
    <n v="0.5"/>
    <n v="578.5"/>
  </r>
  <r>
    <x v="12"/>
    <s v="REGINA GOMEZ PALACIO"/>
    <n v="19"/>
    <n v="36"/>
    <d v="1899-12-31T23:30:00"/>
    <s v="OGOMEZ@IPACTRONICS.COM"/>
    <x v="2"/>
    <n v="1081.1233999999999"/>
    <n v="7"/>
    <n v="1163.79"/>
    <n v="5.4825867599182097"/>
    <n v="609.91"/>
    <s v="NI"/>
    <n v="1"/>
    <n v="1330"/>
    <n v="1157"/>
    <n v="0.5"/>
    <n v="578.5"/>
  </r>
  <r>
    <x v="12"/>
    <s v="CARLOS ESTEBAN ORDAZ FÃšNEZ"/>
    <n v="1"/>
    <n v="36"/>
    <d v="1899-12-31T23:30:00"/>
    <s v="KARKARMTZ@ICLOUD.COM"/>
    <x v="3"/>
    <n v="1081.3150000000001"/>
    <n v="0"/>
    <n v="1163.79"/>
    <n v="0"/>
    <n v="1158.8800000000001"/>
    <s v="AD"/>
    <n v="1"/>
    <n v="1254"/>
    <n v="1081"/>
    <n v="0"/>
    <n v="1081"/>
  </r>
  <r>
    <x v="12"/>
    <s v="CLAUDIA  LETICIA RIVERA LOPEZ"/>
    <n v="7"/>
    <n v="36"/>
    <d v="1899-12-31T23:59:00"/>
    <s v="claudia..leticia.rivera.lopez@ejemplo.com"/>
    <x v="1"/>
    <n v="1081.1896999999999"/>
    <n v="10"/>
    <n v="1163.79"/>
    <n v="7.8322667998831603"/>
    <n v="609.91"/>
    <s v="NI"/>
    <n v="1"/>
    <n v="1362"/>
    <n v="1189"/>
    <n v="0.5"/>
    <n v="594.5"/>
  </r>
  <r>
    <x v="12"/>
    <s v="JUAN ANTONIO GONZALEZ CUELLAR"/>
    <n v="23"/>
    <n v="36"/>
    <d v="1899-12-31T23:59:00"/>
    <s v="CREDITOYCOBRANZA@GRUPOEDM.COM.MX"/>
    <x v="3"/>
    <n v="1080.7860000000001"/>
    <n v="0"/>
    <n v="1163.79"/>
    <n v="0"/>
    <n v="1158.8800000000001"/>
    <s v="AD"/>
    <n v="1"/>
    <n v="1254"/>
    <n v="1081"/>
    <n v="0"/>
    <n v="1081"/>
  </r>
  <r>
    <x v="12"/>
    <s v="JUAN ANTONIO GONZALEZ CUELLAR"/>
    <n v="23"/>
    <n v="36"/>
    <d v="1899-12-31T23:59:00"/>
    <s v="CREDITOYCOBRANZA@GRUPOEDM.COM.MX"/>
    <x v="3"/>
    <n v="1080.7860000000001"/>
    <n v="0"/>
    <n v="1163.79"/>
    <n v="0"/>
    <n v="1158.8800000000001"/>
    <s v="AD"/>
    <n v="1"/>
    <n v="1254"/>
    <n v="1081"/>
    <n v="0"/>
    <n v="1081"/>
  </r>
  <r>
    <x v="12"/>
    <s v="MARCO EFREN CASTAÃ‘EDA ORTA"/>
    <n v="22"/>
    <n v="36"/>
    <d v="1899-12-31T23:59:00"/>
    <s v="CREDITOYCOBRANZA@GRUPOEDM.COM.MX"/>
    <x v="3"/>
    <n v="1080.8041000000001"/>
    <n v="0"/>
    <n v="1163.79"/>
    <n v="0"/>
    <n v="1158.8800000000001"/>
    <s v="AD"/>
    <n v="1"/>
    <n v="1254"/>
    <n v="1081"/>
    <n v="0"/>
    <n v="1081"/>
  </r>
  <r>
    <x v="12"/>
    <s v="MARCO EFREN CASTAÃ‘EDA ORTA"/>
    <n v="22"/>
    <n v="36"/>
    <d v="1899-12-31T23:59:00"/>
    <s v="CREDITOYCOBRANZA@GRUPOEDM.COM.MX"/>
    <x v="3"/>
    <n v="1080.8041000000001"/>
    <n v="0"/>
    <n v="1163.79"/>
    <n v="0"/>
    <n v="1158.8800000000001"/>
    <s v="AD"/>
    <n v="1"/>
    <n v="1254"/>
    <n v="1081"/>
    <n v="0"/>
    <n v="1081"/>
  </r>
  <r>
    <x v="12"/>
    <s v="FERNANDA LORETO COVARRUBIAS"/>
    <n v="24"/>
    <n v="36"/>
    <d v="1899-12-31T02:00:00"/>
    <s v="PHERLORETO92.PL@GMAIL.COM"/>
    <x v="0"/>
    <n v="1081.0509999999999"/>
    <n v="2.5"/>
    <n v="1163.79"/>
    <n v="1.9580666999707901"/>
    <n v="1175.17"/>
    <s v="AD"/>
    <n v="1"/>
    <n v="1281"/>
    <n v="1108"/>
    <n v="0"/>
    <n v="1108"/>
  </r>
  <r>
    <x v="12"/>
    <s v="CATARINO BADILLO CAZARES"/>
    <n v="21"/>
    <n v="35"/>
    <d v="1899-12-31T23:30:00"/>
    <s v="catarino.badillo.cazares@ejemplo.com"/>
    <x v="2"/>
    <n v="1080.8190999999999"/>
    <n v="7"/>
    <n v="1163.79"/>
    <n v="5.4825867599182097"/>
    <n v="1219.83"/>
    <s v="AD"/>
    <n v="1"/>
    <n v="1329"/>
    <n v="1156"/>
    <n v="0"/>
    <n v="1156"/>
  </r>
  <r>
    <x v="12"/>
    <s v="GUSTAVO RUEDA CORONA"/>
    <n v="7"/>
    <n v="36"/>
    <d v="1899-12-31T23:30:00"/>
    <s v="GUSS6937RC@GMAIL.COM"/>
    <x v="0"/>
    <n v="1081.2578000000001"/>
    <n v="2.5"/>
    <n v="1163.79"/>
    <n v="1.9580666999707901"/>
    <n v="1158.8800000000001"/>
    <s v="AD"/>
    <n v="1"/>
    <n v="1281"/>
    <n v="1108"/>
    <n v="0"/>
    <n v="1108"/>
  </r>
  <r>
    <x v="12"/>
    <s v="DANIEL PASCUAL RODRIGUEZ ROSAS"/>
    <n v="25"/>
    <n v="36"/>
    <d v="1899-12-31T23:59:00"/>
    <s v="daniel.pascual.rodriguez.rosas@ejemplo.com"/>
    <x v="1"/>
    <n v="1080.7573"/>
    <n v="10"/>
    <n v="1163.79"/>
    <n v="7.8322667998831603"/>
    <n v="609.91"/>
    <s v="NI"/>
    <n v="1"/>
    <n v="1362"/>
    <n v="1189"/>
    <n v="0.5"/>
    <n v="594.5"/>
  </r>
  <r>
    <x v="12"/>
    <s v="JULIO CESAR MARTINEZ FLORES"/>
    <n v="30"/>
    <n v="36"/>
    <d v="1899-12-31T23:59:00"/>
    <s v="CESARMARTZFLOR1508@GMAIL.COM"/>
    <x v="3"/>
    <n v="1080.6603"/>
    <n v="0"/>
    <n v="1163.79"/>
    <n v="0"/>
    <n v="1158.8800000000001"/>
    <s v="AD"/>
    <n v="1"/>
    <n v="1254"/>
    <n v="1081"/>
    <n v="0"/>
    <n v="1081"/>
  </r>
  <r>
    <x v="12"/>
    <s v="MARIO CUEL RODRIGUEZ"/>
    <n v="36"/>
    <n v="36"/>
    <d v="1899-12-31T23:59:00"/>
    <s v="CRISTOPHERCUEL@GMAIL.COM"/>
    <x v="2"/>
    <n v="1080.5945999999999"/>
    <n v="7"/>
    <n v="1163.79"/>
    <n v="5.4825867599182097"/>
    <n v="1158.8800000000001"/>
    <s v="AD"/>
    <n v="1"/>
    <n v="1329"/>
    <n v="1156"/>
    <n v="0"/>
    <n v="1156"/>
  </r>
  <r>
    <x v="12"/>
    <s v="SONIA ANGELICA ZABALA VELAZQUEZ"/>
    <n v="3"/>
    <n v="36"/>
    <d v="1899-12-31T02:00:00"/>
    <s v="MEXPO1999@HOTMAIL.COM"/>
    <x v="0"/>
    <n v="1081.5612000000001"/>
    <n v="2.5"/>
    <n v="1163.79"/>
    <n v="1.9580666999707901"/>
    <n v="1158.8800000000001"/>
    <s v="AD"/>
    <n v="1"/>
    <n v="1282"/>
    <n v="1109"/>
    <n v="0"/>
    <n v="1109"/>
  </r>
  <r>
    <x v="12"/>
    <s v="ZARETH RODRÃGUEZ RODRÃGUEZ"/>
    <n v="16"/>
    <n v="27"/>
    <d v="1899-12-31T06:00:00"/>
    <s v="ZARETHRDZ31@GMAIL.COM"/>
    <x v="0"/>
    <n v="1081.1356000000001"/>
    <n v="2.5"/>
    <n v="1163.79"/>
    <n v="1.9580666999707901"/>
    <n v="1158.8800000000001"/>
    <s v="AD"/>
    <n v="1"/>
    <n v="1281"/>
    <n v="1108"/>
    <n v="0"/>
    <n v="1108"/>
  </r>
  <r>
    <x v="12"/>
    <s v="ALFONSO POZOS CERVANTES"/>
    <n v="1"/>
    <n v="36"/>
    <d v="1899-12-31T02:00:00"/>
    <s v="GRUPOSUKIARY@GMAIL.COM"/>
    <x v="0"/>
    <n v="1081.5963999999999"/>
    <n v="2.5"/>
    <n v="1163.79"/>
    <n v="1.9580666999707901"/>
    <n v="1158.8800000000001"/>
    <s v="AD"/>
    <n v="1"/>
    <n v="1282"/>
    <n v="1109"/>
    <n v="0"/>
    <n v="1109"/>
  </r>
  <r>
    <x v="12"/>
    <s v="JOSÃ‰ ALBERTO CORZO PEREZ"/>
    <n v="5"/>
    <n v="36"/>
    <d v="1899-12-31T23:59:00"/>
    <s v="PERALTAGARCIALUISENRIQUE2@GMAIL.COM"/>
    <x v="3"/>
    <n v="1081.2412999999999"/>
    <n v="0"/>
    <n v="1163.79"/>
    <n v="0"/>
    <n v="1158.8800000000001"/>
    <s v="AD"/>
    <n v="1"/>
    <n v="1254"/>
    <n v="1081"/>
    <n v="0"/>
    <n v="1081"/>
  </r>
  <r>
    <x v="12"/>
    <s v="LUIS ANGEL MARTINEZ OLIVERA"/>
    <n v="6"/>
    <n v="36"/>
    <d v="1899-12-31T23:59:00"/>
    <s v="PERALTAGARCIALUISENRIQUE2@GMAIL.COM"/>
    <x v="3"/>
    <n v="1081.2233000000001"/>
    <n v="0"/>
    <n v="1163.79"/>
    <n v="0"/>
    <n v="1158.8800000000001"/>
    <s v="AD"/>
    <n v="1"/>
    <n v="1254"/>
    <n v="1081"/>
    <n v="0"/>
    <n v="1081"/>
  </r>
  <r>
    <x v="12"/>
    <s v="MARIA GUADALUPE ANDRADE CORTES"/>
    <n v="9"/>
    <n v="36"/>
    <d v="1899-12-31T23:30:00"/>
    <s v="ETNPASES@GMAIL.COM"/>
    <x v="2"/>
    <n v="1079.1253999999999"/>
    <n v="7"/>
    <n v="1163.79"/>
    <n v="5.4825867599182097"/>
    <n v="1219.83"/>
    <s v="AD"/>
    <n v="1"/>
    <n v="1327"/>
    <n v="1155"/>
    <n v="0"/>
    <n v="1155"/>
  </r>
  <r>
    <x v="12"/>
    <s v="ANTONIO GARCIA"/>
    <n v="18"/>
    <n v="36"/>
    <d v="1899-12-31T06:00:00"/>
    <s v="antonio.garcia@ejemplo.com"/>
    <x v="0"/>
    <n v="1081.44"/>
    <n v="2.5"/>
    <n v="1163.79"/>
    <n v="1.9580666999707901"/>
    <n v="1158.8800000000001"/>
    <s v="AD"/>
    <n v="1"/>
    <n v="1282"/>
    <n v="1108"/>
    <n v="0"/>
    <n v="1108"/>
  </r>
  <r>
    <x v="12"/>
    <s v="JULIETA ITZEL CARPINTEYRO GARCÃA"/>
    <n v="23"/>
    <n v="36"/>
    <d v="1899-12-31T23:30:00"/>
    <s v="KAITZELPEDRAZA@GMAIL.COM"/>
    <x v="3"/>
    <n v="1080.7844"/>
    <n v="0"/>
    <n v="1163.79"/>
    <n v="0"/>
    <n v="1158.8800000000001"/>
    <s v="AD"/>
    <n v="1"/>
    <n v="1254"/>
    <n v="1081"/>
    <n v="0"/>
    <n v="1081"/>
  </r>
  <r>
    <x v="12"/>
    <s v="KARLA ITZEL PEDRAZA HERNANDEZ"/>
    <n v="12"/>
    <n v="36"/>
    <d v="1899-12-31T23:30:00"/>
    <s v="KAITZELPEDRAZA@GMAIL.COM"/>
    <x v="3"/>
    <n v="1081.1146000000001"/>
    <n v="0"/>
    <n v="1163.79"/>
    <n v="0"/>
    <n v="1158.8800000000001"/>
    <s v="AD"/>
    <n v="1"/>
    <n v="1254"/>
    <n v="1081"/>
    <n v="0"/>
    <n v="1081"/>
  </r>
  <r>
    <x v="12"/>
    <s v="MARÃA ALEJANDRA CORONA PEREZ"/>
    <n v="11"/>
    <n v="36"/>
    <d v="1899-12-31T23:30:00"/>
    <s v="KAITZELPEDRAZA@GMAIL.COM"/>
    <x v="3"/>
    <n v="1081.1325999999999"/>
    <n v="0"/>
    <n v="1163.79"/>
    <n v="0"/>
    <n v="1158.8800000000001"/>
    <s v="AD"/>
    <n v="1"/>
    <n v="1254"/>
    <n v="1081"/>
    <n v="0"/>
    <n v="1081"/>
  </r>
  <r>
    <x v="12"/>
    <s v="MARÃO ALBERTO HERNANDEZ PEREA"/>
    <n v="22"/>
    <n v="36"/>
    <d v="1899-12-31T23:30:00"/>
    <s v="KAITZELPEDRAZA@GMAIL.COM"/>
    <x v="3"/>
    <n v="1080.8025"/>
    <n v="0"/>
    <n v="1163.79"/>
    <n v="0"/>
    <n v="1158.8800000000001"/>
    <s v="AD"/>
    <n v="1"/>
    <n v="1254"/>
    <n v="1081"/>
    <n v="0"/>
    <n v="1081"/>
  </r>
  <r>
    <x v="12"/>
    <s v="ALONSO LOPEZ SERRANO"/>
    <n v="29"/>
    <n v="36"/>
    <d v="1899-12-31T23:30:00"/>
    <s v="alonso.lopez.serrano@ejemplo.com"/>
    <x v="5"/>
    <n v="1080.6844000000001"/>
    <n v="8.5"/>
    <n v="1163.79"/>
    <n v="6.6574267799006801"/>
    <n v="1097.8399999999999"/>
    <s v="AD"/>
    <n v="1"/>
    <n v="1345"/>
    <n v="1173"/>
    <n v="0"/>
    <n v="1173"/>
  </r>
  <r>
    <x v="12"/>
    <s v="GUILLERMO OLIVERA"/>
    <n v="8"/>
    <n v="36"/>
    <d v="1899-12-31T23:30:00"/>
    <s v="guillermo.olivera@ejemplo.com"/>
    <x v="5"/>
    <n v="1081.1866"/>
    <n v="8.5"/>
    <n v="1163.79"/>
    <n v="6.6574267799006801"/>
    <n v="1219.83"/>
    <s v="AD"/>
    <n v="1"/>
    <n v="1346"/>
    <n v="1173"/>
    <n v="0"/>
    <n v="1173"/>
  </r>
  <r>
    <x v="12"/>
    <s v="JULIAN GALVAN"/>
    <n v="25"/>
    <n v="36"/>
    <d v="1899-12-31T23:30:00"/>
    <s v="julian.galvan@ejemplo.com"/>
    <x v="5"/>
    <n v="1080.7562"/>
    <n v="8.5"/>
    <n v="1163.79"/>
    <n v="6.6574267799006801"/>
    <n v="1219.83"/>
    <s v="AD"/>
    <n v="1"/>
    <n v="1346"/>
    <n v="1173"/>
    <n v="0"/>
    <n v="1173"/>
  </r>
  <r>
    <x v="12"/>
    <s v="SERGIO RAMIREZ TORRES"/>
    <n v="28"/>
    <n v="36"/>
    <d v="1899-12-31T23:30:00"/>
    <s v="TRASLADOS.MX@MEDIAPRO.TV"/>
    <x v="0"/>
    <n v="1080.7023999999999"/>
    <n v="2.5"/>
    <n v="1163.79"/>
    <n v="1.9580666999707901"/>
    <n v="1158.8800000000001"/>
    <s v="AD"/>
    <n v="1"/>
    <n v="1281"/>
    <n v="1108"/>
    <n v="0"/>
    <n v="1108"/>
  </r>
  <r>
    <x v="12"/>
    <s v="GUY JAMES"/>
    <n v="10"/>
    <n v="36"/>
    <d v="1899-12-31T02:00:00"/>
    <s v="GUY.W.G.JAMES@GMAIL.COM"/>
    <x v="0"/>
    <n v="1081.4337"/>
    <n v="2.5"/>
    <n v="1163.79"/>
    <n v="1.9580666999707901"/>
    <n v="1158.8800000000001"/>
    <s v="AD"/>
    <n v="1"/>
    <n v="1281"/>
    <n v="1108"/>
    <n v="0"/>
    <n v="1108"/>
  </r>
  <r>
    <x v="12"/>
    <s v="LUIS ÃNGEL MORALE ROJAS"/>
    <n v="36"/>
    <n v="36"/>
    <d v="1899-12-31T23:59:00"/>
    <s v="VAQUERO_MORALES@ICLOUD.COM"/>
    <x v="3"/>
    <n v="1080.5507"/>
    <n v="0"/>
    <n v="1163.79"/>
    <n v="0"/>
    <n v="1158.8800000000001"/>
    <s v="AD"/>
    <n v="1"/>
    <n v="1253"/>
    <n v="1081"/>
    <n v="0"/>
    <n v="1081"/>
  </r>
  <r>
    <x v="12"/>
    <s v="EMMA CLARISSA RODRIGUEZ"/>
    <n v="19"/>
    <n v="36"/>
    <d v="1899-12-31T23:30:00"/>
    <s v="emma.clarissa.rodriguez@ejemplo.com"/>
    <x v="5"/>
    <n v="1080.9822999999999"/>
    <n v="8.5"/>
    <n v="1163.79"/>
    <n v="6.6574267799006801"/>
    <n v="1097.8399999999999"/>
    <s v="AD"/>
    <n v="1"/>
    <n v="1346"/>
    <n v="1173"/>
    <n v="0"/>
    <n v="1173"/>
  </r>
  <r>
    <x v="12"/>
    <s v="FELIX FRANCISCO MARTINEZ"/>
    <n v="20"/>
    <n v="36"/>
    <d v="1899-12-31T23:30:00"/>
    <s v="felix.francisco.martinez@ejemplo.com"/>
    <x v="5"/>
    <n v="1080.9644000000001"/>
    <n v="8.5"/>
    <n v="1163.79"/>
    <n v="6.6574267799006801"/>
    <n v="1097.8399999999999"/>
    <s v="AD"/>
    <n v="1"/>
    <n v="1346"/>
    <n v="1173"/>
    <n v="0"/>
    <n v="1173"/>
  </r>
  <r>
    <x v="12"/>
    <s v="SAMUEL MUNGUIA HERNANDEZ"/>
    <n v="27"/>
    <n v="36"/>
    <d v="1899-12-31T23:30:00"/>
    <s v="samuel.munguia.hernandez@ejemplo.com"/>
    <x v="5"/>
    <n v="1080.72"/>
    <n v="8.5"/>
    <n v="1163.79"/>
    <n v="6.6574267799006801"/>
    <n v="1097.8399999999999"/>
    <s v="AD"/>
    <n v="1"/>
    <n v="1345"/>
    <n v="1173"/>
    <n v="0"/>
    <n v="1173"/>
  </r>
  <r>
    <x v="12"/>
    <s v="JHOSHUA MEDINA RAYGOZA"/>
    <n v="36"/>
    <n v="36"/>
    <d v="1899-12-31T23:30:00"/>
    <s v="jhoshua.medina.raygoza@ejemplo.com"/>
    <x v="5"/>
    <n v="1080.5579"/>
    <n v="8.5"/>
    <n v="1163.79"/>
    <n v="6.6574267799006801"/>
    <n v="1097.8399999999999"/>
    <s v="AD"/>
    <n v="1"/>
    <n v="1345"/>
    <n v="1172"/>
    <n v="0"/>
    <n v="1172"/>
  </r>
  <r>
    <x v="12"/>
    <s v="DIEGO ARMANDO LIBORIO DELGADO"/>
    <n v="29"/>
    <n v="36"/>
    <d v="1899-12-31T23:59:00"/>
    <s v="diego.armando.liborio.delgado@ejemplo.com"/>
    <x v="5"/>
    <n v="1080.6836000000001"/>
    <n v="8.5"/>
    <n v="1163.79"/>
    <n v="6.6574267799006801"/>
    <n v="1219.83"/>
    <s v="AD"/>
    <n v="1"/>
    <n v="1345"/>
    <n v="1173"/>
    <n v="0"/>
    <n v="1173"/>
  </r>
  <r>
    <x v="12"/>
    <s v="OMAR MEDEL"/>
    <n v="26"/>
    <n v="36"/>
    <d v="1899-12-31T23:59:00"/>
    <s v="omar.medel@ejemplo.com"/>
    <x v="5"/>
    <n v="1080.7378000000001"/>
    <n v="8.5"/>
    <n v="1163.79"/>
    <n v="6.6574267799006801"/>
    <n v="1219.83"/>
    <s v="AD"/>
    <n v="1"/>
    <n v="1346"/>
    <n v="1173"/>
    <n v="0"/>
    <n v="1173"/>
  </r>
  <r>
    <x v="12"/>
    <s v="FREDY FRANCISCO AQUINO"/>
    <n v="6"/>
    <n v="36"/>
    <d v="1899-12-31T23:59:00"/>
    <s v="CHRISUNAM1@GMAIL.COM"/>
    <x v="0"/>
    <n v="1081.2168999999999"/>
    <n v="2.5"/>
    <n v="1163.79"/>
    <n v="1.9580666999707901"/>
    <n v="1158.8800000000001"/>
    <s v="AD"/>
    <n v="1"/>
    <n v="1281"/>
    <n v="1108"/>
    <n v="0"/>
    <n v="1108"/>
  </r>
  <r>
    <x v="12"/>
    <s v="FREDY FRANCISCO AQUINO"/>
    <n v="6"/>
    <n v="36"/>
    <d v="1899-12-31T23:59:00"/>
    <s v="CHRISUNAM10@GMAIL.COM"/>
    <x v="0"/>
    <n v="1081.2168999999999"/>
    <n v="2.5"/>
    <n v="1163.79"/>
    <n v="1.9580666999707901"/>
    <n v="1158.8800000000001"/>
    <s v="AD"/>
    <n v="1"/>
    <n v="1281"/>
    <n v="1108"/>
    <n v="0"/>
    <n v="1108"/>
  </r>
  <r>
    <x v="12"/>
    <s v="SALVADOR ÃLVAREZ MUÃ‘OZ"/>
    <n v="5"/>
    <n v="36"/>
    <d v="1899-12-31T23:59:00"/>
    <s v="CHRISUNAM1@GMAIL.COM"/>
    <x v="0"/>
    <n v="1081.2348999999999"/>
    <n v="2.5"/>
    <n v="1163.79"/>
    <n v="1.9580666999707901"/>
    <n v="1158.8800000000001"/>
    <s v="AD"/>
    <n v="1"/>
    <n v="1281"/>
    <n v="1108"/>
    <n v="0"/>
    <n v="1108"/>
  </r>
  <r>
    <x v="12"/>
    <s v="SALVADOR ÃLVAREZ MUÃ‘OZ"/>
    <n v="5"/>
    <n v="36"/>
    <d v="1899-12-31T23:59:00"/>
    <s v="CHRISUNAM10@GMAIL.COM"/>
    <x v="0"/>
    <n v="1081.2348999999999"/>
    <n v="2.5"/>
    <n v="1163.79"/>
    <n v="1.9580666999707901"/>
    <n v="1158.8800000000001"/>
    <s v="AD"/>
    <n v="1"/>
    <n v="1281"/>
    <n v="1108"/>
    <n v="0"/>
    <n v="1108"/>
  </r>
  <r>
    <x v="12"/>
    <s v="MARIA AURORA ROSETE"/>
    <n v="30"/>
    <n v="36"/>
    <d v="1899-12-31T02:00:00"/>
    <s v="maria.aurora.rosete@ejemplo.com"/>
    <x v="4"/>
    <n v="1080.8717999999999"/>
    <n v="5"/>
    <n v="1163.79"/>
    <n v="3.9161333999415802"/>
    <n v="609.91"/>
    <s v="IN"/>
    <n v="1"/>
    <n v="1308"/>
    <n v="1135"/>
    <n v="0.5"/>
    <n v="567.5"/>
  </r>
  <r>
    <x v="12"/>
    <s v="MANUELA MENDOZA"/>
    <n v="31"/>
    <n v="36"/>
    <d v="1899-12-31T02:00:00"/>
    <s v="manuela.mendoza@ejemplo.com"/>
    <x v="4"/>
    <n v="1080.8539000000001"/>
    <n v="5"/>
    <n v="1163.79"/>
    <n v="3.9161333999415802"/>
    <n v="609.91"/>
    <s v="IN"/>
    <n v="1"/>
    <n v="1308"/>
    <n v="1135"/>
    <n v="0.5"/>
    <n v="567.5"/>
  </r>
  <r>
    <x v="12"/>
    <s v="LINDA LIZBETH MUÃ‘OZ"/>
    <n v="33"/>
    <n v="36"/>
    <d v="1899-12-31T23:59:00"/>
    <s v="LAURITAGRAZA234@GMAIL.COM"/>
    <x v="1"/>
    <n v="1078.5598"/>
    <n v="10"/>
    <n v="1163.79"/>
    <n v="7.8322667998831603"/>
    <n v="1219.83"/>
    <s v="AD"/>
    <n v="1"/>
    <n v="1359"/>
    <n v="1186"/>
    <n v="0"/>
    <n v="1186"/>
  </r>
  <r>
    <x v="12"/>
    <s v="MATIAS ARRIAGA VELAZCO"/>
    <n v="34"/>
    <n v="36"/>
    <d v="1899-12-31T23:59:00"/>
    <s v="LAURITAGRAZA234@GMAIL.COM"/>
    <x v="1"/>
    <n v="1078.5417"/>
    <n v="10"/>
    <n v="1163.79"/>
    <n v="7.8322667998831603"/>
    <n v="609.91"/>
    <s v="NI"/>
    <n v="1"/>
    <n v="1359"/>
    <n v="1186"/>
    <n v="0.5"/>
    <n v="593"/>
  </r>
  <r>
    <x v="12"/>
    <s v="LAURA CASAS GOMEZ"/>
    <n v="32"/>
    <n v="36"/>
    <d v="1899-12-31T23:59:00"/>
    <s v="LAURITAGRAZA234@GMAIL.COM"/>
    <x v="1"/>
    <n v="1078.5779"/>
    <n v="10"/>
    <n v="1163.79"/>
    <n v="7.8322667998831603"/>
    <n v="609.91"/>
    <s v="OD"/>
    <n v="1"/>
    <n v="1359"/>
    <n v="1186"/>
    <n v="0.5"/>
    <n v="593"/>
  </r>
  <r>
    <x v="12"/>
    <s v="JOSE ROMARIO HERNANDEZ"/>
    <n v="14"/>
    <n v="36"/>
    <d v="1899-12-31T23:59:00"/>
    <s v="jose.romario.hernandez@ejemplo.com"/>
    <x v="5"/>
    <n v="1081.0723"/>
    <n v="8.5"/>
    <n v="1163.79"/>
    <n v="6.6574267799006801"/>
    <n v="1219.83"/>
    <s v="AD"/>
    <n v="1"/>
    <n v="1346"/>
    <n v="1173"/>
    <n v="0"/>
    <n v="1173"/>
  </r>
  <r>
    <x v="12"/>
    <s v="JOSUE ABRAHAM LAZARO"/>
    <n v="28"/>
    <n v="36"/>
    <d v="1899-12-31T23:59:00"/>
    <s v="josue.abraham.lazaro@ejemplo.com"/>
    <x v="5"/>
    <n v="1080.702"/>
    <n v="8.5"/>
    <n v="1163.79"/>
    <n v="6.6574267799006801"/>
    <n v="1219.83"/>
    <s v="AD"/>
    <n v="1"/>
    <n v="1345"/>
    <n v="1173"/>
    <n v="0"/>
    <n v="1173"/>
  </r>
  <r>
    <x v="12"/>
    <s v="LUIS OMAR CASAREZ VAZQUEZ"/>
    <n v="25"/>
    <n v="36"/>
    <d v="1899-12-31T02:00:00"/>
    <s v="GARCIAHEC@HOTMAIL.COM"/>
    <x v="0"/>
    <n v="1080.9618"/>
    <n v="2.5"/>
    <n v="1163.79"/>
    <n v="1.9580666999707901"/>
    <n v="1158.8800000000001"/>
    <s v="AD"/>
    <n v="1"/>
    <n v="1281"/>
    <n v="1108"/>
    <n v="0"/>
    <n v="1108"/>
  </r>
  <r>
    <x v="12"/>
    <s v="ISELA CAROLINA QUEZADA GONZALEZ"/>
    <n v="17"/>
    <n v="36"/>
    <d v="1899-12-31T23:59:00"/>
    <s v="isela.carolina.quezada.gonzalez@ejemplo.com"/>
    <x v="4"/>
    <n v="1080.3666000000001"/>
    <n v="5"/>
    <n v="1163.79"/>
    <n v="3.9161333999415802"/>
    <n v="609.91"/>
    <s v="IN"/>
    <n v="1"/>
    <n v="1307"/>
    <n v="1134"/>
    <n v="0.5"/>
    <n v="567"/>
  </r>
  <r>
    <x v="13"/>
    <s v="ESTEFANIA CONTRERAS"/>
    <n v="34"/>
    <n v="36"/>
    <d v="1899-12-31T02:00:00"/>
    <s v="estefania.contreras@ejemplo.com"/>
    <x v="2"/>
    <n v="1080.7992999999999"/>
    <n v="7"/>
    <n v="1163.79"/>
    <n v="5.4825867599182097"/>
    <n v="1219.83"/>
    <s v="AD"/>
    <n v="1"/>
    <n v="1329"/>
    <n v="1156"/>
    <n v="0"/>
    <n v="1156"/>
  </r>
  <r>
    <x v="13"/>
    <s v="ABRAHAM PEREZ"/>
    <n v="14"/>
    <n v="36"/>
    <d v="1899-12-31T02:00:00"/>
    <s v="abraham.perez@ejemplo.com"/>
    <x v="0"/>
    <n v="1081.2914000000001"/>
    <n v="2.5"/>
    <n v="1163.79"/>
    <n v="1.9580666999707901"/>
    <n v="975.86"/>
    <s v="PE"/>
    <n v="1"/>
    <n v="1281"/>
    <n v="1108"/>
    <n v="0"/>
    <n v="1108"/>
  </r>
  <r>
    <x v="13"/>
    <s v="JOSE GERMAN LOZADA"/>
    <n v="18"/>
    <n v="36"/>
    <d v="1899-12-31T02:00:00"/>
    <s v="jose.german.lozada@ejemplo.com"/>
    <x v="4"/>
    <n v="1081.2184999999999"/>
    <n v="5"/>
    <n v="1163.79"/>
    <n v="3.9161333999415802"/>
    <n v="609.91"/>
    <s v="IN"/>
    <n v="1"/>
    <n v="1308"/>
    <n v="1135"/>
    <n v="0.5"/>
    <n v="567.5"/>
  </r>
  <r>
    <x v="13"/>
    <s v="EDUARDO CRISTOBAL GARCIA ALCALA"/>
    <n v="11"/>
    <n v="36"/>
    <d v="1899-12-31T02:00:00"/>
    <s v="eduardo.cristobal.garcia.alcala@ejemplo.com"/>
    <x v="2"/>
    <n v="1081.3444"/>
    <n v="7"/>
    <n v="1163.79"/>
    <n v="5.4825867599182097"/>
    <n v="1219.83"/>
    <s v="AD"/>
    <n v="1"/>
    <n v="1330"/>
    <n v="1157"/>
    <n v="0"/>
    <n v="1157"/>
  </r>
  <r>
    <x v="13"/>
    <s v="LEONARDO GARCIA ALCALA"/>
    <n v="12"/>
    <n v="36"/>
    <d v="1899-12-31T02:00:00"/>
    <s v="leonardo.garcia.alcala@ejemplo.com"/>
    <x v="2"/>
    <n v="1081.3264999999999"/>
    <n v="7"/>
    <n v="1163.79"/>
    <n v="5.4825867599182097"/>
    <n v="1219.83"/>
    <s v="AD"/>
    <n v="1"/>
    <n v="1330"/>
    <n v="1157"/>
    <n v="0"/>
    <n v="1157"/>
  </r>
  <r>
    <x v="13"/>
    <s v="ARTURO CHAVEZ GARCIA"/>
    <n v="15"/>
    <n v="36"/>
    <d v="1899-12-31T02:00:00"/>
    <s v="arturo.chavez.garcia@ejemplo.com"/>
    <x v="2"/>
    <n v="1081.2723000000001"/>
    <n v="7"/>
    <n v="1163.79"/>
    <n v="5.4825867599182097"/>
    <n v="1219.83"/>
    <s v="AD"/>
    <n v="1"/>
    <n v="1330"/>
    <n v="1157"/>
    <n v="0"/>
    <n v="1157"/>
  </r>
  <r>
    <x v="13"/>
    <s v="JOSE GARRAFA"/>
    <n v="28"/>
    <n v="36"/>
    <d v="1899-12-31T02:00:00"/>
    <s v="jose.garrafa@ejemplo.com"/>
    <x v="2"/>
    <n v="1080.9061999999999"/>
    <n v="7"/>
    <n v="1163.79"/>
    <n v="5.4825867599182097"/>
    <n v="1219.83"/>
    <s v="AD"/>
    <n v="1"/>
    <n v="1330"/>
    <n v="1157"/>
    <n v="0"/>
    <n v="1157"/>
  </r>
  <r>
    <x v="13"/>
    <s v="LUIS BAUTISTA"/>
    <n v="29"/>
    <n v="36"/>
    <d v="1899-12-31T02:00:00"/>
    <s v="luis.bautista@ejemplo.com"/>
    <x v="2"/>
    <n v="1080.8883000000001"/>
    <n v="7"/>
    <n v="1163.79"/>
    <n v="5.4825867599182097"/>
    <n v="1219.83"/>
    <s v="AD"/>
    <n v="1"/>
    <n v="1329"/>
    <n v="1157"/>
    <n v="0"/>
    <n v="1157"/>
  </r>
  <r>
    <x v="13"/>
    <s v="JOSÃ‰ ANGEL MARTINEZ"/>
    <n v="7"/>
    <n v="36"/>
    <d v="1899-12-31T02:00:00"/>
    <s v="AYKYM19@HOTMAIL.COM"/>
    <x v="3"/>
    <n v="1081.4294"/>
    <n v="0"/>
    <n v="1163.79"/>
    <n v="0"/>
    <n v="1158.8800000000001"/>
    <s v="AD"/>
    <n v="1"/>
    <n v="1254"/>
    <n v="1081"/>
    <n v="0"/>
    <n v="1081"/>
  </r>
  <r>
    <x v="13"/>
    <s v="KARELLY ESPINOSA CABALLERO"/>
    <n v="5"/>
    <n v="36"/>
    <d v="1899-12-31T02:00:00"/>
    <s v="CAROLI_9416@HOTMAIL.COM"/>
    <x v="3"/>
    <n v="1081.4647"/>
    <n v="0"/>
    <n v="1163.79"/>
    <n v="0"/>
    <n v="1158.8800000000001"/>
    <s v="AD"/>
    <n v="1"/>
    <n v="1254"/>
    <n v="1081"/>
    <n v="0"/>
    <n v="1081"/>
  </r>
  <r>
    <x v="13"/>
    <s v="NEYRA CURIEL"/>
    <n v="6"/>
    <n v="36"/>
    <d v="1899-12-31T02:00:00"/>
    <s v="CAROLI_9416@HOTMAIL.COM"/>
    <x v="3"/>
    <n v="1081.4468999999999"/>
    <n v="0"/>
    <n v="1163.79"/>
    <n v="0"/>
    <n v="1158.8800000000001"/>
    <s v="AD"/>
    <n v="1"/>
    <n v="1254"/>
    <n v="1081"/>
    <n v="0"/>
    <n v="1081"/>
  </r>
  <r>
    <x v="13"/>
    <s v="LUIS ENRIQUE AVENDAÃ‘O"/>
    <n v="9"/>
    <n v="36"/>
    <d v="1899-12-31T02:00:00"/>
    <s v="CAROLI_9416@HOTMAIL.COM"/>
    <x v="3"/>
    <n v="1081.3925999999999"/>
    <n v="0"/>
    <n v="1163.79"/>
    <n v="0"/>
    <n v="609.91"/>
    <s v="NI"/>
    <n v="1"/>
    <n v="1254"/>
    <n v="1081"/>
    <n v="0.5"/>
    <n v="540.5"/>
  </r>
  <r>
    <x v="13"/>
    <s v="MARLENE MARTINEZ"/>
    <n v="20"/>
    <n v="36"/>
    <d v="1899-12-31T02:00:00"/>
    <s v="marlene.martinez@ejemplo.com"/>
    <x v="5"/>
    <n v="1081.1952000000001"/>
    <n v="8.5"/>
    <n v="1163.79"/>
    <n v="6.6574267799006801"/>
    <n v="1219.83"/>
    <s v="AD"/>
    <n v="1"/>
    <n v="1346"/>
    <n v="1173"/>
    <n v="0"/>
    <n v="1173"/>
  </r>
  <r>
    <x v="13"/>
    <s v="ISAAC GAVIÃ‘O DORANTES"/>
    <n v="22"/>
    <n v="36"/>
    <d v="1899-12-31T02:00:00"/>
    <s v="LILI080389@HOTMAIL.COM"/>
    <x v="3"/>
    <n v="1081.0265999999999"/>
    <n v="0"/>
    <n v="1163.79"/>
    <n v="0"/>
    <n v="1158.8800000000001"/>
    <s v="AD"/>
    <n v="1"/>
    <n v="1254"/>
    <n v="1081"/>
    <n v="0"/>
    <n v="1081"/>
  </r>
  <r>
    <x v="13"/>
    <s v="CARLOS PEÃ‘A MICHEL"/>
    <n v="7"/>
    <n v="36"/>
    <d v="1899-12-31T23:59:00"/>
    <s v="MPSOLRAC@GMAIL.COM"/>
    <x v="3"/>
    <n v="1081.2532000000001"/>
    <n v="0"/>
    <n v="1163.79"/>
    <n v="0"/>
    <n v="1158.8800000000001"/>
    <s v="AD"/>
    <n v="1"/>
    <n v="1254"/>
    <n v="1081"/>
    <n v="0"/>
    <n v="1081"/>
  </r>
  <r>
    <x v="13"/>
    <s v="CONSUELO HIPOLITO"/>
    <n v="4"/>
    <n v="27"/>
    <d v="1899-12-31T06:00:00"/>
    <s v="consuelo.hipolito@ejemplo.com"/>
    <x v="1"/>
    <n v="1081.3376000000001"/>
    <n v="10"/>
    <n v="1163.79"/>
    <n v="7.8322667998831603"/>
    <n v="609.91"/>
    <s v="NI"/>
    <n v="1"/>
    <n v="1362"/>
    <n v="1189"/>
    <n v="0.5"/>
    <n v="594.5"/>
  </r>
  <r>
    <x v="13"/>
    <s v="JOSE MIRANDA ESCOBEDO"/>
    <n v="19"/>
    <n v="27"/>
    <d v="1899-12-31T06:00:00"/>
    <s v="jose.miranda.escobedo@ejemplo.com"/>
    <x v="1"/>
    <n v="1081.0676000000001"/>
    <n v="10"/>
    <n v="1163.79"/>
    <n v="7.8322667998831603"/>
    <n v="609.91"/>
    <s v="NI"/>
    <n v="1"/>
    <n v="1362"/>
    <n v="1189"/>
    <n v="0.5"/>
    <n v="594.5"/>
  </r>
  <r>
    <x v="13"/>
    <s v="MARIO MIRANDA"/>
    <n v="22"/>
    <n v="27"/>
    <d v="1899-12-31T06:00:00"/>
    <s v="mario.miranda@ejemplo.com"/>
    <x v="5"/>
    <n v="1081.0137"/>
    <n v="8.5"/>
    <n v="1163.79"/>
    <n v="6.6574267799006801"/>
    <n v="1219.83"/>
    <s v="AD"/>
    <n v="1"/>
    <n v="1346"/>
    <n v="1173"/>
    <n v="0"/>
    <n v="1173"/>
  </r>
  <r>
    <x v="13"/>
    <s v="MIGUEL ANGEL SANCHEZ"/>
    <n v="20"/>
    <n v="27"/>
    <d v="1899-12-31T06:00:00"/>
    <s v="miguel.angel.sanchez@ejemplo.com"/>
    <x v="2"/>
    <n v="1081.1774"/>
    <n v="7"/>
    <n v="1163.79"/>
    <n v="5.4825867599182097"/>
    <n v="1219.83"/>
    <s v="AD"/>
    <n v="1"/>
    <n v="1330"/>
    <n v="1157"/>
    <n v="0"/>
    <n v="1157"/>
  </r>
  <r>
    <x v="13"/>
    <s v="MARIA DEL SOCORRO LOEMLI TINOCO"/>
    <n v="6"/>
    <n v="36"/>
    <d v="1899-12-31T23:10:00"/>
    <s v="maria.del.socorro.loemli.tinoco@ejemplo.com"/>
    <x v="1"/>
    <n v="1081.3407"/>
    <n v="10"/>
    <n v="1163.79"/>
    <n v="7.8322667998831603"/>
    <n v="609.91"/>
    <s v="NI"/>
    <n v="1"/>
    <n v="1362"/>
    <n v="1189"/>
    <n v="0.5"/>
    <n v="594.5"/>
  </r>
  <r>
    <x v="13"/>
    <s v="EMIR ESPARZA CASTAÃ‘EDA"/>
    <n v="27"/>
    <n v="36"/>
    <d v="1899-12-31T23:59:00"/>
    <s v="WILFRIDO.RMW@GMAIL.COM"/>
    <x v="0"/>
    <n v="1080.7572"/>
    <n v="2.5"/>
    <n v="1163.79"/>
    <n v="1.9580666999707901"/>
    <n v="1158.8800000000001"/>
    <s v="AD"/>
    <n v="1"/>
    <n v="1281"/>
    <n v="1108"/>
    <n v="0"/>
    <n v="1108"/>
  </r>
  <r>
    <x v="13"/>
    <s v="EMIR ESPARZA CASTAÃ‘EDA"/>
    <n v="27"/>
    <n v="36"/>
    <d v="1899-12-31T23:59:00"/>
    <s v="WILFRIDO.RMW@GMAIL.COM"/>
    <x v="0"/>
    <n v="1080.7572"/>
    <n v="2.5"/>
    <n v="1163.79"/>
    <n v="1.9580666999707901"/>
    <n v="1158.8800000000001"/>
    <s v="AD"/>
    <n v="1"/>
    <n v="1281"/>
    <n v="1108"/>
    <n v="0"/>
    <n v="1108"/>
  </r>
  <r>
    <x v="13"/>
    <s v="MIGUEL NAVA GÃ“MEZ"/>
    <n v="24"/>
    <n v="36"/>
    <d v="1899-12-31T23:59:00"/>
    <s v="WILFRIDO.RMW@GMAIL.COM"/>
    <x v="0"/>
    <n v="1080.8113000000001"/>
    <n v="2.5"/>
    <n v="1163.79"/>
    <n v="1.9580666999707901"/>
    <n v="1158.8800000000001"/>
    <s v="AD"/>
    <n v="1"/>
    <n v="1281"/>
    <n v="1108"/>
    <n v="0"/>
    <n v="1108"/>
  </r>
  <r>
    <x v="13"/>
    <s v="MIGUEL NAVA GÃ“MEZ"/>
    <n v="24"/>
    <n v="36"/>
    <d v="1899-12-31T23:59:00"/>
    <s v="WILFRIDO.RMW@GMAIL.COM"/>
    <x v="0"/>
    <n v="1080.8113000000001"/>
    <n v="2.5"/>
    <n v="1163.79"/>
    <n v="1.9580666999707901"/>
    <n v="1158.8800000000001"/>
    <s v="AD"/>
    <n v="1"/>
    <n v="1281"/>
    <n v="1108"/>
    <n v="0"/>
    <n v="1108"/>
  </r>
  <r>
    <x v="13"/>
    <s v="ANDREA PERALTA"/>
    <n v="24"/>
    <n v="36"/>
    <d v="1899-12-31T11:00:00"/>
    <s v="MATERE768@GMAIL.COM"/>
    <x v="3"/>
    <n v="1080.9807000000001"/>
    <n v="0"/>
    <n v="1163.79"/>
    <n v="0"/>
    <n v="1158.8800000000001"/>
    <s v="AD"/>
    <n v="1"/>
    <n v="1254"/>
    <n v="1081"/>
    <n v="0"/>
    <n v="1081"/>
  </r>
  <r>
    <x v="13"/>
    <s v="ANDREA PERALTA"/>
    <n v="24"/>
    <n v="36"/>
    <d v="1899-12-31T11:00:00"/>
    <s v="MATERE768@GMAIL.COM"/>
    <x v="3"/>
    <n v="1080.9807000000001"/>
    <n v="0"/>
    <n v="1163.79"/>
    <n v="0"/>
    <n v="1158.8800000000001"/>
    <s v="AD"/>
    <n v="1"/>
    <n v="1254"/>
    <n v="1081"/>
    <n v="0"/>
    <n v="1081"/>
  </r>
  <r>
    <x v="13"/>
    <s v="MARÃA TERESA CURIEL"/>
    <n v="17"/>
    <n v="36"/>
    <d v="1899-12-31T11:00:00"/>
    <s v="MATERE768@GMAIL.COM"/>
    <x v="3"/>
    <n v="1081.239"/>
    <n v="0"/>
    <n v="1163.79"/>
    <n v="0"/>
    <n v="1158.8800000000001"/>
    <s v="AD"/>
    <n v="1"/>
    <n v="1254"/>
    <n v="1081"/>
    <n v="0"/>
    <n v="1081"/>
  </r>
  <r>
    <x v="13"/>
    <s v="MARÃA TERESA CURIEL"/>
    <n v="17"/>
    <n v="36"/>
    <d v="1899-12-31T11:00:00"/>
    <s v="MATERE768@GMAIL.COM"/>
    <x v="3"/>
    <n v="1081.239"/>
    <n v="0"/>
    <n v="1163.79"/>
    <n v="0"/>
    <n v="1158.8800000000001"/>
    <s v="AD"/>
    <n v="1"/>
    <n v="1254"/>
    <n v="1081"/>
    <n v="0"/>
    <n v="1081"/>
  </r>
  <r>
    <x v="13"/>
    <s v="FEDERICO ROSALES STRUCK"/>
    <n v="10"/>
    <n v="36"/>
    <d v="1899-12-31T11:00:00"/>
    <s v="FROSALESSTRUCK@GMAIL.COM"/>
    <x v="3"/>
    <n v="1081.365"/>
    <n v="0"/>
    <n v="1163.79"/>
    <n v="0"/>
    <n v="1158.8800000000001"/>
    <s v="AD"/>
    <n v="1"/>
    <n v="1254"/>
    <n v="1081"/>
    <n v="0"/>
    <n v="1081"/>
  </r>
  <r>
    <x v="13"/>
    <s v="CARLOS PEÃ‘A MICHEL"/>
    <n v="10"/>
    <n v="36"/>
    <d v="1899-12-31T23:59:00"/>
    <s v="MPSOLRAC@GMAIL.COM"/>
    <x v="3"/>
    <n v="1081.1373000000001"/>
    <n v="0"/>
    <n v="1163.79"/>
    <n v="0"/>
    <n v="1158.8800000000001"/>
    <s v="AD"/>
    <n v="1"/>
    <n v="1254"/>
    <n v="1081"/>
    <n v="0"/>
    <n v="1081"/>
  </r>
  <r>
    <x v="13"/>
    <s v="HÃ‰CTOR ANTONIO ESPINOZA MONROY"/>
    <n v="3"/>
    <n v="36"/>
    <d v="1899-12-31T11:00:00"/>
    <s v="ROSMERYDAB3@GMAIL.COM"/>
    <x v="0"/>
    <n v="1081.627"/>
    <n v="2.5"/>
    <n v="1163.79"/>
    <n v="1.9580666999707901"/>
    <n v="1158.8800000000001"/>
    <s v="AD"/>
    <n v="1"/>
    <n v="1282"/>
    <n v="1109"/>
    <n v="0"/>
    <n v="1109"/>
  </r>
  <r>
    <x v="13"/>
    <s v="HÃ‰CTOR ANTONIO ESPINOZA MONROY"/>
    <n v="3"/>
    <n v="36"/>
    <d v="1899-12-31T11:00:00"/>
    <s v="ROSMERYDAN3@GMAIL.COM"/>
    <x v="0"/>
    <n v="1081.627"/>
    <n v="2.5"/>
    <n v="1163.79"/>
    <n v="1.9580666999707901"/>
    <n v="1158.8800000000001"/>
    <s v="AD"/>
    <n v="1"/>
    <n v="1282"/>
    <n v="1109"/>
    <n v="0"/>
    <n v="1109"/>
  </r>
  <r>
    <x v="13"/>
    <s v="ROSALBA VÃZQUEZ GAYOSSO"/>
    <n v="2"/>
    <n v="36"/>
    <d v="1899-12-31T11:00:00"/>
    <s v="ROSMERYDAB3@GMAIL.COM"/>
    <x v="0"/>
    <n v="1081.6449"/>
    <n v="2.5"/>
    <n v="1163.79"/>
    <n v="1.9580666999707901"/>
    <n v="1158.8800000000001"/>
    <s v="AD"/>
    <n v="1"/>
    <n v="1282"/>
    <n v="1109"/>
    <n v="0"/>
    <n v="1109"/>
  </r>
  <r>
    <x v="13"/>
    <s v="ROSALBA VÃZQUEZ GAYOSSO"/>
    <n v="2"/>
    <n v="36"/>
    <d v="1899-12-31T11:00:00"/>
    <s v="ROSMERYDAN3@GMAIL.COM"/>
    <x v="0"/>
    <n v="1081.6449"/>
    <n v="2.5"/>
    <n v="1163.79"/>
    <n v="1.9580666999707901"/>
    <n v="1158.8800000000001"/>
    <s v="AD"/>
    <n v="1"/>
    <n v="1282"/>
    <n v="1109"/>
    <n v="0"/>
    <n v="1109"/>
  </r>
  <r>
    <x v="13"/>
    <s v="BLANCA MARIA EUGENIA BERNAL VAZQUEZ"/>
    <n v="19"/>
    <n v="36"/>
    <d v="1899-12-31T23:10:00"/>
    <s v="blanca.maria.eugenia.bernal.vazquez@ejemplo.com"/>
    <x v="1"/>
    <n v="1081.01"/>
    <n v="10"/>
    <n v="1163.79"/>
    <n v="7.8322667998831603"/>
    <n v="609.91"/>
    <s v="NI"/>
    <n v="1"/>
    <n v="1362"/>
    <n v="1189"/>
    <n v="0.5"/>
    <n v="594.5"/>
  </r>
  <r>
    <x v="13"/>
    <s v="IGNACIO OCTAVIO VAZQUEZ MANJARREZ"/>
    <n v="20"/>
    <n v="36"/>
    <d v="1899-12-31T23:10:00"/>
    <s v="ignacio.octavio.vazquez.manjarrez@ejemplo.com"/>
    <x v="1"/>
    <n v="1080.992"/>
    <n v="10"/>
    <n v="1163.79"/>
    <n v="7.8322667998831603"/>
    <n v="609.91"/>
    <s v="NI"/>
    <n v="1"/>
    <n v="1362"/>
    <n v="1189"/>
    <n v="0.5"/>
    <n v="594.5"/>
  </r>
  <r>
    <x v="13"/>
    <s v="JESUS ROSALES NOLAZCO"/>
    <n v="4"/>
    <n v="36"/>
    <d v="1899-12-31T11:00:00"/>
    <s v="jesus.rosales.nolazco@ejemplo.com"/>
    <x v="5"/>
    <n v="1081.3391999999999"/>
    <n v="8.5"/>
    <n v="1163.79"/>
    <n v="6.6574267799006801"/>
    <n v="1219.83"/>
    <s v="AD"/>
    <n v="1"/>
    <n v="1346"/>
    <n v="1173"/>
    <n v="0"/>
    <n v="1173"/>
  </r>
  <r>
    <x v="13"/>
    <s v="JAIR PERCASTEGUI MORENO"/>
    <n v="7"/>
    <n v="36"/>
    <d v="1899-12-31T11:00:00"/>
    <s v="jair.percastegui.moreno@ejemplo.com"/>
    <x v="5"/>
    <n v="1081.4056"/>
    <n v="8.5"/>
    <n v="1163.79"/>
    <n v="6.6574267799006801"/>
    <n v="1219.83"/>
    <s v="AD"/>
    <n v="1"/>
    <n v="1346"/>
    <n v="1173"/>
    <n v="0"/>
    <n v="1173"/>
  </r>
  <r>
    <x v="13"/>
    <s v="HECTOR GUEMES REYNAGA"/>
    <n v="3"/>
    <n v="36"/>
    <d v="1899-12-31T02:00:00"/>
    <s v="TRASLADOS.MX@MEDIAPRO.TV"/>
    <x v="0"/>
    <n v="1081.4848999999999"/>
    <n v="2.5"/>
    <n v="1163.79"/>
    <n v="1.9580666999707901"/>
    <n v="1158.8800000000001"/>
    <s v="AD"/>
    <n v="1"/>
    <n v="1282"/>
    <n v="1109"/>
    <n v="0"/>
    <n v="1109"/>
  </r>
  <r>
    <x v="13"/>
    <s v="JOSE ALEJANDRO JIMENEZ JARAMILLO"/>
    <n v="6"/>
    <n v="36"/>
    <d v="1899-12-31T02:00:00"/>
    <s v="TRASLADOS.MX@MEDIAPRO.TV"/>
    <x v="0"/>
    <n v="1081.4309000000001"/>
    <n v="2.5"/>
    <n v="1163.79"/>
    <n v="1.9580666999707901"/>
    <n v="1158.8800000000001"/>
    <s v="AD"/>
    <n v="1"/>
    <n v="1281"/>
    <n v="1108"/>
    <n v="0"/>
    <n v="1108"/>
  </r>
  <r>
    <x v="13"/>
    <s v="MARCO ANTONIO RAMÃREZ VENEGAS"/>
    <n v="5"/>
    <n v="36"/>
    <d v="1899-12-31T02:00:00"/>
    <s v="TRASLADOS.MX@MEDIAPRO.TV"/>
    <x v="0"/>
    <n v="1081.4490000000001"/>
    <n v="2.5"/>
    <n v="1163.79"/>
    <n v="1.9580666999707901"/>
    <n v="1158.8800000000001"/>
    <s v="AD"/>
    <n v="1"/>
    <n v="1282"/>
    <n v="1108"/>
    <n v="0"/>
    <n v="1108"/>
  </r>
  <r>
    <x v="13"/>
    <s v="RAUL AREVALO VELASQUEZ"/>
    <n v="18"/>
    <n v="36"/>
    <d v="1899-12-31T11:00:00"/>
    <s v="raul.arevalo.velasquez@ejemplo.com"/>
    <x v="3"/>
    <n v="1081.2070000000001"/>
    <n v="0"/>
    <n v="1163.79"/>
    <n v="0"/>
    <n v="975.86"/>
    <s v="PE"/>
    <n v="1"/>
    <n v="1254"/>
    <n v="1081"/>
    <n v="0"/>
    <n v="1081"/>
  </r>
  <r>
    <x v="13"/>
    <s v="NORMA OLIVEROS LOPEZ"/>
    <n v="13"/>
    <n v="36"/>
    <d v="1899-12-31T11:00:00"/>
    <s v="REPRESENTACION@AGIMOLDES.MX"/>
    <x v="5"/>
    <n v="1081.2971"/>
    <n v="8.5"/>
    <n v="1163.79"/>
    <n v="6.6574267799006801"/>
    <n v="1082.33"/>
    <s v="AD"/>
    <n v="1"/>
    <n v="1346"/>
    <n v="1173"/>
    <n v="0"/>
    <n v="1173"/>
  </r>
  <r>
    <x v="13"/>
    <s v="FENG ZHANG"/>
    <n v="13"/>
    <n v="36"/>
    <d v="1899-12-31T06:00:00"/>
    <s v="LIULIXIONG0302@163.COM"/>
    <x v="0"/>
    <n v="1081.3684000000001"/>
    <n v="2.5"/>
    <n v="1163.79"/>
    <n v="1.9580666999707901"/>
    <n v="1158.8800000000001"/>
    <s v="AD"/>
    <n v="1"/>
    <n v="1281"/>
    <n v="1108"/>
    <n v="0"/>
    <n v="1108"/>
  </r>
  <r>
    <x v="13"/>
    <s v="FENG ZHANG"/>
    <n v="13"/>
    <n v="36"/>
    <d v="1899-12-31T06:00:00"/>
    <s v="LIULIXIONG0302@163.COM"/>
    <x v="0"/>
    <n v="1081.3684000000001"/>
    <n v="2.5"/>
    <n v="1163.79"/>
    <n v="1.9580666999707901"/>
    <n v="1158.8800000000001"/>
    <s v="AD"/>
    <n v="1"/>
    <n v="1281"/>
    <n v="1108"/>
    <n v="0"/>
    <n v="1108"/>
  </r>
  <r>
    <x v="13"/>
    <s v="HAOTIAN SUN"/>
    <n v="7"/>
    <n v="36"/>
    <d v="1899-12-31T06:00:00"/>
    <s v="LIULIXIONG0302@163.COM"/>
    <x v="0"/>
    <n v="1081.4763"/>
    <n v="2.5"/>
    <n v="1163.79"/>
    <n v="1.9580666999707901"/>
    <n v="1158.8800000000001"/>
    <s v="AD"/>
    <n v="1"/>
    <n v="1282"/>
    <n v="1109"/>
    <n v="0"/>
    <n v="1109"/>
  </r>
  <r>
    <x v="13"/>
    <s v="HAOTIAN SUN"/>
    <n v="7"/>
    <n v="36"/>
    <d v="1899-12-31T06:00:00"/>
    <s v="LIULIXIONG0302@163.COM"/>
    <x v="0"/>
    <n v="1081.4763"/>
    <n v="2.5"/>
    <n v="1163.79"/>
    <n v="1.9580666999707901"/>
    <n v="1158.8800000000001"/>
    <s v="AD"/>
    <n v="1"/>
    <n v="1282"/>
    <n v="1109"/>
    <n v="0"/>
    <n v="1109"/>
  </r>
  <r>
    <x v="13"/>
    <s v="LETIAN WANG"/>
    <n v="10"/>
    <n v="36"/>
    <d v="1899-12-31T06:00:00"/>
    <s v="LIULIXIONG0302@163.COM"/>
    <x v="0"/>
    <n v="1081.4224999999999"/>
    <n v="2.5"/>
    <n v="1163.79"/>
    <n v="1.9580666999707901"/>
    <n v="1158.8800000000001"/>
    <s v="AD"/>
    <n v="1"/>
    <n v="1281"/>
    <n v="1108"/>
    <n v="0"/>
    <n v="1108"/>
  </r>
  <r>
    <x v="13"/>
    <s v="LETIAN WANG"/>
    <n v="10"/>
    <n v="36"/>
    <d v="1899-12-31T06:00:00"/>
    <s v="LIULIXIONG0302@163.COM"/>
    <x v="0"/>
    <n v="1081.4224999999999"/>
    <n v="2.5"/>
    <n v="1163.79"/>
    <n v="1.9580666999707901"/>
    <n v="1158.8800000000001"/>
    <s v="AD"/>
    <n v="1"/>
    <n v="1281"/>
    <n v="1108"/>
    <n v="0"/>
    <n v="1108"/>
  </r>
  <r>
    <x v="13"/>
    <s v="LIXIONG LIU"/>
    <n v="1"/>
    <n v="36"/>
    <d v="1899-12-31T06:00:00"/>
    <s v="LIULIXIONG0302@163.COM"/>
    <x v="0"/>
    <n v="1081.5841"/>
    <n v="2.5"/>
    <n v="1163.79"/>
    <n v="1.9580666999707901"/>
    <n v="1158.8800000000001"/>
    <s v="AD"/>
    <n v="1"/>
    <n v="1282"/>
    <n v="1109"/>
    <n v="0"/>
    <n v="1109"/>
  </r>
  <r>
    <x v="13"/>
    <s v="LIXIONG LIU"/>
    <n v="1"/>
    <n v="36"/>
    <d v="1899-12-31T06:00:00"/>
    <s v="LIULIXIONG0302@163.COM"/>
    <x v="0"/>
    <n v="1081.5841"/>
    <n v="2.5"/>
    <n v="1163.79"/>
    <n v="1.9580666999707901"/>
    <n v="1158.8800000000001"/>
    <s v="AD"/>
    <n v="1"/>
    <n v="1282"/>
    <n v="1109"/>
    <n v="0"/>
    <n v="1109"/>
  </r>
  <r>
    <x v="13"/>
    <s v="JOSE DE JESUS NAVARRO GARCIA"/>
    <n v="27"/>
    <n v="36"/>
    <d v="1899-12-31T11:00:00"/>
    <s v="jose.de.jesus.navarro.garcia@ejemplo.com"/>
    <x v="5"/>
    <n v="1080.9251999999999"/>
    <n v="8.5"/>
    <n v="1163.79"/>
    <n v="6.6574267799006801"/>
    <n v="1219.83"/>
    <s v="AD"/>
    <n v="1"/>
    <n v="1346"/>
    <n v="1173"/>
    <n v="0"/>
    <n v="1173"/>
  </r>
  <r>
    <x v="13"/>
    <s v="IVAN RAMIREZ"/>
    <n v="1"/>
    <n v="36"/>
    <d v="1899-12-31T11:00:00"/>
    <s v="ivan.ramirez@ejemplo.com"/>
    <x v="5"/>
    <n v="1081.5253"/>
    <n v="8.5"/>
    <n v="1163.79"/>
    <n v="6.6574267799006801"/>
    <n v="1219.83"/>
    <s v="AD"/>
    <n v="1"/>
    <n v="1346"/>
    <n v="1173"/>
    <n v="0"/>
    <n v="1173"/>
  </r>
  <r>
    <x v="13"/>
    <s v="CHRISTIAN GONZALEZ"/>
    <n v="16"/>
    <n v="36"/>
    <d v="1899-12-31T02:00:00"/>
    <s v="KILYHERTZ@GMAIL.COM"/>
    <x v="0"/>
    <n v="1081.3164999999999"/>
    <n v="2.5"/>
    <n v="1163.79"/>
    <n v="1.9580666999707901"/>
    <n v="1158.8800000000001"/>
    <s v="AD"/>
    <n v="1"/>
    <n v="1281"/>
    <n v="1108"/>
    <n v="0"/>
    <n v="1108"/>
  </r>
  <r>
    <x v="13"/>
    <s v="ARTURO ISLAS GUZMN"/>
    <n v="14"/>
    <n v="36"/>
    <d v="1899-12-31T23:59:00"/>
    <s v="ARTUROISLAS40@GMAIL.COM"/>
    <x v="3"/>
    <n v="1081.0645999999999"/>
    <n v="0"/>
    <n v="1163.79"/>
    <n v="0"/>
    <n v="1158.8800000000001"/>
    <s v="AD"/>
    <n v="1"/>
    <n v="1254"/>
    <n v="1081"/>
    <n v="0"/>
    <n v="1081"/>
  </r>
  <r>
    <x v="13"/>
    <s v="ARTURO ISLAS GUZMN"/>
    <n v="14"/>
    <n v="36"/>
    <d v="1899-12-31T23:59:00"/>
    <s v="MARA_RAMOS2020@HOTMAIL.COM"/>
    <x v="3"/>
    <n v="1081.0645999999999"/>
    <n v="0"/>
    <n v="1163.79"/>
    <n v="0"/>
    <n v="1158.8800000000001"/>
    <s v="AD"/>
    <n v="1"/>
    <n v="1254"/>
    <n v="1081"/>
    <n v="0"/>
    <n v="1081"/>
  </r>
  <r>
    <x v="13"/>
    <s v="MARÃA ROSA ESCOBEDO RAMOS"/>
    <n v="13"/>
    <n v="36"/>
    <d v="1899-12-31T23:59:00"/>
    <s v="ARTUROISLAS40@GMAIL.COM"/>
    <x v="3"/>
    <n v="1081.0825"/>
    <n v="0"/>
    <n v="1163.79"/>
    <n v="0"/>
    <n v="1158.8800000000001"/>
    <s v="AD"/>
    <n v="1"/>
    <n v="1254"/>
    <n v="1081"/>
    <n v="0"/>
    <n v="1081"/>
  </r>
  <r>
    <x v="13"/>
    <s v="MARÃA ROSA ESCOBEDO RAMOS"/>
    <n v="13"/>
    <n v="36"/>
    <d v="1899-12-31T23:59:00"/>
    <s v="MARA_RAMOS2020@HOTMAIL.COM"/>
    <x v="3"/>
    <n v="1081.0825"/>
    <n v="0"/>
    <n v="1163.79"/>
    <n v="0"/>
    <n v="1158.8800000000001"/>
    <s v="AD"/>
    <n v="1"/>
    <n v="1254"/>
    <n v="1081"/>
    <n v="0"/>
    <n v="1081"/>
  </r>
  <r>
    <x v="13"/>
    <s v="PAULO ARTURO ISLAS ESCOBEDO"/>
    <n v="15"/>
    <n v="36"/>
    <d v="1899-12-31T23:59:00"/>
    <s v="ARTUROISLAS40@GMAIL.COM"/>
    <x v="3"/>
    <n v="1081.0463999999999"/>
    <n v="0"/>
    <n v="1163.79"/>
    <n v="0"/>
    <n v="609.91"/>
    <s v="NI"/>
    <n v="1"/>
    <n v="1254"/>
    <n v="1081"/>
    <n v="0.5"/>
    <n v="540.5"/>
  </r>
  <r>
    <x v="13"/>
    <s v="PAULO ARTURO ISLAS ESCOBEDO"/>
    <n v="15"/>
    <n v="36"/>
    <d v="1899-12-31T23:59:00"/>
    <s v="MARA_RAMOS2020@HOTMAIL.COM"/>
    <x v="3"/>
    <n v="1081.0463999999999"/>
    <n v="0"/>
    <n v="1163.79"/>
    <n v="0"/>
    <n v="609.91"/>
    <s v="NI"/>
    <n v="1"/>
    <n v="1254"/>
    <n v="1081"/>
    <n v="0.5"/>
    <n v="540.5"/>
  </r>
  <r>
    <x v="13"/>
    <s v="MARIA DEL CARMEN POALAFOX FRANCO"/>
    <n v="17"/>
    <n v="35"/>
    <d v="1899-12-31T23:30:00"/>
    <s v="ETNPASES@GMAIL.COM"/>
    <x v="2"/>
    <n v="1078.8333"/>
    <n v="7"/>
    <n v="1163.79"/>
    <n v="5.4825867599182097"/>
    <n v="1219.83"/>
    <s v="AD"/>
    <n v="1"/>
    <n v="1327"/>
    <n v="1154"/>
    <n v="0"/>
    <n v="1154"/>
  </r>
  <r>
    <x v="13"/>
    <s v="MARIA DEL CARMEN POALAFOX FRANCO"/>
    <n v="17"/>
    <n v="35"/>
    <d v="1899-12-31T23:30:00"/>
    <s v="ETBPASES@GMAIL.COM"/>
    <x v="2"/>
    <n v="1078.8333"/>
    <n v="7"/>
    <n v="1163.79"/>
    <n v="5.4825867599182097"/>
    <n v="1219.83"/>
    <s v="AD"/>
    <n v="1"/>
    <n v="1327"/>
    <n v="1154"/>
    <n v="0"/>
    <n v="1154"/>
  </r>
  <r>
    <x v="13"/>
    <s v="JUAN JOSE SANCHEZ GRANADOS"/>
    <n v="18"/>
    <n v="35"/>
    <d v="1899-12-31T23:30:00"/>
    <s v="ETNPASES@GMAIL.COM"/>
    <x v="2"/>
    <n v="1078.8152"/>
    <n v="7"/>
    <n v="1163.79"/>
    <n v="5.4825867599182097"/>
    <n v="609.91"/>
    <s v="OD"/>
    <n v="1"/>
    <n v="1327"/>
    <n v="1154"/>
    <n v="0.5"/>
    <n v="577"/>
  </r>
  <r>
    <x v="13"/>
    <s v="JUAN JOSE SANCHEZ GRANADOS"/>
    <n v="18"/>
    <n v="35"/>
    <d v="1899-12-31T23:30:00"/>
    <s v="ETBPASES@GMAIL.COM"/>
    <x v="2"/>
    <n v="1078.8152"/>
    <n v="7"/>
    <n v="1163.79"/>
    <n v="5.4825867599182097"/>
    <n v="609.91"/>
    <s v="OD"/>
    <n v="1"/>
    <n v="1327"/>
    <n v="1154"/>
    <n v="0.5"/>
    <n v="577"/>
  </r>
  <r>
    <x v="13"/>
    <s v="BRAYAN CORIA BACILIO"/>
    <n v="26"/>
    <n v="36"/>
    <d v="1899-12-31T02:00:00"/>
    <s v="GABRIEL7GERSTNER@GMAIL.COM"/>
    <x v="0"/>
    <n v="1081.0033000000001"/>
    <n v="2.5"/>
    <n v="1163.79"/>
    <n v="1.9580666999707901"/>
    <n v="609.91"/>
    <s v="OD"/>
    <n v="1"/>
    <n v="1281"/>
    <n v="1108"/>
    <n v="0.5"/>
    <n v="554"/>
  </r>
  <r>
    <x v="13"/>
    <s v="MA TERESA SALINAS SOTO"/>
    <n v="4"/>
    <n v="36"/>
    <d v="1899-12-31T11:00:00"/>
    <s v="ma.teresa.salinas.soto@ejemplo.com"/>
    <x v="1"/>
    <n v="1081.3860999999999"/>
    <n v="10"/>
    <n v="1163.79"/>
    <n v="7.8322667998831603"/>
    <n v="609.91"/>
    <s v="NI"/>
    <n v="1"/>
    <n v="1363"/>
    <n v="1190"/>
    <n v="0.5"/>
    <n v="595"/>
  </r>
  <r>
    <x v="13"/>
    <s v="GUILLERMO GARCÃA"/>
    <n v="2"/>
    <n v="36"/>
    <d v="1899-12-31T23:59:00"/>
    <s v="MEMOSKY2004@GMAIL.COM"/>
    <x v="3"/>
    <n v="1081.2793999999999"/>
    <n v="0"/>
    <n v="1163.79"/>
    <n v="0"/>
    <n v="1158.8800000000001"/>
    <s v="AD"/>
    <n v="1"/>
    <n v="1254"/>
    <n v="1081"/>
    <n v="0"/>
    <n v="1081"/>
  </r>
  <r>
    <x v="13"/>
    <s v="GUILLERMO GARCÃA"/>
    <n v="2"/>
    <n v="36"/>
    <d v="1899-12-31T23:59:00"/>
    <s v="XIPOJI20@GMAIL.COM"/>
    <x v="3"/>
    <n v="1081.2793999999999"/>
    <n v="0"/>
    <n v="1163.79"/>
    <n v="0"/>
    <n v="1158.8800000000001"/>
    <s v="AD"/>
    <n v="1"/>
    <n v="1254"/>
    <n v="1081"/>
    <n v="0"/>
    <n v="1081"/>
  </r>
  <r>
    <x v="13"/>
    <s v="XOCHITL POPOCA"/>
    <n v="3"/>
    <n v="36"/>
    <d v="1899-12-31T23:59:00"/>
    <s v="MEMOSKY2004@GMAIL.COM"/>
    <x v="3"/>
    <n v="1081.2616"/>
    <n v="0"/>
    <n v="1163.79"/>
    <n v="0"/>
    <n v="1158.8800000000001"/>
    <s v="AD"/>
    <n v="1"/>
    <n v="1254"/>
    <n v="1081"/>
    <n v="0"/>
    <n v="1081"/>
  </r>
  <r>
    <x v="13"/>
    <s v="XOCHITL POPOCA"/>
    <n v="3"/>
    <n v="36"/>
    <d v="1899-12-31T23:59:00"/>
    <s v="XIPOJI20@GMAIL.COM"/>
    <x v="3"/>
    <n v="1081.2616"/>
    <n v="0"/>
    <n v="1163.79"/>
    <n v="0"/>
    <n v="1158.8800000000001"/>
    <s v="AD"/>
    <n v="1"/>
    <n v="1254"/>
    <n v="1081"/>
    <n v="0"/>
    <n v="1081"/>
  </r>
  <r>
    <x v="13"/>
    <s v="JOSEFINA CANTON RIVERA Y RIO"/>
    <n v="1"/>
    <n v="36"/>
    <d v="1899-12-31T23:30:00"/>
    <s v="josefina.canton.rivera.y.rio@ejemplo.com"/>
    <x v="4"/>
    <n v="1081.4268"/>
    <n v="5"/>
    <n v="1163.79"/>
    <n v="3.9161333999415802"/>
    <n v="609.91"/>
    <s v="IN"/>
    <n v="1"/>
    <n v="1309"/>
    <n v="1135"/>
    <n v="0.5"/>
    <n v="567.5"/>
  </r>
  <r>
    <x v="13"/>
    <s v="RAMON MORENO CRUCES"/>
    <n v="7"/>
    <n v="36"/>
    <d v="1899-12-31T02:00:00"/>
    <s v="TRASLADOS.MX@MEDIAPRO.TV"/>
    <x v="0"/>
    <n v="1081.4775"/>
    <n v="2.5"/>
    <n v="1163.79"/>
    <n v="1.9580666999707901"/>
    <n v="1158.8800000000001"/>
    <s v="AD"/>
    <n v="1"/>
    <n v="1282"/>
    <n v="1109"/>
    <n v="0"/>
    <n v="1109"/>
  </r>
  <r>
    <x v="13"/>
    <s v="RAFAEL PEREZ PEREZ"/>
    <n v="15"/>
    <n v="36"/>
    <d v="1899-12-31T02:00:00"/>
    <s v="RPEREZ.LACY@GMAIL.COM"/>
    <x v="0"/>
    <n v="1081.4843000000001"/>
    <n v="2.5"/>
    <n v="1163.79"/>
    <n v="1.9580666999707901"/>
    <n v="1158.8800000000001"/>
    <s v="AD"/>
    <n v="1"/>
    <n v="1282"/>
    <n v="1109"/>
    <n v="0"/>
    <n v="1109"/>
  </r>
  <r>
    <x v="13"/>
    <s v="JESUS ALEJANDRO SALINAS BARAJAS"/>
    <n v="3"/>
    <n v="36"/>
    <d v="1899-12-31T23:59:00"/>
    <s v="SALINAS.JESUS@UABC.EDU.MX"/>
    <x v="2"/>
    <n v="1081.3173999999999"/>
    <n v="7"/>
    <n v="1163.79"/>
    <n v="5.4825867599182097"/>
    <n v="1158.8800000000001"/>
    <s v="AD"/>
    <n v="1"/>
    <n v="1330"/>
    <n v="1157"/>
    <n v="0"/>
    <n v="1157"/>
  </r>
  <r>
    <x v="13"/>
    <s v="JAVIER RESENDIZ"/>
    <n v="31"/>
    <n v="36"/>
    <d v="1899-12-31T23:59:00"/>
    <s v="JRESENDIZLARA@GMAIL.COM"/>
    <x v="0"/>
    <n v="1080.6813"/>
    <n v="2.5"/>
    <n v="1163.79"/>
    <n v="1.9580666999707901"/>
    <n v="1158.8800000000001"/>
    <s v="AD"/>
    <n v="1"/>
    <n v="1281"/>
    <n v="1108"/>
    <n v="0"/>
    <n v="1108"/>
  </r>
  <r>
    <x v="13"/>
    <s v="FRANCISCA LOPEZ CORTEZ"/>
    <n v="34"/>
    <n v="36"/>
    <d v="1899-12-31T11:00:00"/>
    <s v="francisca.lopez.cortez@ejemplo.com"/>
    <x v="4"/>
    <n v="1080.8317"/>
    <n v="5"/>
    <n v="1163.79"/>
    <n v="3.9161333999415802"/>
    <n v="609.91"/>
    <s v="IN"/>
    <n v="1"/>
    <n v="1308"/>
    <n v="1135"/>
    <n v="0.5"/>
    <n v="567.5"/>
  </r>
  <r>
    <x v="13"/>
    <s v="INSEN MARIA DEL ROSARIO SABINA CORTES LOPEZ"/>
    <n v="35"/>
    <n v="36"/>
    <d v="1899-12-31T11:00:00"/>
    <s v="insen.maria.del.rosario.sabina.cortes.lopez@ejemplo.com"/>
    <x v="1"/>
    <n v="1080.8136"/>
    <n v="10"/>
    <n v="1163.79"/>
    <n v="7.8322667998831603"/>
    <n v="609.91"/>
    <s v="NI"/>
    <n v="1"/>
    <n v="1362"/>
    <n v="1189"/>
    <n v="0.5"/>
    <n v="594.5"/>
  </r>
  <r>
    <x v="13"/>
    <s v="NURIA MONARREZ ROQUETA"/>
    <n v="18"/>
    <n v="36"/>
    <d v="1899-12-31T23:10:00"/>
    <s v="NMONARREZ@GUIMOL.COM"/>
    <x v="0"/>
    <n v="1080.9905000000001"/>
    <n v="2.5"/>
    <n v="1163.79"/>
    <n v="1.9580666999707901"/>
    <n v="1158.8800000000001"/>
    <s v="AD"/>
    <n v="1"/>
    <n v="1281"/>
    <n v="1108"/>
    <n v="0"/>
    <n v="1108"/>
  </r>
  <r>
    <x v="13"/>
    <s v="ISRAEL ORTEGA MENDOZA"/>
    <n v="21"/>
    <n v="36"/>
    <d v="1899-12-31T11:00:00"/>
    <s v="MX.ORTEGA@GMAIL.COM"/>
    <x v="2"/>
    <n v="1081.2103"/>
    <n v="7"/>
    <n v="1163.79"/>
    <n v="5.4825867599182097"/>
    <n v="1158.8800000000001"/>
    <s v="AD"/>
    <n v="1"/>
    <n v="1330"/>
    <n v="1157"/>
    <n v="0"/>
    <n v="1157"/>
  </r>
  <r>
    <x v="13"/>
    <s v="ISRAEL ORTEGA MENDOZA"/>
    <n v="21"/>
    <n v="36"/>
    <d v="1899-12-31T11:00:00"/>
    <s v="JULIETAFAJARDO90@GMAIL.COM"/>
    <x v="2"/>
    <n v="1081.2103"/>
    <n v="7"/>
    <n v="1163.79"/>
    <n v="5.4825867599182097"/>
    <n v="1158.8800000000001"/>
    <s v="AD"/>
    <n v="1"/>
    <n v="1330"/>
    <n v="1157"/>
    <n v="0"/>
    <n v="1157"/>
  </r>
  <r>
    <x v="13"/>
    <s v="JULIETA FAJARDO FARIAS"/>
    <n v="24"/>
    <n v="36"/>
    <d v="1899-12-31T11:00:00"/>
    <s v="MX.ORTEGA@GMAIL.COM"/>
    <x v="2"/>
    <n v="1081.0238999999999"/>
    <n v="7"/>
    <n v="1163.79"/>
    <n v="5.4825867599182097"/>
    <n v="1158.8800000000001"/>
    <s v="AD"/>
    <n v="1"/>
    <n v="1330"/>
    <n v="1157"/>
    <n v="0"/>
    <n v="1157"/>
  </r>
  <r>
    <x v="13"/>
    <s v="JULIETA FAJARDO FARIAS"/>
    <n v="24"/>
    <n v="36"/>
    <d v="1899-12-31T11:00:00"/>
    <s v="JULIETAFAJARDO90@GMAIL.COM"/>
    <x v="2"/>
    <n v="1081.0238999999999"/>
    <n v="7"/>
    <n v="1163.79"/>
    <n v="5.4825867599182097"/>
    <n v="1158.8800000000001"/>
    <s v="AD"/>
    <n v="1"/>
    <n v="1330"/>
    <n v="1157"/>
    <n v="0"/>
    <n v="1157"/>
  </r>
  <r>
    <x v="13"/>
    <s v="JOSE RODRIGUEZ CHAVOYA"/>
    <n v="17"/>
    <n v="36"/>
    <d v="1899-12-31T23:59:00"/>
    <s v="jose.rodriguez.chavoya@ejemplo.com"/>
    <x v="4"/>
    <n v="1081.0005000000001"/>
    <n v="5"/>
    <n v="1163.79"/>
    <n v="3.9161333999415802"/>
    <n v="609.91"/>
    <s v="IN"/>
    <n v="1"/>
    <n v="1308"/>
    <n v="1135"/>
    <n v="0.5"/>
    <n v="567.5"/>
  </r>
  <r>
    <x v="13"/>
    <s v="MA DEL CARMEN ENRIQUETA LEYVA SANCHEZ"/>
    <n v="30"/>
    <n v="36"/>
    <d v="1899-12-31T23:30:00"/>
    <s v="ma.del.carmen.enriqueta.leyva.sanchez@ejemplo.com"/>
    <x v="1"/>
    <n v="1080.6278"/>
    <n v="10"/>
    <n v="1163.79"/>
    <n v="7.8322667998831603"/>
    <n v="609.91"/>
    <s v="NI"/>
    <n v="1"/>
    <n v="1362"/>
    <n v="1189"/>
    <n v="0.5"/>
    <n v="594.5"/>
  </r>
  <r>
    <x v="13"/>
    <s v="LUCIO FERMIN LEYVA SANCHEZ"/>
    <n v="31"/>
    <n v="36"/>
    <d v="1899-12-31T23:30:00"/>
    <s v="lucio.fermin.leyva.sanchez@ejemplo.com"/>
    <x v="1"/>
    <n v="1080.5831000000001"/>
    <n v="10"/>
    <n v="1163.79"/>
    <n v="7.8322667998831603"/>
    <n v="609.91"/>
    <s v="NI"/>
    <n v="1"/>
    <n v="1362"/>
    <n v="1189"/>
    <n v="0.5"/>
    <n v="594.5"/>
  </r>
  <r>
    <x v="13"/>
    <s v="JANINTSERANI LEYVA GARCIA"/>
    <n v="35"/>
    <n v="36"/>
    <d v="1899-12-31T23:30:00"/>
    <s v="janintserani.leyva.garcia@ejemplo.com"/>
    <x v="2"/>
    <n v="1080.4039"/>
    <n v="7"/>
    <n v="1163.79"/>
    <n v="5.4825867599182097"/>
    <n v="1219.83"/>
    <s v="AD"/>
    <n v="1"/>
    <n v="1329"/>
    <n v="1156"/>
    <n v="0"/>
    <n v="1156"/>
  </r>
  <r>
    <x v="13"/>
    <s v="LUZ JOSEFINA REYES"/>
    <n v="24"/>
    <n v="36"/>
    <d v="1899-12-31T23:10:00"/>
    <s v="CEJABLANCA700@GMAIL.COM"/>
    <x v="3"/>
    <n v="1080.749"/>
    <n v="0"/>
    <n v="1163.79"/>
    <n v="0"/>
    <n v="1158.8800000000001"/>
    <s v="AD"/>
    <n v="1"/>
    <n v="1254"/>
    <n v="1081"/>
    <n v="0"/>
    <n v="1081"/>
  </r>
  <r>
    <x v="13"/>
    <s v="JOSE MEDINA RAMIREZ"/>
    <n v="24"/>
    <n v="36"/>
    <d v="1899-12-31T23:59:00"/>
    <s v="MTG210921@GMAIL.COM"/>
    <x v="3"/>
    <n v="1080.749"/>
    <n v="0"/>
    <n v="1163.79"/>
    <n v="0"/>
    <n v="1158.8800000000001"/>
    <s v="AD"/>
    <n v="1"/>
    <n v="1254"/>
    <n v="1081"/>
    <n v="0"/>
    <n v="1081"/>
  </r>
  <r>
    <x v="13"/>
    <s v="LAZARO HERRERA FLORES"/>
    <n v="21"/>
    <n v="36"/>
    <d v="1899-12-31T23:59:00"/>
    <s v="MTG210921@GMAIL.COM"/>
    <x v="3"/>
    <n v="1080.9355"/>
    <n v="0"/>
    <n v="1163.79"/>
    <n v="0"/>
    <n v="1158.8800000000001"/>
    <s v="AD"/>
    <n v="1"/>
    <n v="1254"/>
    <n v="1081"/>
    <n v="0"/>
    <n v="1081"/>
  </r>
  <r>
    <x v="13"/>
    <s v="CRISTIAN PANTALEON"/>
    <n v="27"/>
    <n v="36"/>
    <d v="1899-12-31T23:59:00"/>
    <s v="PAOLAA.FONG@GMAIL.COM"/>
    <x v="3"/>
    <n v="1080.6952000000001"/>
    <n v="0"/>
    <n v="1163.79"/>
    <n v="0"/>
    <n v="1158.8800000000001"/>
    <s v="AD"/>
    <n v="1"/>
    <n v="1254"/>
    <n v="1081"/>
    <n v="0"/>
    <n v="1081"/>
  </r>
  <r>
    <x v="13"/>
    <s v="GABRIEL ORDAZ"/>
    <n v="23"/>
    <n v="36"/>
    <d v="1899-12-31T23:59:00"/>
    <s v="PAOLAA.FONG@GMAIL.COM"/>
    <x v="3"/>
    <n v="1080.7670000000001"/>
    <n v="0"/>
    <n v="1163.79"/>
    <n v="0"/>
    <n v="1158.8800000000001"/>
    <s v="AD"/>
    <n v="1"/>
    <n v="1254"/>
    <n v="1081"/>
    <n v="0"/>
    <n v="1081"/>
  </r>
  <r>
    <x v="13"/>
    <s v="LEONARDO PANTALEON"/>
    <n v="20"/>
    <n v="36"/>
    <d v="1899-12-31T23:59:00"/>
    <s v="PAOLAA.FONG@GMAIL.COM"/>
    <x v="3"/>
    <n v="1080.9536000000001"/>
    <n v="0"/>
    <n v="1163.79"/>
    <n v="0"/>
    <n v="1158.8800000000001"/>
    <s v="AD"/>
    <n v="1"/>
    <n v="1254"/>
    <n v="1081"/>
    <n v="0"/>
    <n v="1081"/>
  </r>
  <r>
    <x v="13"/>
    <s v="RAFAEL PEREZ"/>
    <n v="36"/>
    <n v="36"/>
    <d v="1899-12-31T23:59:00"/>
    <s v="PAOLAA.FONG@GMAIL.COM"/>
    <x v="3"/>
    <n v="1080.5332000000001"/>
    <n v="0"/>
    <n v="1163.79"/>
    <n v="0"/>
    <n v="1158.8800000000001"/>
    <s v="AD"/>
    <n v="1"/>
    <n v="1253"/>
    <n v="1081"/>
    <n v="0"/>
    <n v="1081"/>
  </r>
  <r>
    <x v="13"/>
    <s v="MARTHA PATRICIA BLASIO SANCHEZ"/>
    <n v="10"/>
    <n v="36"/>
    <d v="1899-12-31T11:00:00"/>
    <s v="BRIBIESCA_ALEXANDER@HOTMAIL.COM"/>
    <x v="3"/>
    <n v="1081.3506"/>
    <n v="0"/>
    <n v="1163.79"/>
    <n v="0"/>
    <n v="1158.8800000000001"/>
    <s v="AD"/>
    <n v="1"/>
    <n v="1254"/>
    <n v="1081"/>
    <n v="0"/>
    <n v="1081"/>
  </r>
  <r>
    <x v="13"/>
    <s v="EDUARDO MOLINA"/>
    <n v="15"/>
    <n v="36"/>
    <d v="1899-12-31T23:59:00"/>
    <s v="VENTAS4@GRUPOEXPOINNOVACION.COM"/>
    <x v="0"/>
    <n v="1081.0999999999999"/>
    <n v="2.5"/>
    <n v="1163.79"/>
    <n v="1.9580666999707901"/>
    <n v="1158.8800000000001"/>
    <s v="AD"/>
    <n v="1"/>
    <n v="1281"/>
    <n v="1108"/>
    <n v="0"/>
    <n v="1108"/>
  </r>
  <r>
    <x v="13"/>
    <s v="ERNESTO TRILLAS"/>
    <n v="14"/>
    <n v="36"/>
    <d v="1899-12-31T23:59:00"/>
    <s v="VENTAS4@GRUPOEXPOINNOVACION.COM"/>
    <x v="0"/>
    <n v="1081.1179"/>
    <n v="2.5"/>
    <n v="1163.79"/>
    <n v="1.9580666999707901"/>
    <n v="1158.8800000000001"/>
    <s v="AD"/>
    <n v="1"/>
    <n v="1281"/>
    <n v="1108"/>
    <n v="0"/>
    <n v="1108"/>
  </r>
  <r>
    <x v="13"/>
    <s v="FEDERICO HERNANDEZ"/>
    <n v="26"/>
    <n v="36"/>
    <d v="1899-12-31T23:59:00"/>
    <s v="VENTAS4@GRUPOEXPOINNOVACION.COM"/>
    <x v="0"/>
    <n v="1080.7698"/>
    <n v="2.5"/>
    <n v="1163.79"/>
    <n v="1.9580666999707901"/>
    <n v="1158.8800000000001"/>
    <s v="AD"/>
    <n v="1"/>
    <n v="1281"/>
    <n v="1108"/>
    <n v="0"/>
    <n v="1108"/>
  </r>
  <r>
    <x v="13"/>
    <s v="GUSTAVO AGUILAR"/>
    <n v="25"/>
    <n v="36"/>
    <d v="1899-12-31T23:59:00"/>
    <s v="VENTAS4@GRUPOEXPOINNOVACION.COM"/>
    <x v="0"/>
    <n v="1080.7876000000001"/>
    <n v="2.5"/>
    <n v="1163.79"/>
    <n v="1.9580666999707901"/>
    <n v="1158.8800000000001"/>
    <s v="AD"/>
    <n v="1"/>
    <n v="1281"/>
    <n v="1108"/>
    <n v="0"/>
    <n v="1108"/>
  </r>
  <r>
    <x v="13"/>
    <s v="JAIR ANTONIO GARCIA"/>
    <n v="9"/>
    <n v="36"/>
    <d v="1899-12-31T23:59:00"/>
    <s v="VENTAS4@GRUPOEXPOINNOVACION.COM"/>
    <x v="0"/>
    <n v="1081.2079000000001"/>
    <n v="2.5"/>
    <n v="1163.79"/>
    <n v="1.9580666999707901"/>
    <n v="1158.8800000000001"/>
    <s v="AD"/>
    <n v="1"/>
    <n v="1281"/>
    <n v="1108"/>
    <n v="0"/>
    <n v="1108"/>
  </r>
  <r>
    <x v="13"/>
    <s v="MARCO ANTONIO GARCIA"/>
    <n v="8"/>
    <n v="36"/>
    <d v="1899-12-31T23:59:00"/>
    <s v="VENTAS4@GRUPOEXPOINNOVACION.COM"/>
    <x v="0"/>
    <n v="1081.2257999999999"/>
    <n v="2.5"/>
    <n v="1163.79"/>
    <n v="1.9580666999707901"/>
    <n v="1158.8800000000001"/>
    <s v="AD"/>
    <n v="1"/>
    <n v="1281"/>
    <n v="1108"/>
    <n v="0"/>
    <n v="1108"/>
  </r>
  <r>
    <x v="13"/>
    <s v="MIGUEL ANGEL CEBREROS"/>
    <n v="7"/>
    <n v="36"/>
    <d v="1899-12-31T23:59:00"/>
    <s v="VENTAS4@GRUPOEXPOINNOVACION.COM"/>
    <x v="0"/>
    <n v="1081.2438"/>
    <n v="2.5"/>
    <n v="1163.79"/>
    <n v="1.9580666999707901"/>
    <n v="1158.8800000000001"/>
    <s v="AD"/>
    <n v="1"/>
    <n v="1281"/>
    <n v="1108"/>
    <n v="0"/>
    <n v="1108"/>
  </r>
  <r>
    <x v="13"/>
    <s v="ROSALIA GARCIA"/>
    <n v="18"/>
    <n v="36"/>
    <d v="1899-12-31T23:59:00"/>
    <s v="VENTAS4@GRUPOEXPOINNOVACION.COM"/>
    <x v="0"/>
    <n v="1081.046"/>
    <n v="2.5"/>
    <n v="1163.79"/>
    <n v="1.9580666999707901"/>
    <n v="1158.8800000000001"/>
    <s v="AD"/>
    <n v="1"/>
    <n v="1281"/>
    <n v="1108"/>
    <n v="0"/>
    <n v="1108"/>
  </r>
  <r>
    <x v="13"/>
    <s v="ALEJANDRO CASILLAS HERNANDEZ"/>
    <n v="7"/>
    <n v="36"/>
    <d v="1899-12-31T23:30:00"/>
    <s v="ALEX52_9@HOTMAIL.COM"/>
    <x v="4"/>
    <n v="1081.1768999999999"/>
    <n v="5"/>
    <n v="1163.79"/>
    <n v="3.9161333999415802"/>
    <n v="609.91"/>
    <s v="IN"/>
    <n v="1"/>
    <n v="1308"/>
    <n v="1135"/>
    <n v="0.5"/>
    <n v="567.5"/>
  </r>
  <r>
    <x v="13"/>
    <s v="LUIS FERNANDO ESTRADA REYES"/>
    <n v="29"/>
    <n v="36"/>
    <d v="1899-12-31T23:59:00"/>
    <s v="LESTRADA@SINCI.COM"/>
    <x v="3"/>
    <n v="1080.6584"/>
    <n v="0"/>
    <n v="1163.79"/>
    <n v="0"/>
    <n v="1158.8800000000001"/>
    <s v="AD"/>
    <n v="1"/>
    <n v="1254"/>
    <n v="1081"/>
    <n v="0"/>
    <n v="1081"/>
  </r>
  <r>
    <x v="13"/>
    <s v="HÃ‰CTOR MANUEL JIMÃ‰NEZ GONZÃLEZ"/>
    <n v="16"/>
    <n v="36"/>
    <d v="1899-12-31T02:00:00"/>
    <s v="HECTORJIMGLEZ@GMAIL.COM"/>
    <x v="0"/>
    <n v="1081.2456"/>
    <n v="2.5"/>
    <n v="1163.79"/>
    <n v="1.9580666999707901"/>
    <n v="1158.8800000000001"/>
    <s v="AD"/>
    <n v="1"/>
    <n v="1281"/>
    <n v="1108"/>
    <n v="0"/>
    <n v="1108"/>
  </r>
  <r>
    <x v="13"/>
    <s v="ARIEL BRIAN FLORES MARQUEZ"/>
    <n v="35"/>
    <n v="36"/>
    <d v="1899-12-31T02:00:00"/>
    <s v="BRIANKALEL90@GMAIL.COM"/>
    <x v="0"/>
    <n v="1080.8378"/>
    <n v="2.5"/>
    <n v="1163.79"/>
    <n v="1.9580666999707901"/>
    <n v="1158.8800000000001"/>
    <s v="AD"/>
    <n v="1"/>
    <n v="1281"/>
    <n v="1108"/>
    <n v="0"/>
    <n v="1108"/>
  </r>
  <r>
    <x v="13"/>
    <s v="AGUSTIN ALARCON"/>
    <n v="34"/>
    <n v="36"/>
    <d v="1899-12-31T02:00:00"/>
    <s v="agustin.alarcon@ejemplo.com"/>
    <x v="1"/>
    <n v="1080.777"/>
    <n v="10"/>
    <n v="1163.79"/>
    <n v="7.8322667998831603"/>
    <n v="609.91"/>
    <s v="NI"/>
    <n v="1"/>
    <n v="1362"/>
    <n v="1189"/>
    <n v="0.5"/>
    <n v="594.5"/>
  </r>
  <r>
    <x v="13"/>
    <s v="ALONSO ALARCON"/>
    <n v="33"/>
    <n v="36"/>
    <d v="1899-12-31T02:00:00"/>
    <s v="alonso.alarcon@ejemplo.com"/>
    <x v="1"/>
    <n v="1080.7950000000001"/>
    <n v="10"/>
    <n v="1163.79"/>
    <n v="7.8322667998831603"/>
    <n v="609.91"/>
    <s v="NI"/>
    <n v="1"/>
    <n v="1362"/>
    <n v="1189"/>
    <n v="0.5"/>
    <n v="594.5"/>
  </r>
  <r>
    <x v="13"/>
    <s v="DALILA HERNANDEZ"/>
    <n v="31"/>
    <n v="36"/>
    <d v="1899-12-31T02:00:00"/>
    <s v="dalila.hernandez@ejemplo.com"/>
    <x v="2"/>
    <n v="1080.8309999999999"/>
    <n v="7"/>
    <n v="1163.79"/>
    <n v="5.4825867599182097"/>
    <n v="1219.83"/>
    <s v="AD"/>
    <n v="1"/>
    <n v="1329"/>
    <n v="1156"/>
    <n v="0"/>
    <n v="1156"/>
  </r>
  <r>
    <x v="13"/>
    <s v="ENRIQUE ALARCON"/>
    <n v="30"/>
    <n v="36"/>
    <d v="1899-12-31T02:00:00"/>
    <s v="enrique.alarcon@ejemplo.com"/>
    <x v="2"/>
    <n v="1080.8489"/>
    <n v="7"/>
    <n v="1163.79"/>
    <n v="5.4825867599182097"/>
    <n v="1219.83"/>
    <s v="AD"/>
    <n v="1"/>
    <n v="1329"/>
    <n v="1157"/>
    <n v="0"/>
    <n v="1157"/>
  </r>
  <r>
    <x v="13"/>
    <s v="MARISOL RODRIGUEZ RUIZ"/>
    <n v="34"/>
    <n v="36"/>
    <d v="1899-12-31T02:00:00"/>
    <s v="BRIANKALEL90@GMAIL.COM"/>
    <x v="0"/>
    <n v="1080.8556000000001"/>
    <n v="2.5"/>
    <n v="1163.79"/>
    <n v="1.9580666999707901"/>
    <n v="1158.8800000000001"/>
    <s v="AD"/>
    <n v="1"/>
    <n v="1281"/>
    <n v="1108"/>
    <n v="0"/>
    <n v="1108"/>
  </r>
  <r>
    <x v="13"/>
    <s v="KALEL SALVADOR FLORES RODRIGUEZ"/>
    <n v="33"/>
    <n v="36"/>
    <d v="1899-12-31T02:00:00"/>
    <s v="BRIANKALEL90@GMAIL.COM"/>
    <x v="0"/>
    <n v="1080.8734999999999"/>
    <n v="2.5"/>
    <n v="1163.79"/>
    <n v="1.9580666999707901"/>
    <n v="609.91"/>
    <s v="NI"/>
    <n v="1"/>
    <n v="1281"/>
    <n v="1108"/>
    <n v="0.5"/>
    <n v="554"/>
  </r>
  <r>
    <x v="13"/>
    <s v="EDITH BERMUDEZ ALONZO"/>
    <n v="17"/>
    <n v="36"/>
    <d v="1899-12-31T11:00:00"/>
    <s v="edith.bermudez.alonzo@ejemplo.com"/>
    <x v="2"/>
    <n v="1081.277"/>
    <n v="7"/>
    <n v="1163.79"/>
    <n v="5.4825867599182097"/>
    <n v="1097.8399999999999"/>
    <s v="AD"/>
    <n v="1"/>
    <n v="1330"/>
    <n v="1157"/>
    <n v="0"/>
    <n v="1157"/>
  </r>
  <r>
    <x v="13"/>
    <s v="JOHANNA PATRICIA MESIAS GARCIA"/>
    <n v="17"/>
    <n v="36"/>
    <d v="1899-12-31T02:00:00"/>
    <s v="JOHANNAMESIASGARCIA@YAHOO.COM"/>
    <x v="0"/>
    <n v="1081.2937999999999"/>
    <n v="2.5"/>
    <n v="1163.79"/>
    <n v="1.9580666999707901"/>
    <n v="1158.8800000000001"/>
    <s v="AD"/>
    <n v="1"/>
    <n v="1281"/>
    <n v="1108"/>
    <n v="0"/>
    <n v="1108"/>
  </r>
  <r>
    <x v="13"/>
    <s v="ERIK GABRIEL VIVEROS CALVA"/>
    <n v="7"/>
    <n v="36"/>
    <d v="1899-12-31T11:00:00"/>
    <s v="ERIKGCALVA_24@HOTMAIL.COM"/>
    <x v="0"/>
    <n v="1081.4684999999999"/>
    <n v="2.5"/>
    <n v="1163.79"/>
    <n v="1.9580666999707901"/>
    <n v="1158.8800000000001"/>
    <s v="AD"/>
    <n v="1"/>
    <n v="1282"/>
    <n v="1109"/>
    <n v="0"/>
    <n v="1109"/>
  </r>
  <r>
    <x v="13"/>
    <s v="NURI ENRIQUEZ CASTRO"/>
    <n v="17"/>
    <n v="36"/>
    <d v="1899-12-31T06:00:00"/>
    <s v="VENTAS.ADMON.SUMINISTROS@GMAIL.COM"/>
    <x v="0"/>
    <n v="1081.2909999999999"/>
    <n v="2.5"/>
    <n v="1163.79"/>
    <n v="1.9580666999707901"/>
    <n v="1158.8800000000001"/>
    <s v="AD"/>
    <n v="1"/>
    <n v="1281"/>
    <n v="1108"/>
    <n v="0"/>
    <n v="1108"/>
  </r>
  <r>
    <x v="13"/>
    <s v="KARINA SALINAS GARCIA"/>
    <n v="20"/>
    <n v="36"/>
    <d v="1899-12-31T11:00:00"/>
    <s v="GUTIERRENATALI99@GMAIL.COM"/>
    <x v="2"/>
    <n v="1081.386"/>
    <n v="7"/>
    <n v="1163.79"/>
    <n v="5.4825867599182097"/>
    <n v="1097.8399999999999"/>
    <s v="AD"/>
    <n v="1"/>
    <n v="1330"/>
    <n v="1157"/>
    <n v="0"/>
    <n v="1157"/>
  </r>
  <r>
    <x v="13"/>
    <s v="KARINA SALINAS GARCIA"/>
    <n v="20"/>
    <n v="36"/>
    <d v="1899-12-31T11:00:00"/>
    <s v="GUTIERRENATALI99@GMAIL.COM"/>
    <x v="2"/>
    <n v="1081.386"/>
    <n v="7"/>
    <n v="1163.79"/>
    <n v="5.4825867599182097"/>
    <n v="1097.8399999999999"/>
    <s v="AD"/>
    <n v="1"/>
    <n v="1330"/>
    <n v="1157"/>
    <n v="0"/>
    <n v="1157"/>
  </r>
  <r>
    <x v="13"/>
    <s v="NATALI GABRIELA AVILA GUTIERREZ"/>
    <n v="19"/>
    <n v="36"/>
    <d v="1899-12-31T11:00:00"/>
    <s v="GUTIERRENATALI99@GMAIL.COM"/>
    <x v="2"/>
    <n v="1081.404"/>
    <n v="7"/>
    <n v="1163.79"/>
    <n v="5.4825867599182097"/>
    <n v="1097.8399999999999"/>
    <s v="AD"/>
    <n v="1"/>
    <n v="1330"/>
    <n v="1157"/>
    <n v="0"/>
    <n v="1157"/>
  </r>
  <r>
    <x v="13"/>
    <s v="NATALI GABRIELA AVILA GUTIERREZ"/>
    <n v="19"/>
    <n v="36"/>
    <d v="1899-12-31T11:00:00"/>
    <s v="GUTIERRENATALI99@GMAIL.COM"/>
    <x v="2"/>
    <n v="1081.404"/>
    <n v="7"/>
    <n v="1163.79"/>
    <n v="5.4825867599182097"/>
    <n v="1097.8399999999999"/>
    <s v="AD"/>
    <n v="1"/>
    <n v="1330"/>
    <n v="1157"/>
    <n v="0"/>
    <n v="1157"/>
  </r>
  <r>
    <x v="13"/>
    <s v="ISAIAZ MARTINEZ VALLEJO"/>
    <n v="7"/>
    <n v="36"/>
    <d v="1899-12-31T11:00:00"/>
    <s v="isaiaz.martinez.vallejo@ejemplo.com"/>
    <x v="1"/>
    <n v="1081.607"/>
    <n v="10"/>
    <n v="1163.79"/>
    <n v="7.8322667998831603"/>
    <n v="609.91"/>
    <s v="NI"/>
    <n v="1"/>
    <n v="1363"/>
    <n v="1190"/>
    <n v="0.5"/>
    <n v="595"/>
  </r>
  <r>
    <x v="13"/>
    <s v="ROSA MARÃA AGUIRRE AGUIRRE"/>
    <n v="4"/>
    <n v="36"/>
    <d v="1899-12-31T02:00:00"/>
    <s v="ROCIETH@GMAIL.COM"/>
    <x v="4"/>
    <n v="1081.3942999999999"/>
    <n v="5"/>
    <n v="1163.79"/>
    <n v="3.9161333999415802"/>
    <n v="609.91"/>
    <s v="IN"/>
    <n v="1"/>
    <n v="1308"/>
    <n v="1135"/>
    <n v="0.5"/>
    <n v="567.5"/>
  </r>
  <r>
    <x v="13"/>
    <s v="LUIS LEONARDO GONZALEZ MARTÃNEZ"/>
    <n v="18"/>
    <n v="36"/>
    <d v="1899-12-31T02:00:00"/>
    <s v="LUISLEONARDOGM@HOTMAIL.COM"/>
    <x v="0"/>
    <n v="1081.2081000000001"/>
    <n v="2.5"/>
    <n v="1163.79"/>
    <n v="1.9580666999707901"/>
    <n v="1158.8800000000001"/>
    <s v="AD"/>
    <n v="1"/>
    <n v="1281"/>
    <n v="1108"/>
    <n v="0"/>
    <n v="1108"/>
  </r>
  <r>
    <x v="13"/>
    <s v="NALLELY RODRIGUEZ HERNANDEZ"/>
    <n v="7"/>
    <n v="36"/>
    <d v="1899-12-31T06:00:00"/>
    <s v="NASHRODRIGUEZHERNANDEZ@GMAIL.COM"/>
    <x v="2"/>
    <n v="1080.9121"/>
    <n v="7"/>
    <n v="1163.79"/>
    <n v="5.4825867599182097"/>
    <n v="1219.83"/>
    <s v="AD"/>
    <n v="1"/>
    <n v="1330"/>
    <n v="1157"/>
    <n v="0"/>
    <n v="1157"/>
  </r>
  <r>
    <x v="13"/>
    <s v="DANNA XANAT PADILLA RODRIGUEZ"/>
    <n v="8"/>
    <n v="36"/>
    <d v="1899-12-31T06:00:00"/>
    <s v="NASHRODRIGUEZHERNANDEZ@GMAIL.COM"/>
    <x v="2"/>
    <n v="1080.8939"/>
    <n v="7"/>
    <n v="1163.79"/>
    <n v="5.4825867599182097"/>
    <n v="1219.83"/>
    <s v="AD"/>
    <n v="1"/>
    <n v="1329"/>
    <n v="1157"/>
    <n v="0"/>
    <n v="1157"/>
  </r>
  <r>
    <x v="13"/>
    <s v="PAULA RENATA PADILLA OCHOA"/>
    <n v="9"/>
    <n v="36"/>
    <d v="1899-12-31T06:00:00"/>
    <s v="NASHRODRIGUEZHERNANDEZ@GMAIL.COM"/>
    <x v="2"/>
    <n v="1080.8761"/>
    <n v="7"/>
    <n v="1163.79"/>
    <n v="5.4825867599182097"/>
    <n v="1219.83"/>
    <s v="AD"/>
    <n v="1"/>
    <n v="1329"/>
    <n v="1157"/>
    <n v="0"/>
    <n v="1157"/>
  </r>
  <r>
    <x v="13"/>
    <s v="MARÃA DEL SOCORRO SALAZAR PIÃ‘A"/>
    <n v="20"/>
    <n v="36"/>
    <d v="1899-12-31T23:10:00"/>
    <s v="SOCOSALPI@GMAIL.COM"/>
    <x v="2"/>
    <n v="1080.9503"/>
    <n v="7"/>
    <n v="1163.79"/>
    <n v="5.4825867599182097"/>
    <n v="1158.8800000000001"/>
    <s v="AD"/>
    <n v="1"/>
    <n v="1330"/>
    <n v="1157"/>
    <n v="0"/>
    <n v="1157"/>
  </r>
  <r>
    <x v="13"/>
    <s v="NORMA GLORIA SALAZAR PIÃ‘A"/>
    <n v="19"/>
    <n v="36"/>
    <d v="1899-12-31T23:10:00"/>
    <s v="SOCOSALPI@GMAIL.COM"/>
    <x v="2"/>
    <n v="1080.9684"/>
    <n v="7"/>
    <n v="1163.79"/>
    <n v="5.4825867599182097"/>
    <n v="1158.8800000000001"/>
    <s v="AD"/>
    <n v="1"/>
    <n v="1330"/>
    <n v="1157"/>
    <n v="0"/>
    <n v="1157"/>
  </r>
  <r>
    <x v="13"/>
    <s v="SILVIA LEONOR SALAZAR PIÃ‘A"/>
    <n v="14"/>
    <n v="36"/>
    <d v="1899-12-31T23:10:00"/>
    <s v="SOCOSALPI@GMAIL.COM"/>
    <x v="2"/>
    <n v="1081.0585000000001"/>
    <n v="7"/>
    <n v="1163.79"/>
    <n v="5.4825867599182097"/>
    <n v="1158.8800000000001"/>
    <s v="AD"/>
    <n v="1"/>
    <n v="1330"/>
    <n v="1157"/>
    <n v="0"/>
    <n v="1157"/>
  </r>
  <r>
    <x v="13"/>
    <s v="SANDRA LETICIA DE LA CRUZ FLORES"/>
    <n v="9"/>
    <n v="36"/>
    <d v="1899-12-31T23:59:00"/>
    <s v="sandra.leticia.de.la.cruz.flores@ejemplo.com"/>
    <x v="1"/>
    <n v="1081.1424999999999"/>
    <n v="10"/>
    <n v="1163.79"/>
    <n v="7.8322667998831603"/>
    <n v="609.91"/>
    <s v="NI"/>
    <n v="1"/>
    <n v="1362"/>
    <n v="1189"/>
    <n v="0.5"/>
    <n v="594.5"/>
  </r>
  <r>
    <x v="13"/>
    <s v="JAIME RAMOS"/>
    <n v="1"/>
    <n v="36"/>
    <d v="1899-12-31T06:00:00"/>
    <s v="JAIME.ARIAS.RAMOS@GMAIL.COM"/>
    <x v="2"/>
    <n v="1081.5117"/>
    <n v="7"/>
    <n v="1163.79"/>
    <n v="5.4825867599182097"/>
    <n v="1097.8399999999999"/>
    <s v="AD"/>
    <n v="1"/>
    <n v="1330"/>
    <n v="1157"/>
    <n v="0"/>
    <n v="1157"/>
  </r>
  <r>
    <x v="13"/>
    <s v="DULCE VERÃ“NICA ROMERO FRÃAS"/>
    <n v="12"/>
    <n v="36"/>
    <d v="1899-12-31T23:59:00"/>
    <s v="GORTIZE@LITOPLAS.COM.MX"/>
    <x v="3"/>
    <n v="1081.0942"/>
    <n v="0"/>
    <n v="1163.79"/>
    <n v="0"/>
    <n v="1158.8800000000001"/>
    <s v="AD"/>
    <n v="1"/>
    <n v="1254"/>
    <n v="1081"/>
    <n v="0"/>
    <n v="1081"/>
  </r>
  <r>
    <x v="13"/>
    <s v="FERNANDO PACHECO PEREZ"/>
    <n v="8"/>
    <n v="36"/>
    <d v="1899-12-31T23:10:00"/>
    <s v="fernando.pacheco.perez@ejemplo.com"/>
    <x v="3"/>
    <n v="1081.1660999999999"/>
    <n v="0"/>
    <n v="1163.79"/>
    <n v="0"/>
    <n v="1158.8800000000001"/>
    <s v="AD"/>
    <n v="1"/>
    <n v="1254"/>
    <n v="1081"/>
    <n v="0"/>
    <n v="1081"/>
  </r>
  <r>
    <x v="13"/>
    <s v="MARCO ANTONIO SAUCEDO"/>
    <n v="9"/>
    <n v="36"/>
    <d v="1899-12-31T23:10:00"/>
    <s v="marco.antonio.saucedo@ejemplo.com"/>
    <x v="3"/>
    <n v="1081.1481000000001"/>
    <n v="0"/>
    <n v="1163.79"/>
    <n v="0"/>
    <n v="1158.8800000000001"/>
    <s v="AD"/>
    <n v="1"/>
    <n v="1254"/>
    <n v="1081"/>
    <n v="0"/>
    <n v="1081"/>
  </r>
  <r>
    <x v="13"/>
    <s v="FLOR VÃZQUEZ PEÃ‘A"/>
    <n v="11"/>
    <n v="36"/>
    <d v="1899-12-31T23:59:00"/>
    <s v="GORTIZE@LITOPLAS.COM.MX"/>
    <x v="3"/>
    <n v="1081.1122"/>
    <n v="0"/>
    <n v="1163.79"/>
    <n v="0"/>
    <n v="1158.8800000000001"/>
    <s v="AD"/>
    <n v="1"/>
    <n v="1254"/>
    <n v="1081"/>
    <n v="0"/>
    <n v="1081"/>
  </r>
  <r>
    <x v="13"/>
    <s v="GUSTAVO ORTIZ ESPINO"/>
    <n v="19"/>
    <n v="36"/>
    <d v="1899-12-31T23:59:00"/>
    <s v="GORTIZE@LITOPLAS.COM.MX"/>
    <x v="3"/>
    <n v="1080.9684"/>
    <n v="0"/>
    <n v="1163.79"/>
    <n v="0"/>
    <n v="1158.8800000000001"/>
    <s v="AD"/>
    <n v="1"/>
    <n v="1254"/>
    <n v="1081"/>
    <n v="0"/>
    <n v="1081"/>
  </r>
  <r>
    <x v="13"/>
    <s v="LUZ MARIA PARDON"/>
    <n v="27"/>
    <n v="35"/>
    <d v="1899-12-31T23:30:00"/>
    <s v="luz.maria.pardon@ejemplo.com"/>
    <x v="5"/>
    <n v="1080.6995999999999"/>
    <n v="8.5"/>
    <n v="1163.79"/>
    <n v="6.6574267799006801"/>
    <n v="1219.83"/>
    <s v="AD"/>
    <n v="1"/>
    <n v="1345"/>
    <n v="1173"/>
    <n v="0"/>
    <n v="1173"/>
  </r>
  <r>
    <x v="13"/>
    <s v="ADRIANA NEQUIZ JIMENEZ"/>
    <n v="24"/>
    <n v="35"/>
    <d v="1899-12-31T23:30:00"/>
    <s v="ADRIANA.NEQUIZ@GMAIL.COM"/>
    <x v="3"/>
    <n v="1080.7454"/>
    <n v="0"/>
    <n v="1163.79"/>
    <n v="0"/>
    <n v="1158.8800000000001"/>
    <s v="AD"/>
    <n v="1"/>
    <n v="1254"/>
    <n v="1081"/>
    <n v="0"/>
    <n v="1081"/>
  </r>
  <r>
    <x v="13"/>
    <s v="ZAINÃ‰ ROSABAL CUZA"/>
    <n v="32"/>
    <n v="36"/>
    <d v="1899-12-31T23:59:00"/>
    <s v="ZAINECITA229@GMAIL.COM"/>
    <x v="3"/>
    <n v="1080.6014"/>
    <n v="0"/>
    <n v="1163.79"/>
    <n v="0"/>
    <n v="1158.8800000000001"/>
    <s v="AD"/>
    <n v="1"/>
    <n v="1253"/>
    <n v="1081"/>
    <n v="0"/>
    <n v="1081"/>
  </r>
  <r>
    <x v="13"/>
    <s v="MAXIMILIANO CURIEL VALENCIA"/>
    <n v="15"/>
    <n v="35"/>
    <d v="1899-12-31T23:30:00"/>
    <s v="CURIEL.MAX85@GMAIL.COM"/>
    <x v="3"/>
    <n v="1081.0393999999999"/>
    <n v="0"/>
    <n v="1163.79"/>
    <n v="0"/>
    <n v="1158.8800000000001"/>
    <s v="AD"/>
    <n v="1"/>
    <n v="1254"/>
    <n v="1081"/>
    <n v="0"/>
    <n v="1081"/>
  </r>
  <r>
    <x v="13"/>
    <s v="JORGE LÃ“PEZ ARRONIZ"/>
    <n v="10"/>
    <n v="36"/>
    <d v="1899-12-31T23:59:00"/>
    <s v="LOARRO@YAHOO.COM"/>
    <x v="4"/>
    <n v="1081.2702999999999"/>
    <n v="5"/>
    <n v="1163.79"/>
    <n v="3.9161333999415802"/>
    <n v="609.91"/>
    <s v="IN"/>
    <n v="1"/>
    <n v="1308"/>
    <n v="1135"/>
    <n v="0.5"/>
    <n v="567.5"/>
  </r>
  <r>
    <x v="13"/>
    <s v="CARLOS BURGOS CARVAJAL"/>
    <n v="11"/>
    <n v="35"/>
    <d v="1899-12-31T23:30:00"/>
    <s v="CABUCARVAJAL@GMAIL.COM"/>
    <x v="2"/>
    <n v="1081.1105"/>
    <n v="7"/>
    <n v="1163.79"/>
    <n v="5.4825867599182097"/>
    <n v="1158.8800000000001"/>
    <s v="AD"/>
    <n v="1"/>
    <n v="1330"/>
    <n v="1157"/>
    <n v="0"/>
    <n v="1157"/>
  </r>
  <r>
    <x v="13"/>
    <s v="GONZALO GARCIA DE LA TORRE"/>
    <n v="13"/>
    <n v="36"/>
    <d v="1899-12-31T02:00:00"/>
    <s v="GONZALO.GARCIAD.16@GMAIL.COM"/>
    <x v="0"/>
    <n v="1081.3626999999999"/>
    <n v="2.5"/>
    <n v="1163.79"/>
    <n v="1.9580666999707901"/>
    <n v="1097.8399999999999"/>
    <s v="AD"/>
    <n v="1"/>
    <n v="1281"/>
    <n v="1108"/>
    <n v="0"/>
    <n v="1108"/>
  </r>
  <r>
    <x v="13"/>
    <s v="GONZALO GARCIA DE LA TORRE"/>
    <n v="13"/>
    <n v="36"/>
    <d v="1899-12-31T02:00:00"/>
    <s v="GONZALO.GARCIAD.16@GMAIL.COM"/>
    <x v="0"/>
    <n v="1081.3626999999999"/>
    <n v="2.5"/>
    <n v="1163.79"/>
    <n v="1.9580666999707901"/>
    <n v="1097.8399999999999"/>
    <s v="AD"/>
    <n v="1"/>
    <n v="1281"/>
    <n v="1108"/>
    <n v="0"/>
    <n v="1108"/>
  </r>
  <r>
    <x v="13"/>
    <s v="NESTOR JAVIER PEÃ‘A MENDOZA"/>
    <n v="21"/>
    <n v="36"/>
    <d v="1899-12-31T02:00:00"/>
    <s v="GONZALO.GARCIAD.16@GMAIL.COM"/>
    <x v="0"/>
    <n v="1081.2189000000001"/>
    <n v="2.5"/>
    <n v="1163.79"/>
    <n v="1.9580666999707901"/>
    <n v="1097.8399999999999"/>
    <s v="AD"/>
    <n v="1"/>
    <n v="1281"/>
    <n v="1108"/>
    <n v="0"/>
    <n v="1108"/>
  </r>
  <r>
    <x v="13"/>
    <s v="NESTOR JAVIER PEÃ‘A MENDOZA"/>
    <n v="21"/>
    <n v="36"/>
    <d v="1899-12-31T02:00:00"/>
    <s v="GONZALO.GARCIAD.16@GMAIL.COM"/>
    <x v="0"/>
    <n v="1081.2189000000001"/>
    <n v="2.5"/>
    <n v="1163.79"/>
    <n v="1.9580666999707901"/>
    <n v="1097.8399999999999"/>
    <s v="AD"/>
    <n v="1"/>
    <n v="1281"/>
    <n v="1108"/>
    <n v="0"/>
    <n v="1108"/>
  </r>
  <r>
    <x v="13"/>
    <s v="JUAN GERMAN GARCIA"/>
    <n v="33"/>
    <n v="36"/>
    <d v="1899-12-31T23:59:00"/>
    <s v="juan.german.garcia@ejemplo.com"/>
    <x v="5"/>
    <n v="1080.5913"/>
    <n v="8.5"/>
    <n v="1163.79"/>
    <n v="6.6574267799006801"/>
    <n v="1219.83"/>
    <s v="AD"/>
    <n v="1"/>
    <n v="1345"/>
    <n v="1172"/>
    <n v="0"/>
    <n v="1172"/>
  </r>
  <r>
    <x v="13"/>
    <s v="KAREN RUVALCABA"/>
    <n v="16"/>
    <n v="36"/>
    <d v="1899-12-31T06:00:00"/>
    <s v="KAREN_ARLETHE@HOTMAIL.COM"/>
    <x v="0"/>
    <n v="1081.3065999999999"/>
    <n v="2.5"/>
    <n v="1163.79"/>
    <n v="1.9580666999707901"/>
    <n v="1158.8800000000001"/>
    <s v="AD"/>
    <n v="1"/>
    <n v="1281"/>
    <n v="1108"/>
    <n v="0"/>
    <n v="1108"/>
  </r>
  <r>
    <x v="13"/>
    <s v="RAMONA ROMERO RAMIREZ"/>
    <n v="10"/>
    <n v="36"/>
    <d v="1899-12-31T23:30:00"/>
    <s v="ramona.romero.ramirez@ejemplo.com"/>
    <x v="1"/>
    <n v="1081.1057000000001"/>
    <n v="10"/>
    <n v="1163.79"/>
    <n v="7.8322667998831603"/>
    <n v="609.91"/>
    <s v="IN"/>
    <n v="1"/>
    <n v="1362"/>
    <n v="1189"/>
    <n v="0.5"/>
    <n v="594.5"/>
  </r>
  <r>
    <x v="13"/>
    <s v="ALAN ANAYA GÃ“MEZ"/>
    <n v="19"/>
    <n v="36"/>
    <d v="1899-12-31T02:00:00"/>
    <s v="ALANANAYAG2201@GMAIL.COM"/>
    <x v="0"/>
    <n v="1081.2539999999999"/>
    <n v="2.5"/>
    <n v="1163.79"/>
    <n v="1.9580666999707901"/>
    <n v="1158.8800000000001"/>
    <s v="AD"/>
    <n v="1"/>
    <n v="1281"/>
    <n v="1108"/>
    <n v="0"/>
    <n v="1108"/>
  </r>
  <r>
    <x v="13"/>
    <s v="URSULINO RUEDA VALDÃ‰S"/>
    <n v="21"/>
    <n v="36"/>
    <d v="1899-12-31T11:00:00"/>
    <s v="URSULINO@GMAIL.COM"/>
    <x v="2"/>
    <n v="1081.2135000000001"/>
    <n v="7"/>
    <n v="1163.79"/>
    <n v="5.4825867599182097"/>
    <n v="1158.8800000000001"/>
    <s v="AD"/>
    <n v="1"/>
    <n v="1330"/>
    <n v="1157"/>
    <n v="0"/>
    <n v="1157"/>
  </r>
  <r>
    <x v="13"/>
    <s v="EDUARDO RODRIGUEZ"/>
    <n v="32"/>
    <n v="35"/>
    <d v="1899-12-31T23:30:00"/>
    <s v="eduardo.rodriguez@ejemplo.com"/>
    <x v="5"/>
    <n v="1080.6088"/>
    <n v="8.5"/>
    <n v="1163.79"/>
    <n v="6.6574267799006801"/>
    <n v="1219.83"/>
    <s v="AD"/>
    <n v="1"/>
    <n v="1345"/>
    <n v="1172"/>
    <n v="0"/>
    <n v="1172"/>
  </r>
  <r>
    <x v="13"/>
    <s v="MARLA DURDEN"/>
    <n v="11"/>
    <n v="36"/>
    <d v="1899-12-31T11:00:00"/>
    <s v="NEWSTORYCONSULTING@GMAIL.COM"/>
    <x v="0"/>
    <n v="1081.3923"/>
    <n v="2.5"/>
    <n v="1163.79"/>
    <n v="1.9580666999707901"/>
    <n v="1158.8800000000001"/>
    <s v="AD"/>
    <n v="1"/>
    <n v="1281"/>
    <n v="1108"/>
    <n v="0"/>
    <n v="1108"/>
  </r>
  <r>
    <x v="13"/>
    <s v="SUSAN ENGPOOLE"/>
    <n v="12"/>
    <n v="36"/>
    <d v="1899-12-31T11:00:00"/>
    <s v="NEWSTORYCONSULTING@GMAIL.COM"/>
    <x v="0"/>
    <n v="1081.3746000000001"/>
    <n v="2.5"/>
    <n v="1163.79"/>
    <n v="1.9580666999707901"/>
    <n v="1158.8800000000001"/>
    <s v="AD"/>
    <n v="1"/>
    <n v="1281"/>
    <n v="1108"/>
    <n v="0"/>
    <n v="1108"/>
  </r>
  <r>
    <x v="13"/>
    <s v="PATRICIA ELENA ROSAS GARCIA"/>
    <n v="34"/>
    <n v="36"/>
    <d v="1899-12-31T23:10:00"/>
    <s v="PATRICIAROSASGARCIA@YAHOO.COM.MX"/>
    <x v="3"/>
    <n v="1078.5189"/>
    <n v="0"/>
    <n v="1163.79"/>
    <n v="0"/>
    <n v="609.91"/>
    <s v="OD"/>
    <n v="1"/>
    <n v="1251"/>
    <n v="1079"/>
    <n v="0.5"/>
    <n v="539.5"/>
  </r>
  <r>
    <x v="13"/>
    <s v="ESTELA GARCIA"/>
    <n v="20"/>
    <n v="35"/>
    <d v="1899-12-31T23:30:00"/>
    <s v="estela.garcia@ejemplo.com"/>
    <x v="5"/>
    <n v="1080.9426000000001"/>
    <n v="8.5"/>
    <n v="1163.79"/>
    <n v="6.6574267799006801"/>
    <n v="1219.83"/>
    <s v="AD"/>
    <n v="1"/>
    <n v="1346"/>
    <n v="1173"/>
    <n v="0"/>
    <n v="1173"/>
  </r>
  <r>
    <x v="13"/>
    <s v="JHONATHAN DAVID DOLORES ALCALÃ"/>
    <n v="28"/>
    <n v="36"/>
    <d v="1899-12-31T23:59:00"/>
    <s v="CREDITOYCOBRANZA@GRUPOEDM.COM.MX"/>
    <x v="3"/>
    <n v="1080.6709000000001"/>
    <n v="0"/>
    <n v="1163.79"/>
    <n v="0"/>
    <n v="1158.8800000000001"/>
    <s v="AD"/>
    <n v="1"/>
    <n v="1254"/>
    <n v="1081"/>
    <n v="0"/>
    <n v="1081"/>
  </r>
  <r>
    <x v="13"/>
    <s v="FRANCISCO ARMANDO TENA HERNÃNDEZ"/>
    <n v="15"/>
    <n v="36"/>
    <d v="1899-12-31T02:00:00"/>
    <s v="AP.LAM00@HOTMAIL.COM"/>
    <x v="0"/>
    <n v="1081.3251"/>
    <n v="2.5"/>
    <n v="1163.79"/>
    <n v="1.9580666999707901"/>
    <n v="1158.8800000000001"/>
    <s v="AD"/>
    <n v="1"/>
    <n v="1281"/>
    <n v="1108"/>
    <n v="0"/>
    <n v="1108"/>
  </r>
  <r>
    <x v="13"/>
    <s v="FRANCISCO ARMANDO TENA HERNÃNDEZ"/>
    <n v="15"/>
    <n v="36"/>
    <d v="1899-12-31T02:00:00"/>
    <s v="AP.LAM00@HOTMAIL.COM"/>
    <x v="0"/>
    <n v="1081.3251"/>
    <n v="2.5"/>
    <n v="1163.79"/>
    <n v="1.9580666999707901"/>
    <n v="1158.8800000000001"/>
    <s v="AD"/>
    <n v="1"/>
    <n v="1281"/>
    <n v="1108"/>
    <n v="0"/>
    <n v="1108"/>
  </r>
  <r>
    <x v="13"/>
    <s v="FRANCISCO ARMANDO TENA HERNÃNDEZ"/>
    <n v="15"/>
    <n v="36"/>
    <d v="1899-12-31T02:00:00"/>
    <s v="AP.LAM00@HOTMAIL.COM"/>
    <x v="0"/>
    <n v="1081.3251"/>
    <n v="2.5"/>
    <n v="1163.79"/>
    <n v="1.9580666999707901"/>
    <n v="1158.8800000000001"/>
    <s v="AD"/>
    <n v="1"/>
    <n v="1281"/>
    <n v="1108"/>
    <n v="0"/>
    <n v="1108"/>
  </r>
  <r>
    <x v="13"/>
    <s v="LUIS EDUARDO HERNÃNDEZ APANCO"/>
    <n v="32"/>
    <n v="36"/>
    <d v="1899-12-31T02:00:00"/>
    <s v="AP.LAM00@HOTMAIL.COM"/>
    <x v="0"/>
    <n v="1080.8868"/>
    <n v="2.5"/>
    <n v="1163.79"/>
    <n v="1.9580666999707901"/>
    <n v="1158.8800000000001"/>
    <s v="AD"/>
    <n v="1"/>
    <n v="1281"/>
    <n v="1108"/>
    <n v="0"/>
    <n v="1108"/>
  </r>
  <r>
    <x v="13"/>
    <s v="LUIS EDUARDO HERNÃNDEZ APANCO"/>
    <n v="32"/>
    <n v="36"/>
    <d v="1899-12-31T02:00:00"/>
    <s v="AP.LAM00@HOTMAIL.COM"/>
    <x v="0"/>
    <n v="1080.8868"/>
    <n v="2.5"/>
    <n v="1163.79"/>
    <n v="1.9580666999707901"/>
    <n v="1158.8800000000001"/>
    <s v="AD"/>
    <n v="1"/>
    <n v="1281"/>
    <n v="1108"/>
    <n v="0"/>
    <n v="1108"/>
  </r>
  <r>
    <x v="13"/>
    <s v="LUIS EDUARDO HERNÃNDEZ APANCO"/>
    <n v="32"/>
    <n v="36"/>
    <d v="1899-12-31T02:00:00"/>
    <s v="AP.LAM00@HOTMAIL.COM"/>
    <x v="0"/>
    <n v="1080.8868"/>
    <n v="2.5"/>
    <n v="1163.79"/>
    <n v="1.9580666999707901"/>
    <n v="1158.8800000000001"/>
    <s v="AD"/>
    <n v="1"/>
    <n v="1281"/>
    <n v="1108"/>
    <n v="0"/>
    <n v="1108"/>
  </r>
  <r>
    <x v="13"/>
    <s v="URIEL SAÃšL GODÃNEZ LUNA"/>
    <n v="27"/>
    <n v="36"/>
    <d v="1899-12-31T02:00:00"/>
    <s v="AP.LAM00@HOTMAIL.COM"/>
    <x v="0"/>
    <n v="1080.9767999999999"/>
    <n v="2.5"/>
    <n v="1163.79"/>
    <n v="1.9580666999707901"/>
    <n v="1158.8800000000001"/>
    <s v="AD"/>
    <n v="1"/>
    <n v="1281"/>
    <n v="1108"/>
    <n v="0"/>
    <n v="1108"/>
  </r>
  <r>
    <x v="13"/>
    <s v="URIEL SAÃšL GODÃNEZ LUNA"/>
    <n v="27"/>
    <n v="36"/>
    <d v="1899-12-31T02:00:00"/>
    <s v="AP.LAM00@HOTMAIL.COM"/>
    <x v="0"/>
    <n v="1080.9767999999999"/>
    <n v="2.5"/>
    <n v="1163.79"/>
    <n v="1.9580666999707901"/>
    <n v="1158.8800000000001"/>
    <s v="AD"/>
    <n v="1"/>
    <n v="1281"/>
    <n v="1108"/>
    <n v="0"/>
    <n v="1108"/>
  </r>
  <r>
    <x v="13"/>
    <s v="URIEL SAÃšL GODÃNEZ LUNA"/>
    <n v="27"/>
    <n v="36"/>
    <d v="1899-12-31T02:00:00"/>
    <s v="AP.LAM00@HOTMAIL.COM"/>
    <x v="0"/>
    <n v="1080.9767999999999"/>
    <n v="2.5"/>
    <n v="1163.79"/>
    <n v="1.9580666999707901"/>
    <n v="1158.8800000000001"/>
    <s v="AD"/>
    <n v="1"/>
    <n v="1281"/>
    <n v="1108"/>
    <n v="0"/>
    <n v="1108"/>
  </r>
  <r>
    <x v="13"/>
    <s v="DIEGO DANIEL LOPEZ"/>
    <n v="19"/>
    <n v="35"/>
    <d v="1899-12-31T23:30:00"/>
    <s v="diego.daniel.lopez@ejemplo.com"/>
    <x v="3"/>
    <n v="1080.9607000000001"/>
    <n v="0"/>
    <n v="1163.79"/>
    <n v="0"/>
    <n v="975.86"/>
    <s v="PE"/>
    <n v="1"/>
    <n v="1254"/>
    <n v="1081"/>
    <n v="0"/>
    <n v="1081"/>
  </r>
  <r>
    <x v="13"/>
    <s v="SANTIAGO LOPEZ"/>
    <n v="22"/>
    <n v="35"/>
    <d v="1899-12-31T23:30:00"/>
    <s v="santiago.lopez@ejemplo.com"/>
    <x v="5"/>
    <n v="1080.9066"/>
    <n v="8.5"/>
    <n v="1163.79"/>
    <n v="6.6574267799006801"/>
    <n v="1219.83"/>
    <s v="AD"/>
    <n v="1"/>
    <n v="1346"/>
    <n v="1173"/>
    <n v="0"/>
    <n v="1173"/>
  </r>
  <r>
    <x v="13"/>
    <s v="MA GUADALUPE GONZALEZ"/>
    <n v="23"/>
    <n v="35"/>
    <d v="1899-12-31T23:30:00"/>
    <s v="ma.guadalupe.gonzalez@ejemplo.com"/>
    <x v="5"/>
    <n v="1080.8887999999999"/>
    <n v="8.5"/>
    <n v="1163.79"/>
    <n v="6.6574267799006801"/>
    <n v="1219.83"/>
    <s v="AD"/>
    <n v="1"/>
    <n v="1346"/>
    <n v="1173"/>
    <n v="0"/>
    <n v="1173"/>
  </r>
  <r>
    <x v="13"/>
    <s v="EMIL BECERRIL ZAMBRANO"/>
    <n v="9"/>
    <n v="36"/>
    <d v="1899-12-31T02:00:00"/>
    <s v="EMBECZA@GMAIL.COM"/>
    <x v="2"/>
    <n v="1081.433"/>
    <n v="7"/>
    <n v="1163.79"/>
    <n v="5.4825867599182097"/>
    <n v="1158.8800000000001"/>
    <s v="AD"/>
    <n v="1"/>
    <n v="1330"/>
    <n v="1157"/>
    <n v="0"/>
    <n v="1157"/>
  </r>
  <r>
    <x v="13"/>
    <s v="MAURICIO JIMÃ‰NEZ OLVERA"/>
    <n v="13"/>
    <n v="36"/>
    <d v="1899-12-31T23:30:00"/>
    <s v="PSICPAUGARE@HOTMAIL.COM"/>
    <x v="0"/>
    <n v="1081.1297999999999"/>
    <n v="2.5"/>
    <n v="1163.79"/>
    <n v="1.9580666999707901"/>
    <n v="1158.8800000000001"/>
    <s v="AD"/>
    <n v="1"/>
    <n v="1281"/>
    <n v="1108"/>
    <n v="0"/>
    <n v="1108"/>
  </r>
  <r>
    <x v="13"/>
    <s v="ABRAHAM ARELLANO"/>
    <n v="29"/>
    <n v="35"/>
    <d v="1899-12-31T23:30:00"/>
    <s v="abraham.arellano@ejemplo.com"/>
    <x v="5"/>
    <n v="1080.6615999999999"/>
    <n v="8.5"/>
    <n v="1163.79"/>
    <n v="6.6574267799006801"/>
    <n v="1219.83"/>
    <s v="AD"/>
    <n v="1"/>
    <n v="1345"/>
    <n v="1173"/>
    <n v="0"/>
    <n v="1173"/>
  </r>
  <r>
    <x v="13"/>
    <s v="EDGAR GUADALUPE MARTINEZ"/>
    <n v="22"/>
    <n v="36"/>
    <d v="1899-12-31T02:00:00"/>
    <s v="edgar.guadalupe.martinez@ejemplo.com"/>
    <x v="0"/>
    <n v="1081.0658000000001"/>
    <n v="2.5"/>
    <n v="1163.79"/>
    <n v="1.9580666999707901"/>
    <n v="1158.8800000000001"/>
    <s v="AD"/>
    <n v="1"/>
    <n v="1281"/>
    <n v="1108"/>
    <n v="0"/>
    <n v="1108"/>
  </r>
  <r>
    <x v="13"/>
    <s v="LUIS ALBERTO MAGAÃ‘A"/>
    <n v="23"/>
    <n v="36"/>
    <d v="1899-12-31T02:00:00"/>
    <s v="luis.alberto.magaÃ±a@ejemplo.com"/>
    <x v="0"/>
    <n v="1081.0479"/>
    <n v="2.5"/>
    <n v="1163.79"/>
    <n v="1.9580666999707901"/>
    <n v="1158.8800000000001"/>
    <s v="AD"/>
    <n v="1"/>
    <n v="1281"/>
    <n v="1108"/>
    <n v="0"/>
    <n v="1108"/>
  </r>
  <r>
    <x v="13"/>
    <s v="SERGIO BURGOS SILVA"/>
    <n v="22"/>
    <n v="36"/>
    <d v="1899-12-31T23:59:00"/>
    <s v="SERGIOBURGOS180875@GMAIL.COM"/>
    <x v="3"/>
    <n v="1078.7338999999999"/>
    <n v="0"/>
    <n v="1163.79"/>
    <n v="0"/>
    <n v="609.91"/>
    <s v="OD"/>
    <n v="1"/>
    <n v="1251"/>
    <n v="1079"/>
    <n v="0.5"/>
    <n v="539.5"/>
  </r>
  <r>
    <x v="13"/>
    <s v="JAVIER VALDOVINOS"/>
    <n v="31"/>
    <n v="36"/>
    <d v="1899-12-31T23:59:00"/>
    <s v="javier.valdovinos@ejemplo.com"/>
    <x v="5"/>
    <n v="1080.6257000000001"/>
    <n v="8.5"/>
    <n v="1163.79"/>
    <n v="6.6574267799006801"/>
    <n v="1219.83"/>
    <s v="AD"/>
    <n v="1"/>
    <n v="1345"/>
    <n v="1172"/>
    <n v="0"/>
    <n v="1172"/>
  </r>
  <r>
    <x v="14"/>
    <s v="HUGO   SANCHEZ"/>
    <n v="28"/>
    <n v="36"/>
    <d v="1899-12-31T02:00:00"/>
    <s v="hugo...sanchez@ejemplo.com"/>
    <x v="2"/>
    <n v="1080.9447"/>
    <n v="7"/>
    <n v="1163.79"/>
    <n v="5.4825867599182097"/>
    <n v="1219.83"/>
    <s v="AD"/>
    <n v="1"/>
    <n v="1330"/>
    <n v="1157"/>
    <n v="0"/>
    <n v="1157"/>
  </r>
  <r>
    <x v="14"/>
    <s v="ESTEBAN SANCHEZ"/>
    <n v="25"/>
    <n v="36"/>
    <d v="1899-12-31T02:00:00"/>
    <s v="esteban.sanchez@ejemplo.com"/>
    <x v="2"/>
    <n v="1080.9987000000001"/>
    <n v="7"/>
    <n v="1163.79"/>
    <n v="5.4825867599182097"/>
    <n v="1219.83"/>
    <s v="AD"/>
    <n v="1"/>
    <n v="1330"/>
    <n v="1157"/>
    <n v="0"/>
    <n v="1157"/>
  </r>
  <r>
    <x v="14"/>
    <s v="BRUNO VALDEZ"/>
    <n v="19"/>
    <n v="36"/>
    <d v="1899-12-31T06:00:00"/>
    <s v="bruno.valdez@ejemplo.com"/>
    <x v="2"/>
    <n v="1081.2274"/>
    <n v="7"/>
    <n v="1163.79"/>
    <n v="5.4825867599182097"/>
    <n v="1219.83"/>
    <s v="AD"/>
    <n v="1"/>
    <n v="1330"/>
    <n v="1157"/>
    <n v="0"/>
    <n v="1157"/>
  </r>
  <r>
    <x v="14"/>
    <s v="NICOLAS VALDEZ"/>
    <n v="20"/>
    <n v="36"/>
    <d v="1899-12-31T06:00:00"/>
    <s v="nicolas.valdez@ejemplo.com"/>
    <x v="2"/>
    <n v="1081.2094999999999"/>
    <n v="7"/>
    <n v="1163.79"/>
    <n v="5.4825867599182097"/>
    <n v="1219.83"/>
    <s v="AD"/>
    <n v="1"/>
    <n v="1330"/>
    <n v="1157"/>
    <n v="0"/>
    <n v="1157"/>
  </r>
  <r>
    <x v="14"/>
    <s v="BARUSH VALDEZ"/>
    <n v="22"/>
    <n v="36"/>
    <d v="1899-12-31T06:00:00"/>
    <s v="barush.valdez@ejemplo.com"/>
    <x v="2"/>
    <n v="1081.0410999999999"/>
    <n v="7"/>
    <n v="1163.79"/>
    <n v="5.4825867599182097"/>
    <n v="1219.83"/>
    <s v="AD"/>
    <n v="1"/>
    <n v="1330"/>
    <n v="1157"/>
    <n v="0"/>
    <n v="1157"/>
  </r>
  <r>
    <x v="14"/>
    <s v="LUIS MEJIA"/>
    <n v="23"/>
    <n v="36"/>
    <d v="1899-12-31T06:00:00"/>
    <s v="luis.mejia@ejemplo.com"/>
    <x v="2"/>
    <n v="1081.0232000000001"/>
    <n v="7"/>
    <n v="1163.79"/>
    <n v="5.4825867599182097"/>
    <n v="1219.83"/>
    <s v="AD"/>
    <n v="1"/>
    <n v="1330"/>
    <n v="1157"/>
    <n v="0"/>
    <n v="1157"/>
  </r>
  <r>
    <x v="14"/>
    <s v="ANGELA OROZCO DÃAZ"/>
    <n v="2"/>
    <n v="36"/>
    <d v="1899-12-31T02:00:00"/>
    <s v="GALGOSTEPA@HOTMAIL.COM"/>
    <x v="0"/>
    <n v="1081.5446999999999"/>
    <n v="2.5"/>
    <n v="1163.79"/>
    <n v="1.9580666999707901"/>
    <n v="1158.8800000000001"/>
    <s v="AD"/>
    <n v="1"/>
    <n v="1282"/>
    <n v="1109"/>
    <n v="0"/>
    <n v="1109"/>
  </r>
  <r>
    <x v="14"/>
    <s v="ERIK HAILE LÃ“PEZ CARRANZA"/>
    <n v="5"/>
    <n v="36"/>
    <d v="1899-12-31T02:00:00"/>
    <s v="GALGOSTEPA@HOTMAIL.COM"/>
    <x v="0"/>
    <n v="1081.4906000000001"/>
    <n v="2.5"/>
    <n v="1163.79"/>
    <n v="1.9580666999707901"/>
    <n v="1158.8800000000001"/>
    <s v="AD"/>
    <n v="1"/>
    <n v="1282"/>
    <n v="1109"/>
    <n v="0"/>
    <n v="1109"/>
  </r>
  <r>
    <x v="14"/>
    <s v="MELANY YAMILETH MARTÃN DEL CAMPO MARTÃN"/>
    <n v="6"/>
    <n v="36"/>
    <d v="1899-12-31T02:00:00"/>
    <s v="GALGOSTEPA@HOTMAIL.COM"/>
    <x v="0"/>
    <n v="1081.4728"/>
    <n v="2.5"/>
    <n v="1163.79"/>
    <n v="1.9580666999707901"/>
    <n v="1158.8800000000001"/>
    <s v="AD"/>
    <n v="1"/>
    <n v="1282"/>
    <n v="1109"/>
    <n v="0"/>
    <n v="1109"/>
  </r>
  <r>
    <x v="14"/>
    <s v="SANDRA LIZETH LÃ“PEZ NAVARRO"/>
    <n v="14"/>
    <n v="36"/>
    <d v="1899-12-31T02:00:00"/>
    <s v="GALGOSTEPA@HOTMAIL.COM"/>
    <x v="0"/>
    <n v="1081.329"/>
    <n v="2.5"/>
    <n v="1163.79"/>
    <n v="1.9580666999707901"/>
    <n v="1158.8800000000001"/>
    <s v="AD"/>
    <n v="1"/>
    <n v="1281"/>
    <n v="1108"/>
    <n v="0"/>
    <n v="1108"/>
  </r>
  <r>
    <x v="14"/>
    <s v="GERARDO ARTURO BARRERA"/>
    <n v="18"/>
    <n v="36"/>
    <d v="1899-12-31T06:00:00"/>
    <s v="gerardo.arturo.barrera@ejemplo.com"/>
    <x v="2"/>
    <n v="1081.2550000000001"/>
    <n v="7"/>
    <n v="1163.79"/>
    <n v="5.4825867599182097"/>
    <n v="1219.83"/>
    <s v="AD"/>
    <n v="1"/>
    <n v="1330"/>
    <n v="1157"/>
    <n v="0"/>
    <n v="1157"/>
  </r>
  <r>
    <x v="14"/>
    <s v="HUGO MARIN"/>
    <n v="32"/>
    <n v="36"/>
    <d v="1899-12-31T06:00:00"/>
    <s v="hugo.marin@ejemplo.com"/>
    <x v="2"/>
    <n v="1080.8716999999999"/>
    <n v="7"/>
    <n v="1163.79"/>
    <n v="5.4825867599182097"/>
    <n v="1219.83"/>
    <s v="AD"/>
    <n v="1"/>
    <n v="1329"/>
    <n v="1157"/>
    <n v="0"/>
    <n v="1157"/>
  </r>
  <r>
    <x v="14"/>
    <s v="GABRIEL REYES RAMIREZ"/>
    <n v="11"/>
    <n v="36"/>
    <d v="1899-12-31T02:00:00"/>
    <s v="MARARIANA1998@GMAIL.COM"/>
    <x v="3"/>
    <n v="1081.3952999999999"/>
    <n v="0"/>
    <n v="1163.79"/>
    <n v="0"/>
    <n v="1158.8800000000001"/>
    <s v="AD"/>
    <n v="1"/>
    <n v="1254"/>
    <n v="1081"/>
    <n v="0"/>
    <n v="1081"/>
  </r>
  <r>
    <x v="14"/>
    <s v="JOSE PABLO ROMERO ARIAS"/>
    <n v="8"/>
    <n v="36"/>
    <d v="1899-12-31T02:00:00"/>
    <s v="MARARIANA1998@GMAIL.COM"/>
    <x v="3"/>
    <n v="1081.4493"/>
    <n v="0"/>
    <n v="1163.79"/>
    <n v="0"/>
    <n v="1158.8800000000001"/>
    <s v="AD"/>
    <n v="1"/>
    <n v="1254"/>
    <n v="1081"/>
    <n v="0"/>
    <n v="1081"/>
  </r>
  <r>
    <x v="14"/>
    <s v="ALEJANDRA FERNANDEZ"/>
    <n v="20"/>
    <n v="36"/>
    <d v="1899-12-31T02:00:00"/>
    <s v="ALE.F.DOSAL@GMAIL.COM"/>
    <x v="5"/>
    <n v="1081.2334000000001"/>
    <n v="8.5"/>
    <n v="1163.79"/>
    <n v="6.6574267799006801"/>
    <n v="1158.8800000000001"/>
    <s v="AD"/>
    <n v="1"/>
    <n v="1346"/>
    <n v="1173"/>
    <n v="0"/>
    <n v="1173"/>
  </r>
  <r>
    <x v="14"/>
    <s v="JOSE DANIEL CABRERA"/>
    <n v="34"/>
    <n v="36"/>
    <d v="1899-12-31T06:00:00"/>
    <s v="JBJCABRERA2111@GMAIL.COM"/>
    <x v="2"/>
    <n v="1078.8026"/>
    <n v="7"/>
    <n v="1163.79"/>
    <n v="5.4825867599182097"/>
    <n v="1219.83"/>
    <s v="AD"/>
    <n v="1"/>
    <n v="1327"/>
    <n v="1154"/>
    <n v="0"/>
    <n v="1154"/>
  </r>
  <r>
    <x v="14"/>
    <s v="HERMINIA BOLAÃ‘OS JUAREZ"/>
    <n v="14"/>
    <n v="36"/>
    <d v="1899-12-31T06:00:00"/>
    <s v="herminia.bolaÃ±os.juarez@ejemplo.com"/>
    <x v="1"/>
    <n v="1081.3236999999999"/>
    <n v="10"/>
    <n v="1163.79"/>
    <n v="7.8322667998831603"/>
    <n v="609.91"/>
    <s v="NI"/>
    <n v="1"/>
    <n v="1362"/>
    <n v="1189"/>
    <n v="0.5"/>
    <n v="594.5"/>
  </r>
  <r>
    <x v="14"/>
    <s v="GERARDO SAUCEDO"/>
    <n v="29"/>
    <n v="36"/>
    <d v="1899-12-31T06:00:00"/>
    <s v="gerardo.saucedo@ejemplo.com"/>
    <x v="5"/>
    <n v="1080.9335000000001"/>
    <n v="8.5"/>
    <n v="1163.79"/>
    <n v="6.6574267799006801"/>
    <n v="1219.83"/>
    <s v="AD"/>
    <n v="1"/>
    <n v="1346"/>
    <n v="1173"/>
    <n v="0"/>
    <n v="1173"/>
  </r>
  <r>
    <x v="14"/>
    <s v="ROLANDO QUIROZ RODRIGUEZ"/>
    <n v="9"/>
    <n v="36"/>
    <d v="1899-12-31T06:00:00"/>
    <s v="ROLANDOQR32@GMAIL.COM"/>
    <x v="2"/>
    <n v="1081.5056999999999"/>
    <n v="7"/>
    <n v="1163.79"/>
    <n v="5.4825867599182097"/>
    <n v="1097.8399999999999"/>
    <s v="AD"/>
    <n v="1"/>
    <n v="1330"/>
    <n v="1157"/>
    <n v="0"/>
    <n v="1157"/>
  </r>
  <r>
    <x v="14"/>
    <s v="KUMIKO OSHIMOTO"/>
    <n v="28"/>
    <n v="36"/>
    <d v="1899-12-31T06:00:00"/>
    <s v="KUMI.8827@GMAIL.COM"/>
    <x v="2"/>
    <n v="1080.9512999999999"/>
    <n v="7"/>
    <n v="1163.79"/>
    <n v="5.4825867599182097"/>
    <n v="1158.8800000000001"/>
    <s v="AD"/>
    <n v="1"/>
    <n v="1330"/>
    <n v="1157"/>
    <n v="0"/>
    <n v="1157"/>
  </r>
  <r>
    <x v="14"/>
    <s v="KUMIKO OSHIMOTO"/>
    <n v="28"/>
    <n v="36"/>
    <d v="1899-12-31T06:00:00"/>
    <s v="KUMI.8827@GMAIL.COM"/>
    <x v="2"/>
    <n v="1080.9512999999999"/>
    <n v="7"/>
    <n v="1163.79"/>
    <n v="5.4825867599182097"/>
    <n v="1158.8800000000001"/>
    <s v="AD"/>
    <n v="1"/>
    <n v="1330"/>
    <n v="1157"/>
    <n v="0"/>
    <n v="1157"/>
  </r>
  <r>
    <x v="14"/>
    <s v="RYOTA OSHIMOTO"/>
    <n v="33"/>
    <n v="36"/>
    <d v="1899-12-31T06:00:00"/>
    <s v="KUMI.8827@GMAIL.COM"/>
    <x v="2"/>
    <n v="1080.8615"/>
    <n v="7"/>
    <n v="1163.79"/>
    <n v="5.4825867599182097"/>
    <n v="1158.8800000000001"/>
    <s v="AD"/>
    <n v="1"/>
    <n v="1329"/>
    <n v="1157"/>
    <n v="0"/>
    <n v="1157"/>
  </r>
  <r>
    <x v="14"/>
    <s v="RYOTA OSHIMOTO"/>
    <n v="33"/>
    <n v="36"/>
    <d v="1899-12-31T06:00:00"/>
    <s v="KUMI.8827@GMAIL.COM"/>
    <x v="2"/>
    <n v="1080.8615"/>
    <n v="7"/>
    <n v="1163.79"/>
    <n v="5.4825867599182097"/>
    <n v="1158.8800000000001"/>
    <s v="AD"/>
    <n v="1"/>
    <n v="1329"/>
    <n v="1157"/>
    <n v="0"/>
    <n v="1157"/>
  </r>
  <r>
    <x v="14"/>
    <s v="ANDREA FERNANDA MARTINEZ GARCIA"/>
    <n v="10"/>
    <n v="36"/>
    <d v="1899-12-31T23:59:00"/>
    <s v="ANNFERMARG@GMAIL.COM"/>
    <x v="3"/>
    <n v="1081.1766"/>
    <n v="0"/>
    <n v="1163.79"/>
    <n v="0"/>
    <n v="1158.8800000000001"/>
    <s v="AD"/>
    <n v="1"/>
    <n v="1254"/>
    <n v="1081"/>
    <n v="0"/>
    <n v="1081"/>
  </r>
  <r>
    <x v="14"/>
    <s v="JOSE LUIS NARANJO FLORES"/>
    <n v="22"/>
    <n v="36"/>
    <d v="1899-12-31T02:00:00"/>
    <s v="NARANJOJOSELUIS123@GMAIL.COM"/>
    <x v="4"/>
    <n v="1081.2102"/>
    <n v="5"/>
    <n v="1163.79"/>
    <n v="3.9161333999415802"/>
    <n v="609.91"/>
    <s v="IN"/>
    <n v="1"/>
    <n v="1308"/>
    <n v="1135"/>
    <n v="0.5"/>
    <n v="567.5"/>
  </r>
  <r>
    <x v="14"/>
    <s v="SALVADOR ANTONIO JAIMES MEMBRILA"/>
    <n v="13"/>
    <n v="36"/>
    <d v="1899-12-31T11:00:00"/>
    <s v="JAIMES.ANTONIO1@GMAIL.COM"/>
    <x v="3"/>
    <n v="1081.3486"/>
    <n v="0"/>
    <n v="1163.79"/>
    <n v="0"/>
    <n v="1158.8800000000001"/>
    <s v="AD"/>
    <n v="1"/>
    <n v="1254"/>
    <n v="1081"/>
    <n v="0"/>
    <n v="1081"/>
  </r>
  <r>
    <x v="14"/>
    <s v="JOSE FERNANDO SILVA HERNANDEZ"/>
    <n v="1"/>
    <n v="36"/>
    <d v="1899-12-31T23:30:00"/>
    <s v="JFERNANDOSILVA.HER@GMAIL.COM"/>
    <x v="3"/>
    <n v="1081.3375000000001"/>
    <n v="0"/>
    <n v="1163.79"/>
    <n v="0"/>
    <n v="1158.8800000000001"/>
    <s v="AD"/>
    <n v="1"/>
    <n v="1254"/>
    <n v="1081"/>
    <n v="0"/>
    <n v="1081"/>
  </r>
  <r>
    <x v="14"/>
    <s v="MONICA JARDON"/>
    <n v="3"/>
    <n v="36"/>
    <d v="1899-12-31T11:00:00"/>
    <s v="monica.jardon@ejemplo.com"/>
    <x v="5"/>
    <n v="1081.5160000000001"/>
    <n v="8.5"/>
    <n v="1163.79"/>
    <n v="6.6574267799006801"/>
    <n v="1219.83"/>
    <s v="AD"/>
    <n v="1"/>
    <n v="1346"/>
    <n v="1173"/>
    <n v="0"/>
    <n v="1173"/>
  </r>
  <r>
    <x v="14"/>
    <s v="JORGE PEREZ"/>
    <n v="4"/>
    <n v="36"/>
    <d v="1899-12-31T11:00:00"/>
    <s v="jorge.perez@ejemplo.com"/>
    <x v="5"/>
    <n v="1081.3756000000001"/>
    <n v="8.5"/>
    <n v="1163.79"/>
    <n v="6.6574267799006801"/>
    <n v="1219.83"/>
    <s v="AD"/>
    <n v="1"/>
    <n v="1346"/>
    <n v="1173"/>
    <n v="0"/>
    <n v="1173"/>
  </r>
  <r>
    <x v="14"/>
    <s v="ARCHIT KHANDELWAL"/>
    <n v="19"/>
    <n v="36"/>
    <d v="1899-12-31T11:00:00"/>
    <s v="ARCHITKHANDELWAL0@GMAIL.COM"/>
    <x v="3"/>
    <n v="1081.2275"/>
    <n v="0"/>
    <n v="1163.79"/>
    <n v="0"/>
    <n v="1158.8800000000001"/>
    <s v="AD"/>
    <n v="1"/>
    <n v="1254"/>
    <n v="1081"/>
    <n v="0"/>
    <n v="1081"/>
  </r>
  <r>
    <x v="14"/>
    <s v="FRANCISCO ROSALES"/>
    <n v="28"/>
    <n v="36"/>
    <d v="1899-12-31T11:00:00"/>
    <s v="francisco.rosales@ejemplo.com"/>
    <x v="5"/>
    <n v="1080.943"/>
    <n v="8.5"/>
    <n v="1163.79"/>
    <n v="6.6574267799006801"/>
    <n v="1219.83"/>
    <s v="AD"/>
    <n v="1"/>
    <n v="1346"/>
    <n v="1173"/>
    <n v="0"/>
    <n v="1173"/>
  </r>
  <r>
    <x v="14"/>
    <s v="MARIA PEREZ"/>
    <n v="29"/>
    <n v="36"/>
    <d v="1899-12-31T11:00:00"/>
    <s v="maria.perez@ejemplo.com"/>
    <x v="5"/>
    <n v="1080.925"/>
    <n v="8.5"/>
    <n v="1163.79"/>
    <n v="6.6574267799006801"/>
    <n v="1219.83"/>
    <s v="AD"/>
    <n v="1"/>
    <n v="1346"/>
    <n v="1173"/>
    <n v="0"/>
    <n v="1173"/>
  </r>
  <r>
    <x v="14"/>
    <s v="DANIEL ESPINOZA"/>
    <n v="35"/>
    <n v="36"/>
    <d v="1899-12-31T11:00:00"/>
    <s v="daniel.espinoza@ejemplo.com"/>
    <x v="5"/>
    <n v="1080.817"/>
    <n v="8.5"/>
    <n v="1163.79"/>
    <n v="6.6574267799006801"/>
    <n v="1219.83"/>
    <s v="AD"/>
    <n v="1"/>
    <n v="1346"/>
    <n v="1173"/>
    <n v="0"/>
    <n v="1173"/>
  </r>
  <r>
    <x v="14"/>
    <s v="MARCELA ESPINOZA MURO"/>
    <n v="2"/>
    <n v="36"/>
    <d v="1899-12-31T23:30:00"/>
    <s v="marcela.espinoza.muro@ejemplo.com"/>
    <x v="5"/>
    <n v="1081.2397000000001"/>
    <n v="8.5"/>
    <n v="1163.79"/>
    <n v="6.6574267799006801"/>
    <n v="1219.83"/>
    <s v="AD"/>
    <n v="1"/>
    <n v="1346"/>
    <n v="1173"/>
    <n v="0"/>
    <n v="1173"/>
  </r>
  <r>
    <x v="14"/>
    <s v="FERNANDO RODRIGUEZ"/>
    <n v="3"/>
    <n v="36"/>
    <d v="1899-12-31T23:30:00"/>
    <s v="fernando.rodriguez@ejemplo.com"/>
    <x v="2"/>
    <n v="1081.2218"/>
    <n v="7"/>
    <n v="1163.79"/>
    <n v="5.4825867599182097"/>
    <n v="1219.83"/>
    <s v="AD"/>
    <n v="1"/>
    <n v="1330"/>
    <n v="1157"/>
    <n v="0"/>
    <n v="1157"/>
  </r>
  <r>
    <x v="14"/>
    <s v="MARCELA ESPINOZA MURO"/>
    <n v="5"/>
    <n v="36"/>
    <d v="1899-12-31T23:30:00"/>
    <s v="marcela.espinoza.muro@ejemplo.com"/>
    <x v="5"/>
    <n v="1081.2543000000001"/>
    <n v="8.5"/>
    <n v="1163.79"/>
    <n v="6.6574267799006801"/>
    <n v="1219.83"/>
    <s v="AD"/>
    <n v="1"/>
    <n v="1346"/>
    <n v="1173"/>
    <n v="0"/>
    <n v="1173"/>
  </r>
  <r>
    <x v="14"/>
    <s v="FERNANDO RODRIGUEZ"/>
    <n v="6"/>
    <n v="36"/>
    <d v="1899-12-31T23:30:00"/>
    <s v="fernando.rodriguez@ejemplo.com"/>
    <x v="5"/>
    <n v="1081.2361000000001"/>
    <n v="8.5"/>
    <n v="1163.79"/>
    <n v="6.6574267799006801"/>
    <n v="1219.83"/>
    <s v="AD"/>
    <n v="1"/>
    <n v="1346"/>
    <n v="1173"/>
    <n v="0"/>
    <n v="1173"/>
  </r>
  <r>
    <x v="14"/>
    <s v="DIANA AGUILAR"/>
    <n v="25"/>
    <n v="36"/>
    <d v="1899-12-31T11:00:00"/>
    <s v="diana.aguilar@ejemplo.com"/>
    <x v="5"/>
    <n v="1080.9970000000001"/>
    <n v="8.5"/>
    <n v="1163.79"/>
    <n v="6.6574267799006801"/>
    <n v="1219.83"/>
    <s v="AD"/>
    <n v="1"/>
    <n v="1346"/>
    <n v="1173"/>
    <n v="0"/>
    <n v="1173"/>
  </r>
  <r>
    <x v="14"/>
    <s v="ARTURO HERNÃNDEZ SIERRA"/>
    <n v="15"/>
    <n v="36"/>
    <d v="1899-12-31T11:00:00"/>
    <s v="ARTSURF51@HOTMAIL.COM"/>
    <x v="3"/>
    <n v="1081.3113000000001"/>
    <n v="0"/>
    <n v="1163.79"/>
    <n v="0"/>
    <n v="1158.8800000000001"/>
    <s v="AD"/>
    <n v="1"/>
    <n v="1254"/>
    <n v="1081"/>
    <n v="0"/>
    <n v="1081"/>
  </r>
  <r>
    <x v="14"/>
    <s v="ALAN JAZIEL SUAREZ"/>
    <n v="20"/>
    <n v="36"/>
    <d v="1899-12-31T11:00:00"/>
    <s v="alan.jaziel.suarez@ejemplo.com"/>
    <x v="5"/>
    <n v="1081.2086999999999"/>
    <n v="8.5"/>
    <n v="1163.79"/>
    <n v="6.6574267799006801"/>
    <n v="1219.83"/>
    <s v="AD"/>
    <n v="1"/>
    <n v="1346"/>
    <n v="1173"/>
    <n v="0"/>
    <n v="1173"/>
  </r>
  <r>
    <x v="14"/>
    <s v="PABLO BANDA"/>
    <n v="14"/>
    <n v="36"/>
    <d v="1899-12-31T11:00:00"/>
    <s v="PABLOBANDA78@GMAIL.COM"/>
    <x v="5"/>
    <n v="1081.3167000000001"/>
    <n v="8.5"/>
    <n v="1163.79"/>
    <n v="6.6574267799006801"/>
    <n v="1097.8399999999999"/>
    <s v="AD"/>
    <n v="1"/>
    <n v="1346"/>
    <n v="1173"/>
    <n v="0"/>
    <n v="1173"/>
  </r>
  <r>
    <x v="14"/>
    <s v="ADAIR CHAIRES"/>
    <n v="36"/>
    <n v="36"/>
    <d v="1899-12-31T23:30:00"/>
    <s v="ADAIR_11@HOTMAIL.COM"/>
    <x v="3"/>
    <n v="1080.5734"/>
    <n v="0"/>
    <n v="1163.79"/>
    <n v="0"/>
    <n v="1158.8800000000001"/>
    <s v="AD"/>
    <n v="1"/>
    <n v="1253"/>
    <n v="1081"/>
    <n v="0"/>
    <n v="1081"/>
  </r>
  <r>
    <x v="14"/>
    <s v="RAUL ZERMEÃ‘O CERVANTES"/>
    <n v="14"/>
    <n v="36"/>
    <d v="1899-12-31T23:30:00"/>
    <s v="raul.zermeÃ±o.cervantes@ejemplo.com"/>
    <x v="4"/>
    <n v="1081.1732999999999"/>
    <n v="5"/>
    <n v="1163.79"/>
    <n v="3.9161333999415802"/>
    <n v="609.91"/>
    <s v="IN"/>
    <n v="1"/>
    <n v="1308"/>
    <n v="1135"/>
    <n v="0.5"/>
    <n v="567.5"/>
  </r>
  <r>
    <x v="14"/>
    <s v="MARTHA ZUÃ‘IGA VILLARUEL"/>
    <n v="15"/>
    <n v="36"/>
    <d v="1899-12-31T23:30:00"/>
    <s v="martha.zuÃ±iga.villaruel@ejemplo.com"/>
    <x v="2"/>
    <n v="1081.1552999999999"/>
    <n v="7"/>
    <n v="1163.79"/>
    <n v="5.4825867599182097"/>
    <n v="1097.8399999999999"/>
    <s v="AD"/>
    <n v="1"/>
    <n v="1330"/>
    <n v="1157"/>
    <n v="0"/>
    <n v="1157"/>
  </r>
  <r>
    <x v="14"/>
    <s v="GREGORIO VALERIANO CONTRERAS"/>
    <n v="10"/>
    <n v="36"/>
    <d v="1899-12-31T23:30:00"/>
    <s v="MADELRAYOGARCIAHERNANDEZ@GMAIL.COM"/>
    <x v="3"/>
    <n v="1081.1723999999999"/>
    <n v="0"/>
    <n v="1163.79"/>
    <n v="0"/>
    <n v="1158.8800000000001"/>
    <s v="AD"/>
    <n v="1"/>
    <n v="1254"/>
    <n v="1081"/>
    <n v="0"/>
    <n v="1081"/>
  </r>
  <r>
    <x v="14"/>
    <s v="MEINARDO VILLALBA GARCIA"/>
    <n v="14"/>
    <n v="36"/>
    <d v="1899-12-31T23:30:00"/>
    <s v="meinardo.villalba.garcia@ejemplo.com"/>
    <x v="1"/>
    <n v="1081.0907999999999"/>
    <n v="10"/>
    <n v="1163.79"/>
    <n v="7.8322667998831603"/>
    <n v="609.91"/>
    <s v="NI"/>
    <n v="1"/>
    <n v="1362"/>
    <n v="1189"/>
    <n v="0.5"/>
    <n v="594.5"/>
  </r>
  <r>
    <x v="14"/>
    <s v="CATALINA BERMEJO"/>
    <n v="36"/>
    <n v="36"/>
    <d v="1899-12-31T06:00:00"/>
    <s v="OCADIOSILVIA58@GMAIL.COM"/>
    <x v="0"/>
    <n v="1080.7352000000001"/>
    <n v="2.5"/>
    <n v="1163.79"/>
    <n v="1.9580666999707901"/>
    <n v="1158.8800000000001"/>
    <s v="AD"/>
    <n v="1"/>
    <n v="1281"/>
    <n v="1108"/>
    <n v="0"/>
    <n v="1108"/>
  </r>
  <r>
    <x v="14"/>
    <s v="JOSE DANIEL GARCIA RAMIREZ"/>
    <n v="9"/>
    <n v="36"/>
    <d v="1899-12-31T23:59:00"/>
    <s v="DANGRA30@GMAIL.COM"/>
    <x v="3"/>
    <n v="1081.2739999999999"/>
    <n v="0"/>
    <n v="1163.79"/>
    <n v="0"/>
    <n v="1158.8800000000001"/>
    <s v="AD"/>
    <n v="1"/>
    <n v="1254"/>
    <n v="1081"/>
    <n v="0"/>
    <n v="1081"/>
  </r>
  <r>
    <x v="14"/>
    <s v="JOSE DANIEL GARCIA RAMIREZ"/>
    <n v="9"/>
    <n v="36"/>
    <d v="1899-12-31T23:59:00"/>
    <s v="POLETPONCEV@GMAIL.COM"/>
    <x v="3"/>
    <n v="1081.2739999999999"/>
    <n v="0"/>
    <n v="1163.79"/>
    <n v="0"/>
    <n v="1158.8800000000001"/>
    <s v="AD"/>
    <n v="1"/>
    <n v="1254"/>
    <n v="1081"/>
    <n v="0"/>
    <n v="1081"/>
  </r>
  <r>
    <x v="14"/>
    <s v="PAOLA POLET PONCE VILLEGAS"/>
    <n v="8"/>
    <n v="36"/>
    <d v="1899-12-31T23:59:00"/>
    <s v="DANGRA30@GMAIL.COM"/>
    <x v="3"/>
    <n v="1081.2919999999999"/>
    <n v="0"/>
    <n v="1163.79"/>
    <n v="0"/>
    <n v="1158.8800000000001"/>
    <s v="AD"/>
    <n v="1"/>
    <n v="1254"/>
    <n v="1081"/>
    <n v="0"/>
    <n v="1081"/>
  </r>
  <r>
    <x v="14"/>
    <s v="PAOLA POLET PONCE VILLEGAS"/>
    <n v="8"/>
    <n v="36"/>
    <d v="1899-12-31T23:59:00"/>
    <s v="POLETPONCEV@GMAIL.COM"/>
    <x v="3"/>
    <n v="1081.2919999999999"/>
    <n v="0"/>
    <n v="1163.79"/>
    <n v="0"/>
    <n v="1158.8800000000001"/>
    <s v="AD"/>
    <n v="1"/>
    <n v="1254"/>
    <n v="1081"/>
    <n v="0"/>
    <n v="1081"/>
  </r>
  <r>
    <x v="14"/>
    <s v="JOSE LUIS BECERRA"/>
    <n v="10"/>
    <n v="36"/>
    <d v="1899-12-31T06:00:00"/>
    <s v="jose.luis.becerra@ejemplo.com"/>
    <x v="2"/>
    <n v="1081.3217999999999"/>
    <n v="7"/>
    <n v="1163.79"/>
    <n v="5.4825867599182097"/>
    <n v="1219.83"/>
    <s v="AD"/>
    <n v="1"/>
    <n v="1330"/>
    <n v="1157"/>
    <n v="0"/>
    <n v="1157"/>
  </r>
  <r>
    <x v="14"/>
    <s v="JORGE ESCOBAR ARREOLA"/>
    <n v="21"/>
    <n v="36"/>
    <d v="1899-12-31T02:00:00"/>
    <s v="SHARAJUANA@HOTMAIL.COM"/>
    <x v="2"/>
    <n v="1081.1383000000001"/>
    <n v="7"/>
    <n v="1163.79"/>
    <n v="5.4825867599182097"/>
    <n v="1158.8800000000001"/>
    <s v="AD"/>
    <n v="1"/>
    <n v="1330"/>
    <n v="1157"/>
    <n v="0"/>
    <n v="1157"/>
  </r>
  <r>
    <x v="14"/>
    <s v="JESUS ALEJANDRO SALINAS BARAJAS"/>
    <n v="4"/>
    <n v="36"/>
    <d v="1899-12-31T02:00:00"/>
    <s v="SALINAS.JESUS@UABC.EDU.MX"/>
    <x v="2"/>
    <n v="1081.3116"/>
    <n v="7"/>
    <n v="1163.79"/>
    <n v="5.4825867599182097"/>
    <n v="1158.8800000000001"/>
    <s v="AD"/>
    <n v="1"/>
    <n v="1330"/>
    <n v="1157"/>
    <n v="0"/>
    <n v="1157"/>
  </r>
  <r>
    <x v="14"/>
    <s v="LEIDY YOANA PEREZ CHAVARRIA"/>
    <n v="13"/>
    <n v="36"/>
    <d v="1899-12-31T02:00:00"/>
    <s v="ADRICHG16@GMAIL.COM"/>
    <x v="0"/>
    <n v="1081.2811999999999"/>
    <n v="2.5"/>
    <n v="1163.79"/>
    <n v="1.9580666999707901"/>
    <n v="1158.8800000000001"/>
    <s v="AD"/>
    <n v="1"/>
    <n v="1281"/>
    <n v="1108"/>
    <n v="0"/>
    <n v="1108"/>
  </r>
  <r>
    <x v="14"/>
    <s v="LEO MATIAS FLORES QUESADA"/>
    <n v="19"/>
    <n v="36"/>
    <d v="1899-12-31T23:30:00"/>
    <s v="leo.matias.flores.quesada@ejemplo.com"/>
    <x v="1"/>
    <n v="1081"/>
    <n v="10"/>
    <n v="1163.79"/>
    <n v="7.8322667998831603"/>
    <n v="609.91"/>
    <s v="NI"/>
    <n v="1"/>
    <n v="1362"/>
    <n v="1189"/>
    <n v="0.5"/>
    <n v="594.5"/>
  </r>
  <r>
    <x v="14"/>
    <s v="TERESA HERNANDEZ OLIVARES"/>
    <n v="20"/>
    <n v="36"/>
    <d v="1899-12-31T23:30:00"/>
    <s v="teresa.hernandez.olivares@ejemplo.com"/>
    <x v="4"/>
    <n v="1080.9819"/>
    <n v="5"/>
    <n v="1163.79"/>
    <n v="3.9161333999415802"/>
    <n v="609.91"/>
    <s v="IN"/>
    <n v="1"/>
    <n v="1308"/>
    <n v="1135"/>
    <n v="0.5"/>
    <n v="567.5"/>
  </r>
  <r>
    <x v="14"/>
    <s v="JENNIFER QUEZADA"/>
    <n v="22"/>
    <n v="36"/>
    <d v="1899-12-31T23:30:00"/>
    <s v="jennifer.quezada@ejemplo.com"/>
    <x v="5"/>
    <n v="1080.8276000000001"/>
    <n v="8.5"/>
    <n v="1163.79"/>
    <n v="6.6574267799006801"/>
    <n v="1097.8399999999999"/>
    <s v="AD"/>
    <n v="1"/>
    <n v="1346"/>
    <n v="1173"/>
    <n v="0"/>
    <n v="1173"/>
  </r>
  <r>
    <x v="14"/>
    <s v="NOE FLORES"/>
    <n v="23"/>
    <n v="36"/>
    <d v="1899-12-31T23:30:00"/>
    <s v="noe.flores@ejemplo.com"/>
    <x v="5"/>
    <n v="1080.8097"/>
    <n v="8.5"/>
    <n v="1163.79"/>
    <n v="6.6574267799006801"/>
    <n v="1097.8399999999999"/>
    <s v="AD"/>
    <n v="1"/>
    <n v="1346"/>
    <n v="1173"/>
    <n v="0"/>
    <n v="1173"/>
  </r>
  <r>
    <x v="14"/>
    <s v="CESAR PULIDO MACIAS"/>
    <n v="36"/>
    <n v="36"/>
    <d v="1899-12-31T02:00:00"/>
    <s v="ELI.GOMEZ@NISUA.COM"/>
    <x v="0"/>
    <n v="1080.7354"/>
    <n v="2.5"/>
    <n v="1163.79"/>
    <n v="1.9580666999707901"/>
    <n v="1158.8800000000001"/>
    <s v="AD"/>
    <n v="1"/>
    <n v="1281"/>
    <n v="1108"/>
    <n v="0"/>
    <n v="1108"/>
  </r>
  <r>
    <x v="14"/>
    <s v="JAIME LOPEZ GARCIA"/>
    <n v="2"/>
    <n v="36"/>
    <d v="1899-12-31T23:30:00"/>
    <s v="jaime.lopez.garcia@ejemplo.com"/>
    <x v="2"/>
    <n v="1081.3867"/>
    <n v="7"/>
    <n v="1163.79"/>
    <n v="5.4825867599182097"/>
    <n v="1219.83"/>
    <s v="AD"/>
    <n v="1"/>
    <n v="1330"/>
    <n v="1157"/>
    <n v="0"/>
    <n v="1157"/>
  </r>
  <r>
    <x v="14"/>
    <s v="DAVID ISRAEL GONZALEZ ZEPEDA"/>
    <n v="3"/>
    <n v="36"/>
    <d v="1899-12-31T23:30:00"/>
    <s v="david.israel.gonzalez.zepeda@ejemplo.com"/>
    <x v="2"/>
    <n v="1081.3687"/>
    <n v="7"/>
    <n v="1163.79"/>
    <n v="5.4825867599182097"/>
    <n v="1219.83"/>
    <s v="AD"/>
    <n v="1"/>
    <n v="1330"/>
    <n v="1157"/>
    <n v="0"/>
    <n v="1157"/>
  </r>
  <r>
    <x v="14"/>
    <s v="JOSUÃ‰ ALEJANDRO ANTONIO MARTINEZ"/>
    <n v="13"/>
    <n v="36"/>
    <d v="1899-12-31T23:59:00"/>
    <s v="JOSUEKZR93@GMAIL.COM"/>
    <x v="0"/>
    <n v="1081.1058"/>
    <n v="2.5"/>
    <n v="1163.79"/>
    <n v="1.9580666999707901"/>
    <n v="1158.8800000000001"/>
    <s v="AD"/>
    <n v="1"/>
    <n v="1281"/>
    <n v="1108"/>
    <n v="0"/>
    <n v="1108"/>
  </r>
  <r>
    <x v="14"/>
    <s v="LILIA ELENA MONROY RAMIREZ DE ARELLANO"/>
    <n v="4"/>
    <n v="36"/>
    <d v="1899-12-31T11:00:00"/>
    <s v="LILIAMONROYRDA@GMAIL.COM"/>
    <x v="0"/>
    <n v="1081.3056999999999"/>
    <n v="2.5"/>
    <n v="1163.79"/>
    <n v="1.9580666999707901"/>
    <n v="1158.8800000000001"/>
    <s v="AD"/>
    <n v="1"/>
    <n v="1281"/>
    <n v="1108"/>
    <n v="0"/>
    <n v="1108"/>
  </r>
  <r>
    <x v="14"/>
    <s v="JOSE PATRICIO MIRANDA GARCIA"/>
    <n v="13"/>
    <n v="36"/>
    <d v="1899-12-31T23:30:00"/>
    <s v="PATRICIO.MIRANDA@GAFF.COM.MX"/>
    <x v="0"/>
    <n v="1081.1958999999999"/>
    <n v="2.5"/>
    <n v="1163.79"/>
    <n v="1.9580666999707901"/>
    <n v="1175.17"/>
    <s v="AD"/>
    <n v="1"/>
    <n v="1281"/>
    <n v="1108"/>
    <n v="0"/>
    <n v="1108"/>
  </r>
  <r>
    <x v="14"/>
    <s v="EDUARDO VALDESPINO"/>
    <n v="7"/>
    <n v="36"/>
    <d v="1899-12-31T23:59:00"/>
    <s v="eduardo.valdespino@ejemplo.com"/>
    <x v="1"/>
    <n v="1081.2012"/>
    <n v="10"/>
    <n v="1163.79"/>
    <n v="7.8322667998831603"/>
    <n v="609.91"/>
    <s v="NI"/>
    <n v="1"/>
    <n v="1362"/>
    <n v="1189"/>
    <n v="0.5"/>
    <n v="594.5"/>
  </r>
  <r>
    <x v="14"/>
    <s v="ISAAC DELGADO AGUILAR"/>
    <n v="6"/>
    <n v="36"/>
    <d v="1899-12-31T23:59:00"/>
    <s v="MILENIUM.ING.AUTO@GMAIL.COM"/>
    <x v="2"/>
    <n v="1081.2308"/>
    <n v="7"/>
    <n v="1163.79"/>
    <n v="5.4825867599182097"/>
    <n v="1097.8399999999999"/>
    <s v="AD"/>
    <n v="1"/>
    <n v="1330"/>
    <n v="1157"/>
    <n v="0"/>
    <n v="1157"/>
  </r>
  <r>
    <x v="14"/>
    <s v="SIMON ENRIQUE LUCKERT FROGET"/>
    <n v="7"/>
    <n v="36"/>
    <d v="1899-12-31T23:59:00"/>
    <s v="SIMON.LUCKERT.FR@GMAIL.COM"/>
    <x v="0"/>
    <n v="1081.1564000000001"/>
    <n v="2.5"/>
    <n v="1163.79"/>
    <n v="1.9580666999707901"/>
    <n v="1158.8800000000001"/>
    <s v="AD"/>
    <n v="1"/>
    <n v="1281"/>
    <n v="1108"/>
    <n v="0"/>
    <n v="1108"/>
  </r>
  <r>
    <x v="14"/>
    <s v="MARIANA ALVAREZ VILLANUEVA"/>
    <n v="15"/>
    <n v="36"/>
    <d v="1899-12-31T11:00:00"/>
    <s v="MARIANA.ALVAREZ@BUSSCAR.COM.CO"/>
    <x v="0"/>
    <n v="1081.3906999999999"/>
    <n v="2.5"/>
    <n v="1163.79"/>
    <n v="1.9580666999707901"/>
    <n v="1158.8800000000001"/>
    <s v="AD"/>
    <n v="1"/>
    <n v="1281"/>
    <n v="1108"/>
    <n v="0"/>
    <n v="1108"/>
  </r>
  <r>
    <x v="14"/>
    <s v="ALEJANDRA CASTILLO MALDONADO"/>
    <n v="27"/>
    <n v="36"/>
    <d v="1899-12-31T23:10:00"/>
    <s v="UZZIELBERNARDO74@GMAIL.COM"/>
    <x v="0"/>
    <n v="1080.7302999999999"/>
    <n v="2.5"/>
    <n v="1163.79"/>
    <n v="1.9580666999707901"/>
    <n v="1158.8800000000001"/>
    <s v="AD"/>
    <n v="1"/>
    <n v="1281"/>
    <n v="1108"/>
    <n v="0"/>
    <n v="1108"/>
  </r>
  <r>
    <x v="14"/>
    <s v="PATRICIA TORRES DIAZ"/>
    <n v="7"/>
    <n v="36"/>
    <d v="1899-12-31T23:59:00"/>
    <s v="JARTUROJT@GMAIL.COM"/>
    <x v="0"/>
    <n v="1081.3028999999999"/>
    <n v="2.5"/>
    <n v="1163.79"/>
    <n v="1.9580666999707901"/>
    <n v="1097.8399999999999"/>
    <s v="AD"/>
    <n v="1"/>
    <n v="1281"/>
    <n v="1108"/>
    <n v="0"/>
    <n v="1108"/>
  </r>
  <r>
    <x v="14"/>
    <s v="RAMON MORENO CRUCES"/>
    <n v="15"/>
    <n v="36"/>
    <d v="1899-12-31T02:00:00"/>
    <s v="TRASLADOS.MX@MEDIAPRO.TV"/>
    <x v="0"/>
    <n v="1081.2431999999999"/>
    <n v="2.5"/>
    <n v="1163.79"/>
    <n v="1.9580666999707901"/>
    <n v="1158.8800000000001"/>
    <s v="AD"/>
    <n v="1"/>
    <n v="1281"/>
    <n v="1108"/>
    <n v="0"/>
    <n v="1108"/>
  </r>
  <r>
    <x v="14"/>
    <s v="ANDRES SUAREZ SOLIS"/>
    <n v="19"/>
    <n v="36"/>
    <d v="1899-12-31T02:00:00"/>
    <s v="andres.suarez.solis@ejemplo.com"/>
    <x v="4"/>
    <n v="1081.1587"/>
    <n v="5"/>
    <n v="1163.79"/>
    <n v="3.9161333999415802"/>
    <n v="609.91"/>
    <s v="IN"/>
    <n v="1"/>
    <n v="1308"/>
    <n v="1135"/>
    <n v="0.5"/>
    <n v="567.5"/>
  </r>
  <r>
    <x v="14"/>
    <s v="MARIA DEL ROCIO GONZALEZ ROMO"/>
    <n v="15"/>
    <n v="36"/>
    <d v="1899-12-31T11:00:00"/>
    <s v="ROCIOGIP@YAHOO.COM.MX"/>
    <x v="0"/>
    <n v="1081.2953"/>
    <n v="2.5"/>
    <n v="1163.79"/>
    <n v="1.9580666999707901"/>
    <n v="1158.8800000000001"/>
    <s v="AD"/>
    <n v="1"/>
    <n v="1281"/>
    <n v="1108"/>
    <n v="0"/>
    <n v="1108"/>
  </r>
  <r>
    <x v="14"/>
    <s v="MARIA DEL ROCIO ROMO ORNELAS"/>
    <n v="14"/>
    <n v="36"/>
    <d v="1899-12-31T11:00:00"/>
    <s v="ROCIOGIP@YAHOO.COM.MX"/>
    <x v="0"/>
    <n v="1081.3131000000001"/>
    <n v="2.5"/>
    <n v="1163.79"/>
    <n v="1.9580666999707901"/>
    <n v="1158.8800000000001"/>
    <s v="AD"/>
    <n v="1"/>
    <n v="1281"/>
    <n v="1108"/>
    <n v="0"/>
    <n v="1108"/>
  </r>
  <r>
    <x v="14"/>
    <s v="JORGE ARMANDO HERRERA TEOYOTL"/>
    <n v="3"/>
    <n v="36"/>
    <d v="1899-12-31T23:59:00"/>
    <s v="BLANCA7853@HOTMAIL.COM"/>
    <x v="3"/>
    <n v="1081.2936999999999"/>
    <n v="0"/>
    <n v="1163.79"/>
    <n v="0"/>
    <n v="1158.8800000000001"/>
    <s v="AD"/>
    <n v="1"/>
    <n v="1254"/>
    <n v="1081"/>
    <n v="0"/>
    <n v="1081"/>
  </r>
  <r>
    <x v="14"/>
    <s v="ALEJANDRO ESPINOSA AVILÃ‰S"/>
    <n v="16"/>
    <n v="36"/>
    <d v="1899-12-31T06:00:00"/>
    <s v="KATSUYAYOU@GMAIL.COM"/>
    <x v="0"/>
    <n v="1081.2233000000001"/>
    <n v="2.5"/>
    <n v="1163.79"/>
    <n v="1.9580666999707901"/>
    <n v="1158.8800000000001"/>
    <s v="AD"/>
    <n v="1"/>
    <n v="1281"/>
    <n v="1108"/>
    <n v="0"/>
    <n v="1108"/>
  </r>
  <r>
    <x v="14"/>
    <s v="ALEJANDRO ESPINOSA AVILÃ‰S"/>
    <n v="16"/>
    <n v="36"/>
    <d v="1899-12-31T06:00:00"/>
    <s v="KATSUYAYOU@GMAIL.COM"/>
    <x v="0"/>
    <n v="1081.2233000000001"/>
    <n v="2.5"/>
    <n v="1163.79"/>
    <n v="1.9580666999707901"/>
    <n v="1158.8800000000001"/>
    <s v="AD"/>
    <n v="1"/>
    <n v="1281"/>
    <n v="1108"/>
    <n v="0"/>
    <n v="1108"/>
  </r>
  <r>
    <x v="14"/>
    <s v="CESAR ESPINOSA AVILÃ‰S"/>
    <n v="17"/>
    <n v="36"/>
    <d v="1899-12-31T06:00:00"/>
    <s v="KATSUYAYOU@GMAIL.COM"/>
    <x v="0"/>
    <n v="1081.2052000000001"/>
    <n v="2.5"/>
    <n v="1163.79"/>
    <n v="1.9580666999707901"/>
    <n v="1158.8800000000001"/>
    <s v="AD"/>
    <n v="1"/>
    <n v="1281"/>
    <n v="1108"/>
    <n v="0"/>
    <n v="1108"/>
  </r>
  <r>
    <x v="14"/>
    <s v="CESAR ESPINOSA AVILÃ‰S"/>
    <n v="17"/>
    <n v="36"/>
    <d v="1899-12-31T06:00:00"/>
    <s v="KATSUYAYOU@GMAIL.COM"/>
    <x v="0"/>
    <n v="1081.2052000000001"/>
    <n v="2.5"/>
    <n v="1163.79"/>
    <n v="1.9580666999707901"/>
    <n v="1158.8800000000001"/>
    <s v="AD"/>
    <n v="1"/>
    <n v="1281"/>
    <n v="1108"/>
    <n v="0"/>
    <n v="1108"/>
  </r>
  <r>
    <x v="14"/>
    <s v="CHRISTOPHER ADRIAN RODRIGUEZ GOMEZ"/>
    <n v="4"/>
    <n v="36"/>
    <d v="1899-12-31T23:59:00"/>
    <s v="FANNY20_91@HOTMAIL.COM"/>
    <x v="3"/>
    <n v="1081.1432"/>
    <n v="0"/>
    <n v="1163.79"/>
    <n v="0"/>
    <n v="1158.8800000000001"/>
    <s v="AD"/>
    <n v="1"/>
    <n v="1254"/>
    <n v="1081"/>
    <n v="0"/>
    <n v="1081"/>
  </r>
  <r>
    <x v="14"/>
    <s v="JORGE CASTRILLON"/>
    <n v="21"/>
    <n v="36"/>
    <d v="1899-12-31T23:59:00"/>
    <s v="jorge.castrillon@ejemplo.com"/>
    <x v="5"/>
    <n v="1080.9619"/>
    <n v="8.5"/>
    <n v="1163.79"/>
    <n v="6.6574267799006801"/>
    <n v="1219.83"/>
    <s v="AD"/>
    <n v="1"/>
    <n v="1346"/>
    <n v="1173"/>
    <n v="0"/>
    <n v="1173"/>
  </r>
  <r>
    <x v="14"/>
    <s v="FERNANDO MONREAL MORALES"/>
    <n v="1"/>
    <n v="36"/>
    <d v="1899-12-31T06:00:00"/>
    <s v="FERNANDO.MONREAL@MECANICATEK.COM"/>
    <x v="2"/>
    <n v="1081.6432"/>
    <n v="7"/>
    <n v="1163.79"/>
    <n v="5.4825867599182097"/>
    <n v="1158.8800000000001"/>
    <s v="AD"/>
    <n v="1"/>
    <n v="1330"/>
    <n v="1157"/>
    <n v="0"/>
    <n v="1157"/>
  </r>
  <r>
    <x v="14"/>
    <s v="JONATHAN RAMÃREZ PÃ‰REZ"/>
    <n v="26"/>
    <n v="36"/>
    <d v="1899-12-31T02:00:00"/>
    <s v="RH@HANDSHAKE.BAR"/>
    <x v="0"/>
    <n v="1080.912"/>
    <n v="2.5"/>
    <n v="1163.79"/>
    <n v="1.9580666999707901"/>
    <n v="1158.8800000000001"/>
    <s v="AD"/>
    <n v="1"/>
    <n v="1281"/>
    <n v="1108"/>
    <n v="0"/>
    <n v="1108"/>
  </r>
  <r>
    <x v="14"/>
    <s v="MARIO BERUMEN MERCADO"/>
    <n v="10"/>
    <n v="36"/>
    <d v="1899-12-31T23:10:00"/>
    <s v="FRA.MARIO.IT@GMAIL.COM"/>
    <x v="0"/>
    <n v="1081.1566"/>
    <n v="2.5"/>
    <n v="1163.79"/>
    <n v="1.9580666999707901"/>
    <n v="1158.8800000000001"/>
    <s v="AD"/>
    <n v="1"/>
    <n v="1281"/>
    <n v="1108"/>
    <n v="0"/>
    <n v="1108"/>
  </r>
  <r>
    <x v="14"/>
    <s v="FERNANDO DE LA CRUZ RAMIREZ"/>
    <n v="28"/>
    <n v="36"/>
    <d v="1899-12-31T23:30:00"/>
    <s v="MIGUEGUZMAN10M@HOTMAIL.COM"/>
    <x v="3"/>
    <n v="1080.7102"/>
    <n v="0"/>
    <n v="1163.79"/>
    <n v="0"/>
    <n v="1158.8800000000001"/>
    <s v="AD"/>
    <n v="1"/>
    <n v="1254"/>
    <n v="1081"/>
    <n v="0"/>
    <n v="1081"/>
  </r>
  <r>
    <x v="14"/>
    <s v="MIGUEL GUZMAN MIRANDA"/>
    <n v="29"/>
    <n v="36"/>
    <d v="1899-12-31T23:30:00"/>
    <s v="MIGUEGUZMAN10M@HOTMAIL.COM"/>
    <x v="3"/>
    <n v="1080.6921"/>
    <n v="0"/>
    <n v="1163.79"/>
    <n v="0"/>
    <n v="1158.8800000000001"/>
    <s v="AD"/>
    <n v="1"/>
    <n v="1254"/>
    <n v="1081"/>
    <n v="0"/>
    <n v="1081"/>
  </r>
  <r>
    <x v="14"/>
    <s v="PEDRO DIONEY SOLIS"/>
    <n v="35"/>
    <n v="36"/>
    <d v="1899-12-31T23:59:00"/>
    <s v="DIONEYSOLIS88@GMAIL.COM"/>
    <x v="5"/>
    <n v="1080.5844"/>
    <n v="8.5"/>
    <n v="1163.79"/>
    <n v="6.6574267799006801"/>
    <n v="1158.8800000000001"/>
    <s v="AD"/>
    <n v="1"/>
    <n v="1345"/>
    <n v="1172"/>
    <n v="0"/>
    <n v="1172"/>
  </r>
  <r>
    <x v="14"/>
    <s v="CARLOS GABRIEL GARCÃA RAMÃREZ"/>
    <n v="24"/>
    <n v="36"/>
    <d v="1899-12-31T23:59:00"/>
    <s v="CHACTEACHER@GMAIL.COM"/>
    <x v="2"/>
    <n v="1080.7157"/>
    <n v="7"/>
    <n v="1163.79"/>
    <n v="5.4825867599182097"/>
    <n v="1097.8399999999999"/>
    <s v="AD"/>
    <n v="1"/>
    <n v="1329"/>
    <n v="1156"/>
    <n v="0"/>
    <n v="1156"/>
  </r>
  <r>
    <x v="14"/>
    <s v="PAOLA MARTINEZ ARANDA"/>
    <n v="4"/>
    <n v="36"/>
    <d v="1899-12-31T23:30:00"/>
    <s v="PAO.MTZ.A160492@HOTMAIL.COM"/>
    <x v="3"/>
    <n v="1081.1415999999999"/>
    <n v="0"/>
    <n v="1163.79"/>
    <n v="0"/>
    <n v="1158.8800000000001"/>
    <s v="AD"/>
    <n v="1"/>
    <n v="1254"/>
    <n v="1081"/>
    <n v="0"/>
    <n v="1081"/>
  </r>
  <r>
    <x v="14"/>
    <s v="CLETO HERNÃNDEZ PANTOJA"/>
    <n v="10"/>
    <n v="36"/>
    <d v="1899-12-31T23:30:00"/>
    <s v="CLETOHP@GMAIL.COM"/>
    <x v="2"/>
    <n v="1081.2465999999999"/>
    <n v="7"/>
    <n v="1163.79"/>
    <n v="5.4825867599182097"/>
    <n v="1158.8800000000001"/>
    <s v="AD"/>
    <n v="1"/>
    <n v="1330"/>
    <n v="1157"/>
    <n v="0"/>
    <n v="1157"/>
  </r>
  <r>
    <x v="14"/>
    <s v="DIEGO ARMANDO GARCIA AGUILAR"/>
    <n v="22"/>
    <n v="36"/>
    <d v="1899-12-31T06:00:00"/>
    <s v="MARIANOMAS78@HOTMAIL.COM"/>
    <x v="0"/>
    <n v="1080.9804999999999"/>
    <n v="2.5"/>
    <n v="1163.79"/>
    <n v="1.9580666999707901"/>
    <n v="1158.8800000000001"/>
    <s v="AD"/>
    <n v="1"/>
    <n v="1281"/>
    <n v="1108"/>
    <n v="0"/>
    <n v="1108"/>
  </r>
  <r>
    <x v="14"/>
    <s v="DIEGO ARMANDO GARCIA AGUILAR"/>
    <n v="22"/>
    <n v="36"/>
    <d v="1899-12-31T06:00:00"/>
    <s v="MARIANOMAS78@HOTMAIL.COM"/>
    <x v="0"/>
    <n v="1080.9804999999999"/>
    <n v="2.5"/>
    <n v="1163.79"/>
    <n v="1.9580666999707901"/>
    <n v="1158.8800000000001"/>
    <s v="AD"/>
    <n v="1"/>
    <n v="1281"/>
    <n v="1108"/>
    <n v="0"/>
    <n v="1108"/>
  </r>
  <r>
    <x v="14"/>
    <s v="MARIANO GARCIA DE LA ROSA"/>
    <n v="23"/>
    <n v="36"/>
    <d v="1899-12-31T06:00:00"/>
    <s v="MARIANOMAS78@HOTMAIL.COM"/>
    <x v="0"/>
    <n v="1080.9623999999999"/>
    <n v="2.5"/>
    <n v="1163.79"/>
    <n v="1.9580666999707901"/>
    <n v="1158.8800000000001"/>
    <s v="AD"/>
    <n v="1"/>
    <n v="1281"/>
    <n v="1108"/>
    <n v="0"/>
    <n v="1108"/>
  </r>
  <r>
    <x v="14"/>
    <s v="MARIANO GARCIA DE LA ROSA"/>
    <n v="23"/>
    <n v="36"/>
    <d v="1899-12-31T06:00:00"/>
    <s v="MARIANOMAS78@HOTMAIL.COM"/>
    <x v="0"/>
    <n v="1080.9623999999999"/>
    <n v="2.5"/>
    <n v="1163.79"/>
    <n v="1.9580666999707901"/>
    <n v="1158.8800000000001"/>
    <s v="AD"/>
    <n v="1"/>
    <n v="1281"/>
    <n v="1108"/>
    <n v="0"/>
    <n v="1108"/>
  </r>
  <r>
    <x v="14"/>
    <s v="HUGO  CASTILLEJOS  MARTINEZ"/>
    <n v="33"/>
    <n v="36"/>
    <d v="1899-12-31T06:00:00"/>
    <s v="hugo..castillejos..martinez@ejemplo.com"/>
    <x v="1"/>
    <n v="1080.8268"/>
    <n v="10"/>
    <n v="1163.79"/>
    <n v="7.8322667998831603"/>
    <n v="609.91"/>
    <s v="NI"/>
    <n v="1"/>
    <n v="1362"/>
    <n v="1189"/>
    <n v="0.5"/>
    <n v="594.5"/>
  </r>
  <r>
    <x v="14"/>
    <s v="CECILIA PACHECO RAMIREZ"/>
    <n v="34"/>
    <n v="36"/>
    <d v="1899-12-31T06:00:00"/>
    <s v="cecilia.pacheco.ramirez@ejemplo.com"/>
    <x v="1"/>
    <n v="1080.809"/>
    <n v="10"/>
    <n v="1163.79"/>
    <n v="7.8322667998831603"/>
    <n v="609.91"/>
    <s v="NI"/>
    <n v="1"/>
    <n v="1362"/>
    <n v="1189"/>
    <n v="0.5"/>
    <n v="594.5"/>
  </r>
  <r>
    <x v="14"/>
    <s v="JESUS RAFAEL NAJERA MORENO"/>
    <n v="13"/>
    <n v="36"/>
    <d v="1899-12-31T23:30:00"/>
    <s v="RECEPCIONMX@ORECOBALGON.COM.MX"/>
    <x v="0"/>
    <n v="1081.1018999999999"/>
    <n v="2.5"/>
    <n v="1163.79"/>
    <n v="1.9580666999707901"/>
    <n v="1158.8800000000001"/>
    <s v="AD"/>
    <n v="1"/>
    <n v="1281"/>
    <n v="1108"/>
    <n v="0"/>
    <n v="1108"/>
  </r>
  <r>
    <x v="14"/>
    <s v="JESUS RAFAEL NAJERA MORENO"/>
    <n v="13"/>
    <n v="36"/>
    <d v="1899-12-31T23:30:00"/>
    <s v="RECEPCIONMX@ORECOBALGON.COM.MX"/>
    <x v="0"/>
    <n v="1081.1018999999999"/>
    <n v="2.5"/>
    <n v="1163.79"/>
    <n v="1.9580666999707901"/>
    <n v="1158.8800000000001"/>
    <s v="AD"/>
    <n v="1"/>
    <n v="1281"/>
    <n v="1108"/>
    <n v="0"/>
    <n v="1108"/>
  </r>
  <r>
    <x v="14"/>
    <s v="JESUS RAFAEL NAJERA MORENO"/>
    <n v="13"/>
    <n v="36"/>
    <d v="1899-12-31T23:30:00"/>
    <s v="RECEPCIONMX@ORECOBALGON.COM.MX"/>
    <x v="0"/>
    <n v="1081.1018999999999"/>
    <n v="2.5"/>
    <n v="1163.79"/>
    <n v="1.9580666999707901"/>
    <n v="1158.8800000000001"/>
    <s v="AD"/>
    <n v="1"/>
    <n v="1281"/>
    <n v="1108"/>
    <n v="0"/>
    <n v="1108"/>
  </r>
  <r>
    <x v="14"/>
    <s v="JOSE ALEJANDRO BRISEÃ‘O ANGELES"/>
    <n v="16"/>
    <n v="36"/>
    <d v="1899-12-31T23:30:00"/>
    <s v="RECEPCIONMX@ORECOBALGON.COM.MX"/>
    <x v="0"/>
    <n v="1081.0482"/>
    <n v="2.5"/>
    <n v="1163.79"/>
    <n v="1.9580666999707901"/>
    <n v="1158.8800000000001"/>
    <s v="AD"/>
    <n v="1"/>
    <n v="1281"/>
    <n v="1108"/>
    <n v="0"/>
    <n v="1108"/>
  </r>
  <r>
    <x v="14"/>
    <s v="JOSE ALEJANDRO BRISEÃ‘O ANGELES"/>
    <n v="16"/>
    <n v="36"/>
    <d v="1899-12-31T23:30:00"/>
    <s v="RECEPCIONMX@ORECOBALGON.COM.MX"/>
    <x v="0"/>
    <n v="1081.0482"/>
    <n v="2.5"/>
    <n v="1163.79"/>
    <n v="1.9580666999707901"/>
    <n v="1158.8800000000001"/>
    <s v="AD"/>
    <n v="1"/>
    <n v="1281"/>
    <n v="1108"/>
    <n v="0"/>
    <n v="1108"/>
  </r>
  <r>
    <x v="14"/>
    <s v="JOSE ALEJANDRO BRISEÃ‘O ANGELES"/>
    <n v="16"/>
    <n v="36"/>
    <d v="1899-12-31T23:30:00"/>
    <s v="RECEPCIONMX@ORECOBALGON.COM.MX"/>
    <x v="0"/>
    <n v="1081.0482"/>
    <n v="2.5"/>
    <n v="1163.79"/>
    <n v="1.9580666999707901"/>
    <n v="1158.8800000000001"/>
    <s v="AD"/>
    <n v="1"/>
    <n v="1281"/>
    <n v="1108"/>
    <n v="0"/>
    <n v="1108"/>
  </r>
  <r>
    <x v="14"/>
    <s v="VICENTE ALBERTO DIAZ ROMERO"/>
    <n v="10"/>
    <n v="36"/>
    <d v="1899-12-31T23:30:00"/>
    <s v="RECEPCIONMX@ORECOBALGON.COM.MX"/>
    <x v="0"/>
    <n v="1081.1559"/>
    <n v="2.5"/>
    <n v="1163.79"/>
    <n v="1.9580666999707901"/>
    <n v="1158.8800000000001"/>
    <s v="AD"/>
    <n v="1"/>
    <n v="1281"/>
    <n v="1108"/>
    <n v="0"/>
    <n v="1108"/>
  </r>
  <r>
    <x v="14"/>
    <s v="VICENTE ALBERTO DIAZ ROMERO"/>
    <n v="10"/>
    <n v="36"/>
    <d v="1899-12-31T23:30:00"/>
    <s v="RECEPCIONMX@ORECOBALGON.COM.MX"/>
    <x v="0"/>
    <n v="1081.1559"/>
    <n v="2.5"/>
    <n v="1163.79"/>
    <n v="1.9580666999707901"/>
    <n v="1158.8800000000001"/>
    <s v="AD"/>
    <n v="1"/>
    <n v="1281"/>
    <n v="1108"/>
    <n v="0"/>
    <n v="1108"/>
  </r>
  <r>
    <x v="14"/>
    <s v="VICENTE ALBERTO DIAZ ROMERO"/>
    <n v="10"/>
    <n v="36"/>
    <d v="1899-12-31T23:30:00"/>
    <s v="RECEPCIONMX@ORECOBALGON.COM.MX"/>
    <x v="0"/>
    <n v="1081.1559"/>
    <n v="2.5"/>
    <n v="1163.79"/>
    <n v="1.9580666999707901"/>
    <n v="1158.8800000000001"/>
    <s v="AD"/>
    <n v="1"/>
    <n v="1281"/>
    <n v="1108"/>
    <n v="0"/>
    <n v="1108"/>
  </r>
  <r>
    <x v="14"/>
    <s v="JOSE MIGUEL DE LA MORA AYALA"/>
    <n v="16"/>
    <n v="36"/>
    <d v="1899-12-31T23:30:00"/>
    <s v="MIGUELMRA1944@GMAIL.COM"/>
    <x v="3"/>
    <n v="1079.0137"/>
    <n v="0"/>
    <n v="1163.79"/>
    <n v="0"/>
    <n v="609.91"/>
    <s v="OD"/>
    <n v="1"/>
    <n v="1252"/>
    <n v="1079"/>
    <n v="0.5"/>
    <n v="539.5"/>
  </r>
  <r>
    <x v="14"/>
    <s v="BRYAN ALEXIS SOTO MEDINA"/>
    <n v="23"/>
    <n v="36"/>
    <d v="1899-12-31T02:00:00"/>
    <s v="LIC.FED.BRYAN@GMAIL.COM"/>
    <x v="0"/>
    <n v="1080.9645"/>
    <n v="2.5"/>
    <n v="1163.79"/>
    <n v="1.9580666999707901"/>
    <n v="1158.8800000000001"/>
    <s v="AD"/>
    <n v="1"/>
    <n v="1281"/>
    <n v="1108"/>
    <n v="0"/>
    <n v="1108"/>
  </r>
  <r>
    <x v="14"/>
    <s v="BRYAN ALEXIS SOTO MEDINA"/>
    <n v="23"/>
    <n v="36"/>
    <d v="1899-12-31T02:00:00"/>
    <s v="LIC.FED.BRYAN@GMAIL.COM"/>
    <x v="0"/>
    <n v="1080.9645"/>
    <n v="2.5"/>
    <n v="1163.79"/>
    <n v="1.9580666999707901"/>
    <n v="1158.8800000000001"/>
    <s v="AD"/>
    <n v="1"/>
    <n v="1281"/>
    <n v="1108"/>
    <n v="0"/>
    <n v="1108"/>
  </r>
  <r>
    <x v="14"/>
    <s v="JORGE ALBERTO SANTIAGO HERRERA"/>
    <n v="22"/>
    <n v="36"/>
    <d v="1899-12-31T02:00:00"/>
    <s v="LIC.FED.BRYAN@GMAIL.COM"/>
    <x v="0"/>
    <n v="1080.9822999999999"/>
    <n v="2.5"/>
    <n v="1163.79"/>
    <n v="1.9580666999707901"/>
    <n v="1158.8800000000001"/>
    <s v="AD"/>
    <n v="1"/>
    <n v="1281"/>
    <n v="1108"/>
    <n v="0"/>
    <n v="1108"/>
  </r>
  <r>
    <x v="14"/>
    <s v="JORGE ALBERTO SANTIAGO HERRERA"/>
    <n v="22"/>
    <n v="36"/>
    <d v="1899-12-31T02:00:00"/>
    <s v="LIC.FED.BRYAN@GMAIL.COM"/>
    <x v="0"/>
    <n v="1080.9822999999999"/>
    <n v="2.5"/>
    <n v="1163.79"/>
    <n v="1.9580666999707901"/>
    <n v="1158.8800000000001"/>
    <s v="AD"/>
    <n v="1"/>
    <n v="1281"/>
    <n v="1108"/>
    <n v="0"/>
    <n v="1108"/>
  </r>
  <r>
    <x v="14"/>
    <s v="DANIEL MELCHOR"/>
    <n v="25"/>
    <n v="36"/>
    <d v="1899-12-31T23:10:00"/>
    <s v="daniel.melchor@ejemplo.com"/>
    <x v="5"/>
    <n v="1080.7705000000001"/>
    <n v="8.5"/>
    <n v="1163.79"/>
    <n v="6.6574267799006801"/>
    <n v="1097.8399999999999"/>
    <s v="AD"/>
    <n v="1"/>
    <n v="1346"/>
    <n v="1173"/>
    <n v="0"/>
    <n v="1173"/>
  </r>
  <r>
    <x v="14"/>
    <s v="CHARLES  DANIEL   HARRUCH  ARBELAEZ"/>
    <n v="2"/>
    <n v="36"/>
    <d v="1899-12-31T23:59:00"/>
    <s v="charles..daniel...harruch..arbelaez@ejemplo.com"/>
    <x v="1"/>
    <n v="1081.3022000000001"/>
    <n v="10"/>
    <n v="1163.79"/>
    <n v="7.8322667998831603"/>
    <n v="609.91"/>
    <s v="NI"/>
    <n v="1"/>
    <n v="1362"/>
    <n v="1189"/>
    <n v="0.5"/>
    <n v="594.5"/>
  </r>
  <r>
    <x v="14"/>
    <s v="LUIS FERNANDO DOMINGUEZ"/>
    <n v="30"/>
    <n v="36"/>
    <d v="1899-12-31T23:30:00"/>
    <s v="luis.fernando.dominguez@ejemplo.com"/>
    <x v="5"/>
    <n v="1080.6802"/>
    <n v="8.5"/>
    <n v="1163.79"/>
    <n v="6.6574267799006801"/>
    <n v="1219.83"/>
    <s v="AD"/>
    <n v="1"/>
    <n v="1345"/>
    <n v="1173"/>
    <n v="0"/>
    <n v="1173"/>
  </r>
  <r>
    <x v="14"/>
    <s v="JESUS GONZALEZ"/>
    <n v="12"/>
    <n v="36"/>
    <d v="1899-12-31T23:10:00"/>
    <s v="jesus.gonzalez@ejemplo.com"/>
    <x v="5"/>
    <n v="1081.1225999999999"/>
    <n v="8.5"/>
    <n v="1163.79"/>
    <n v="6.6574267799006801"/>
    <n v="1219.83"/>
    <s v="AD"/>
    <n v="1"/>
    <n v="1346"/>
    <n v="1173"/>
    <n v="0"/>
    <n v="1173"/>
  </r>
  <r>
    <x v="14"/>
    <s v="SUSANA SANDOVAL VILLEGAS"/>
    <n v="33"/>
    <n v="36"/>
    <d v="1899-12-31T02:00:00"/>
    <s v="ANGELDIAZ060991@GMAIL.COM"/>
    <x v="0"/>
    <n v="1080.8403000000001"/>
    <n v="2.5"/>
    <n v="1163.79"/>
    <n v="1.9580666999707901"/>
    <n v="1158.8800000000001"/>
    <s v="AD"/>
    <n v="1"/>
    <n v="1281"/>
    <n v="1108"/>
    <n v="0"/>
    <n v="1108"/>
  </r>
  <r>
    <x v="14"/>
    <s v="EZEQUIEL FERNANDO CASTRO JIMÃ‰NEZ"/>
    <n v="36"/>
    <n v="36"/>
    <d v="1899-12-31T23:59:00"/>
    <s v="CSZORLA8@GMAIL.COM"/>
    <x v="3"/>
    <n v="1080.5648000000001"/>
    <n v="0"/>
    <n v="1163.79"/>
    <n v="0"/>
    <n v="1158.8800000000001"/>
    <s v="AD"/>
    <n v="1"/>
    <n v="1253"/>
    <n v="1081"/>
    <n v="0"/>
    <n v="1081"/>
  </r>
  <r>
    <x v="14"/>
    <s v="EDGAR IVÃN CRUZ CRUZ"/>
    <n v="14"/>
    <n v="36"/>
    <d v="1899-12-31T06:00:00"/>
    <s v="RAULCM71@GMAIL.COM"/>
    <x v="2"/>
    <n v="1081.3126"/>
    <n v="7"/>
    <n v="1163.79"/>
    <n v="5.4825867599182097"/>
    <n v="1158.8800000000001"/>
    <s v="AD"/>
    <n v="1"/>
    <n v="1330"/>
    <n v="1157"/>
    <n v="0"/>
    <n v="1157"/>
  </r>
  <r>
    <x v="14"/>
    <s v="EDGAR IVÃN CRUZ CRUZ"/>
    <n v="14"/>
    <n v="36"/>
    <d v="1899-12-31T06:00:00"/>
    <s v="RAULCM71@GMAIL.COM"/>
    <x v="2"/>
    <n v="1081.3126"/>
    <n v="7"/>
    <n v="1163.79"/>
    <n v="5.4825867599182097"/>
    <n v="1158.8800000000001"/>
    <s v="AD"/>
    <n v="1"/>
    <n v="1330"/>
    <n v="1157"/>
    <n v="0"/>
    <n v="1157"/>
  </r>
  <r>
    <x v="14"/>
    <s v="RAÃšL CRUZ MÃ‰NDEZ"/>
    <n v="15"/>
    <n v="36"/>
    <d v="1899-12-31T06:00:00"/>
    <s v="RAULCM71@GMAIL.COM"/>
    <x v="2"/>
    <n v="1081.2945999999999"/>
    <n v="7"/>
    <n v="1163.79"/>
    <n v="5.4825867599182097"/>
    <n v="1158.8800000000001"/>
    <s v="AD"/>
    <n v="1"/>
    <n v="1330"/>
    <n v="1157"/>
    <n v="0"/>
    <n v="1157"/>
  </r>
  <r>
    <x v="14"/>
    <s v="RAÃšL CRUZ MÃ‰NDEZ"/>
    <n v="15"/>
    <n v="36"/>
    <d v="1899-12-31T06:00:00"/>
    <s v="RAULCM71@GMAIL.COM"/>
    <x v="2"/>
    <n v="1081.2945999999999"/>
    <n v="7"/>
    <n v="1163.79"/>
    <n v="5.4825867599182097"/>
    <n v="1158.8800000000001"/>
    <s v="AD"/>
    <n v="1"/>
    <n v="1330"/>
    <n v="1157"/>
    <n v="0"/>
    <n v="1157"/>
  </r>
  <r>
    <x v="14"/>
    <s v="MACBANAI IPIÃ‘A"/>
    <n v="28"/>
    <n v="36"/>
    <d v="1899-12-31T23:10:00"/>
    <s v="macbanai.ipiÃ±a@ejemplo.com"/>
    <x v="5"/>
    <n v="1080.7085999999999"/>
    <n v="8.5"/>
    <n v="1163.79"/>
    <n v="6.6574267799006801"/>
    <n v="1219.83"/>
    <s v="AD"/>
    <n v="1"/>
    <n v="1345"/>
    <n v="1173"/>
    <n v="0"/>
    <n v="1173"/>
  </r>
  <r>
    <x v="14"/>
    <s v="ELIZAMA PEREZ"/>
    <n v="29"/>
    <n v="36"/>
    <d v="1899-12-31T23:10:00"/>
    <s v="elizama.perez@ejemplo.com"/>
    <x v="5"/>
    <n v="1080.6905999999999"/>
    <n v="8.5"/>
    <n v="1163.79"/>
    <n v="6.6574267799006801"/>
    <n v="1219.83"/>
    <s v="AD"/>
    <n v="1"/>
    <n v="1345"/>
    <n v="1173"/>
    <n v="0"/>
    <n v="1173"/>
  </r>
  <r>
    <x v="14"/>
    <s v="RENE SILVA SANCHEZ"/>
    <n v="13"/>
    <n v="36"/>
    <d v="1899-12-31T11:00:00"/>
    <s v="DAVID.QUINTERO@DISPAC.MX"/>
    <x v="0"/>
    <n v="1081.3280999999999"/>
    <n v="2.5"/>
    <n v="1163.79"/>
    <n v="1.9580666999707901"/>
    <n v="1158.8800000000001"/>
    <s v="AD"/>
    <n v="1"/>
    <n v="1281"/>
    <n v="1108"/>
    <n v="0"/>
    <n v="1108"/>
  </r>
  <r>
    <x v="14"/>
    <s v="GUADALUPE CRUZ SANCHEZ"/>
    <n v="33"/>
    <n v="36"/>
    <d v="1899-12-31T23:10:00"/>
    <s v="guadalupe.cruz.sanchez@ejemplo.com"/>
    <x v="2"/>
    <n v="1080.4727"/>
    <n v="7"/>
    <n v="1163.79"/>
    <n v="5.4825867599182097"/>
    <n v="1097.8399999999999"/>
    <s v="AD"/>
    <n v="1"/>
    <n v="1329"/>
    <n v="1156"/>
    <n v="0"/>
    <n v="1156"/>
  </r>
  <r>
    <x v="14"/>
    <s v="MARLON ZERON BOLIVAR"/>
    <n v="34"/>
    <n v="36"/>
    <d v="1899-12-31T23:10:00"/>
    <s v="marlon.zeron.bolivar@ejemplo.com"/>
    <x v="2"/>
    <n v="1080.4278999999999"/>
    <n v="7"/>
    <n v="1163.79"/>
    <n v="5.4825867599182097"/>
    <n v="1097.8399999999999"/>
    <s v="AD"/>
    <n v="1"/>
    <n v="1329"/>
    <n v="1156"/>
    <n v="0"/>
    <n v="1156"/>
  </r>
  <r>
    <x v="14"/>
    <s v="CANDELARIO OLVERA"/>
    <n v="27"/>
    <n v="36"/>
    <d v="1899-12-31T23:30:00"/>
    <s v="candelario.olvera@ejemplo.com"/>
    <x v="5"/>
    <n v="1080.7338"/>
    <n v="8.5"/>
    <n v="1163.79"/>
    <n v="6.6574267799006801"/>
    <n v="1219.83"/>
    <s v="AD"/>
    <n v="1"/>
    <n v="1346"/>
    <n v="1173"/>
    <n v="0"/>
    <n v="1173"/>
  </r>
  <r>
    <x v="14"/>
    <s v="ALEJANDRA VANESSA CARRILLO GONZALEZ"/>
    <n v="20"/>
    <n v="36"/>
    <d v="1899-12-31T23:59:00"/>
    <s v="ALEVANE_020995@OUTLOOK.COM"/>
    <x v="3"/>
    <n v="1080.9839999999999"/>
    <n v="0"/>
    <n v="1163.79"/>
    <n v="0"/>
    <n v="1158.8800000000001"/>
    <s v="AD"/>
    <n v="1"/>
    <n v="1254"/>
    <n v="1081"/>
    <n v="0"/>
    <n v="1081"/>
  </r>
  <r>
    <x v="14"/>
    <s v="FILEMON AVILA MAGAÃ‘A"/>
    <n v="32"/>
    <n v="36"/>
    <d v="1899-12-31T23:59:00"/>
    <s v="filemon.avila.magaÃ±a@ejemplo.com"/>
    <x v="1"/>
    <n v="1080.6437000000001"/>
    <n v="10"/>
    <n v="1163.79"/>
    <n v="7.8322667998831603"/>
    <n v="609.91"/>
    <s v="NI"/>
    <n v="1"/>
    <n v="1362"/>
    <n v="1189"/>
    <n v="0.5"/>
    <n v="594.5"/>
  </r>
  <r>
    <x v="14"/>
    <s v="EDGAR SOTO"/>
    <n v="22"/>
    <n v="36"/>
    <d v="1899-12-31T23:59:00"/>
    <s v="edgar.soto@ejemplo.com"/>
    <x v="5"/>
    <n v="1080.8235999999999"/>
    <n v="8.5"/>
    <n v="1163.79"/>
    <n v="6.6574267799006801"/>
    <n v="1219.83"/>
    <s v="AD"/>
    <n v="1"/>
    <n v="1346"/>
    <n v="1173"/>
    <n v="0"/>
    <n v="1173"/>
  </r>
  <r>
    <x v="14"/>
    <s v="JUAN FANUEL MARTINEZ TOVAR"/>
    <n v="35"/>
    <n v="36"/>
    <d v="1899-12-31T02:00:00"/>
    <s v="JUFAMTZTOVAR@GMAIL.COM"/>
    <x v="0"/>
    <n v="1080.8036999999999"/>
    <n v="2.5"/>
    <n v="1163.79"/>
    <n v="1.9580666999707901"/>
    <n v="1158.8800000000001"/>
    <s v="AD"/>
    <n v="1"/>
    <n v="1281"/>
    <n v="1108"/>
    <n v="0"/>
    <n v="1108"/>
  </r>
  <r>
    <x v="14"/>
    <s v="JOSE CALVILLO"/>
    <n v="8"/>
    <n v="36"/>
    <d v="1899-12-31T23:30:00"/>
    <s v="ETNPASES@GMAIL.COM"/>
    <x v="2"/>
    <n v="1079.1558"/>
    <n v="7"/>
    <n v="1163.79"/>
    <n v="5.4825867599182097"/>
    <n v="1219.83"/>
    <s v="AD"/>
    <n v="1"/>
    <n v="1327"/>
    <n v="1155"/>
    <n v="0"/>
    <n v="1155"/>
  </r>
  <r>
    <x v="14"/>
    <s v="MARIA MAGDALENA SANDOVAL"/>
    <n v="9"/>
    <n v="36"/>
    <d v="1899-12-31T23:30:00"/>
    <s v="ETNPASES@GMAIL.COM"/>
    <x v="2"/>
    <n v="1079.1377"/>
    <n v="7"/>
    <n v="1163.79"/>
    <n v="5.4825867599182097"/>
    <n v="1219.83"/>
    <s v="AD"/>
    <n v="1"/>
    <n v="1327"/>
    <n v="1155"/>
    <n v="0"/>
    <n v="1155"/>
  </r>
  <r>
    <x v="14"/>
    <s v="ANA KARINA ULLOA VERDIN"/>
    <n v="11"/>
    <n v="36"/>
    <d v="1899-12-31T23:59:00"/>
    <s v="KARIULLOA@GMAIL.COM"/>
    <x v="3"/>
    <n v="1081.1400000000001"/>
    <n v="0"/>
    <n v="1163.79"/>
    <n v="0"/>
    <n v="1158.8800000000001"/>
    <s v="AD"/>
    <n v="1"/>
    <n v="1254"/>
    <n v="1081"/>
    <n v="0"/>
    <n v="1081"/>
  </r>
  <r>
    <x v="14"/>
    <s v="ANA KARINA ULLOA VERDIN"/>
    <n v="11"/>
    <n v="36"/>
    <d v="1899-12-31T23:59:00"/>
    <s v="KARIULLOA@GMAIL.COM"/>
    <x v="3"/>
    <n v="1081.1400000000001"/>
    <n v="0"/>
    <n v="1163.79"/>
    <n v="0"/>
    <n v="1158.8800000000001"/>
    <s v="AD"/>
    <n v="1"/>
    <n v="1254"/>
    <n v="1081"/>
    <n v="0"/>
    <n v="1081"/>
  </r>
  <r>
    <x v="14"/>
    <s v="ANA KARINA ULLOA VERDIN"/>
    <n v="11"/>
    <n v="36"/>
    <d v="1899-12-31T23:59:00"/>
    <s v="KARIULLOA@GMAIL.COM"/>
    <x v="3"/>
    <n v="1081.1400000000001"/>
    <n v="0"/>
    <n v="1163.79"/>
    <n v="0"/>
    <n v="1158.8800000000001"/>
    <s v="AD"/>
    <n v="1"/>
    <n v="1254"/>
    <n v="1081"/>
    <n v="0"/>
    <n v="1081"/>
  </r>
  <r>
    <x v="14"/>
    <s v="OSCAR LEONARDO CARDENAS ULLOA"/>
    <n v="12"/>
    <n v="36"/>
    <d v="1899-12-31T23:59:00"/>
    <s v="KARIULLOA@GMAIL.COM"/>
    <x v="3"/>
    <n v="1081.1220000000001"/>
    <n v="0"/>
    <n v="1163.79"/>
    <n v="0"/>
    <n v="1158.8800000000001"/>
    <s v="AD"/>
    <n v="1"/>
    <n v="1254"/>
    <n v="1081"/>
    <n v="0"/>
    <n v="1081"/>
  </r>
  <r>
    <x v="14"/>
    <s v="OSCAR LEONARDO CARDENAS ULLOA"/>
    <n v="12"/>
    <n v="36"/>
    <d v="1899-12-31T23:59:00"/>
    <s v="KARIULLOA@GMAIL.COM"/>
    <x v="3"/>
    <n v="1081.1220000000001"/>
    <n v="0"/>
    <n v="1163.79"/>
    <n v="0"/>
    <n v="1158.8800000000001"/>
    <s v="AD"/>
    <n v="1"/>
    <n v="1254"/>
    <n v="1081"/>
    <n v="0"/>
    <n v="1081"/>
  </r>
  <r>
    <x v="14"/>
    <s v="OSCAR LEONARDO CARDENAS ULLOA"/>
    <n v="12"/>
    <n v="36"/>
    <d v="1899-12-31T23:59:00"/>
    <s v="KARIULLOA@GMAIL.COM"/>
    <x v="3"/>
    <n v="1081.1220000000001"/>
    <n v="0"/>
    <n v="1163.79"/>
    <n v="0"/>
    <n v="1158.8800000000001"/>
    <s v="AD"/>
    <n v="1"/>
    <n v="1254"/>
    <n v="1081"/>
    <n v="0"/>
    <n v="1081"/>
  </r>
  <r>
    <x v="14"/>
    <s v="SARA ELIZABETH CARDENAS ULLOA"/>
    <n v="5"/>
    <n v="36"/>
    <d v="1899-12-31T23:59:00"/>
    <s v="KARIULLOA@GMAIL.COM"/>
    <x v="3"/>
    <n v="1081.2478000000001"/>
    <n v="0"/>
    <n v="1163.79"/>
    <n v="0"/>
    <n v="1158.8800000000001"/>
    <s v="AD"/>
    <n v="1"/>
    <n v="1254"/>
    <n v="1081"/>
    <n v="0"/>
    <n v="1081"/>
  </r>
  <r>
    <x v="14"/>
    <s v="SARA ELIZABETH CARDENAS ULLOA"/>
    <n v="5"/>
    <n v="36"/>
    <d v="1899-12-31T23:59:00"/>
    <s v="KARIULLOA@GMAIL.COM"/>
    <x v="3"/>
    <n v="1081.2478000000001"/>
    <n v="0"/>
    <n v="1163.79"/>
    <n v="0"/>
    <n v="1158.8800000000001"/>
    <s v="AD"/>
    <n v="1"/>
    <n v="1254"/>
    <n v="1081"/>
    <n v="0"/>
    <n v="1081"/>
  </r>
  <r>
    <x v="14"/>
    <s v="SARA ELIZABETH CARDENAS ULLOA"/>
    <n v="5"/>
    <n v="36"/>
    <d v="1899-12-31T23:59:00"/>
    <s v="KARIULLOA@GMAIL.COM"/>
    <x v="3"/>
    <n v="1081.2478000000001"/>
    <n v="0"/>
    <n v="1163.79"/>
    <n v="0"/>
    <n v="1158.8800000000001"/>
    <s v="AD"/>
    <n v="1"/>
    <n v="1254"/>
    <n v="1081"/>
    <n v="0"/>
    <n v="1081"/>
  </r>
  <r>
    <x v="14"/>
    <s v="PABLO ALDAMA REYNALDO"/>
    <n v="28"/>
    <n v="36"/>
    <d v="1899-12-31T23:59:00"/>
    <s v="pablo.aldama.reynaldo@ejemplo.com"/>
    <x v="5"/>
    <n v="1080.7155"/>
    <n v="8.5"/>
    <n v="1163.79"/>
    <n v="6.6574267799006801"/>
    <n v="1219.83"/>
    <s v="AD"/>
    <n v="1"/>
    <n v="1345"/>
    <n v="1173"/>
    <n v="0"/>
    <n v="1173"/>
  </r>
  <r>
    <x v="14"/>
    <s v="IRVIN YAEL CRUZ CASTILLO"/>
    <n v="33"/>
    <n v="36"/>
    <d v="1899-12-31T23:59:00"/>
    <s v="irvin.yael.cruz.castillo@ejemplo.com"/>
    <x v="5"/>
    <n v="1080.6256000000001"/>
    <n v="8.5"/>
    <n v="1163.79"/>
    <n v="6.6574267799006801"/>
    <n v="1219.83"/>
    <s v="AD"/>
    <n v="1"/>
    <n v="1345"/>
    <n v="1172"/>
    <n v="0"/>
    <n v="1172"/>
  </r>
  <r>
    <x v="14"/>
    <s v="YESSICA ITZEL CONTRERAS QUINTANILLA"/>
    <n v="34"/>
    <n v="36"/>
    <d v="1899-12-31T23:59:00"/>
    <s v="yessica.itzel.contreras.quintanilla@ejemplo.com"/>
    <x v="5"/>
    <n v="1080.6078"/>
    <n v="8.5"/>
    <n v="1163.79"/>
    <n v="6.6574267799006801"/>
    <n v="1219.83"/>
    <s v="AD"/>
    <n v="1"/>
    <n v="1345"/>
    <n v="1172"/>
    <n v="0"/>
    <n v="1172"/>
  </r>
  <r>
    <x v="14"/>
    <s v="GLORIA GUZMAN SORIA"/>
    <n v="35"/>
    <n v="36"/>
    <d v="1899-12-31T11:00:00"/>
    <s v="SALVA_ALEX@MSN.COM"/>
    <x v="4"/>
    <n v="1080.8893"/>
    <n v="5"/>
    <n v="1163.79"/>
    <n v="3.9161333999415802"/>
    <n v="609.91"/>
    <s v="IN"/>
    <n v="1"/>
    <n v="1308"/>
    <n v="1135"/>
    <n v="0.5"/>
    <n v="567.5"/>
  </r>
  <r>
    <x v="14"/>
    <s v="MAURO   PAVON  MARTINEZ"/>
    <n v="19"/>
    <n v="36"/>
    <d v="1899-12-31T23:59:00"/>
    <s v="mauro...pavon..martinez@ejemplo.com"/>
    <x v="1"/>
    <n v="1080.9957999999999"/>
    <n v="10"/>
    <n v="1163.79"/>
    <n v="7.8322667998831603"/>
    <n v="609.91"/>
    <s v="NI"/>
    <n v="1"/>
    <n v="1362"/>
    <n v="1189"/>
    <n v="0.5"/>
    <n v="594.5"/>
  </r>
  <r>
    <x v="15"/>
    <s v="SOFIA   NERI   LOPEZ"/>
    <n v="14"/>
    <n v="36"/>
    <d v="1899-12-31T02:00:00"/>
    <s v="sofia...neri...lopez@ejemplo.com"/>
    <x v="1"/>
    <n v="1081.2439999999999"/>
    <n v="10"/>
    <n v="1163.79"/>
    <n v="7.8322667998831603"/>
    <n v="609.91"/>
    <s v="NI"/>
    <n v="1"/>
    <n v="1362"/>
    <n v="1189"/>
    <n v="0.5"/>
    <n v="594.5"/>
  </r>
  <r>
    <x v="15"/>
    <s v="MARIA DEL CARMEN LOPEZ"/>
    <n v="15"/>
    <n v="36"/>
    <d v="1899-12-31T02:00:00"/>
    <s v="maria.del.carmen.lopez@ejemplo.com"/>
    <x v="2"/>
    <n v="1081.2257999999999"/>
    <n v="7"/>
    <n v="1163.79"/>
    <n v="5.4825867599182097"/>
    <n v="1219.83"/>
    <s v="AD"/>
    <n v="1"/>
    <n v="1330"/>
    <n v="1157"/>
    <n v="0"/>
    <n v="1157"/>
  </r>
  <r>
    <x v="15"/>
    <s v="GERARDO NERI   CRUZ"/>
    <n v="12"/>
    <n v="36"/>
    <d v="1899-12-31T02:00:00"/>
    <s v="gerardo.neri...cruz@ejemplo.com"/>
    <x v="2"/>
    <n v="1081.2799"/>
    <n v="7"/>
    <n v="1163.79"/>
    <n v="5.4825867599182097"/>
    <n v="1219.83"/>
    <s v="AD"/>
    <n v="1"/>
    <n v="1330"/>
    <n v="1157"/>
    <n v="0"/>
    <n v="1157"/>
  </r>
  <r>
    <x v="15"/>
    <s v="JULIAN   PADRON   HERNANDEZ"/>
    <n v="25"/>
    <n v="36"/>
    <d v="1899-12-31T02:00:00"/>
    <s v="julian...padron...hernandez@ejemplo.com"/>
    <x v="2"/>
    <n v="1080.9148"/>
    <n v="7"/>
    <n v="1163.79"/>
    <n v="5.4825867599182097"/>
    <n v="1219.83"/>
    <s v="AD"/>
    <n v="1"/>
    <n v="1330"/>
    <n v="1157"/>
    <n v="0"/>
    <n v="1157"/>
  </r>
  <r>
    <x v="15"/>
    <s v="ROMAN HUERTA"/>
    <n v="2"/>
    <n v="36"/>
    <d v="1899-12-31T02:00:00"/>
    <s v="roman.huerta@ejemplo.com"/>
    <x v="5"/>
    <n v="1081.4598000000001"/>
    <n v="8.5"/>
    <n v="1163.79"/>
    <n v="6.6574267799006801"/>
    <n v="1219.83"/>
    <s v="AD"/>
    <n v="1"/>
    <n v="1346"/>
    <n v="1173"/>
    <n v="0"/>
    <n v="1173"/>
  </r>
  <r>
    <x v="15"/>
    <s v="DIEGO MARTIN"/>
    <n v="11"/>
    <n v="36"/>
    <d v="1899-12-31T02:00:00"/>
    <s v="diego.martin@ejemplo.com"/>
    <x v="2"/>
    <n v="1081.2977000000001"/>
    <n v="7"/>
    <n v="1163.79"/>
    <n v="5.4825867599182097"/>
    <n v="1219.83"/>
    <s v="AD"/>
    <n v="1"/>
    <n v="1330"/>
    <n v="1157"/>
    <n v="0"/>
    <n v="1157"/>
  </r>
  <r>
    <x v="15"/>
    <s v="MARTHA ELBA PRIGADAA GUEVARA"/>
    <n v="20"/>
    <n v="36"/>
    <d v="1899-12-31T02:00:00"/>
    <s v="martha.elba.prigadaa.guevara@ejemplo.com"/>
    <x v="2"/>
    <n v="1080.4392"/>
    <n v="7"/>
    <n v="1163.79"/>
    <n v="5.4825867599182097"/>
    <n v="1219.83"/>
    <s v="AD"/>
    <n v="1"/>
    <n v="1329"/>
    <n v="1156"/>
    <n v="0"/>
    <n v="1156"/>
  </r>
  <r>
    <x v="15"/>
    <s v="NORBERTA  CASTILLO  HERNANDEZ"/>
    <n v="7"/>
    <n v="36"/>
    <d v="1899-12-31T06:00:00"/>
    <s v="norberta..castillo..hernandez@ejemplo.com"/>
    <x v="1"/>
    <n v="1081.3668"/>
    <n v="10"/>
    <n v="1163.79"/>
    <n v="7.8322667998831603"/>
    <n v="609.91"/>
    <s v="NI"/>
    <n v="1"/>
    <n v="1363"/>
    <n v="1190"/>
    <n v="0.5"/>
    <n v="595"/>
  </r>
  <r>
    <x v="15"/>
    <s v="IGNACIO DAVID VAZQUEZ PEREZ"/>
    <n v="10"/>
    <n v="36"/>
    <d v="1899-12-31T02:00:00"/>
    <s v="IGNACIODAVIDVAZQUEZPEREZ@GMAIL.COM"/>
    <x v="0"/>
    <n v="1081.3281999999999"/>
    <n v="2.5"/>
    <n v="1163.79"/>
    <n v="1.9580666999707901"/>
    <n v="1158.8800000000001"/>
    <s v="AD"/>
    <n v="1"/>
    <n v="1281"/>
    <n v="1108"/>
    <n v="0"/>
    <n v="1108"/>
  </r>
  <r>
    <x v="15"/>
    <s v="JAVIER FERNANDO DE LA ROSA ZARCO"/>
    <n v="4"/>
    <n v="36"/>
    <d v="1899-12-31T11:00:00"/>
    <s v="FERNANDOGALLODELA@GMAIL.COM"/>
    <x v="0"/>
    <n v="1081.3557000000001"/>
    <n v="2.5"/>
    <n v="1163.79"/>
    <n v="1.9580666999707901"/>
    <n v="1158.8800000000001"/>
    <s v="AD"/>
    <n v="1"/>
    <n v="1281"/>
    <n v="1108"/>
    <n v="0"/>
    <n v="1108"/>
  </r>
  <r>
    <x v="15"/>
    <s v="ALMA ROSA CERVANTES DIAZ"/>
    <n v="18"/>
    <n v="36"/>
    <d v="1899-12-31T23:59:00"/>
    <s v="alma.rosa.cervantes.diaz@ejemplo.com"/>
    <x v="3"/>
    <n v="1080.9531999999999"/>
    <n v="0"/>
    <n v="1163.79"/>
    <n v="0"/>
    <n v="1158.8800000000001"/>
    <s v="AD"/>
    <n v="1"/>
    <n v="1254"/>
    <n v="1081"/>
    <n v="0"/>
    <n v="1081"/>
  </r>
  <r>
    <x v="15"/>
    <s v="MARIA ESTHER CASTILLO PATIÃ‘O"/>
    <n v="19"/>
    <n v="36"/>
    <d v="1899-12-31T06:00:00"/>
    <s v="EC7750066@GMAIL.COM"/>
    <x v="1"/>
    <n v="1079.1196"/>
    <n v="10"/>
    <n v="1163.79"/>
    <n v="7.8322667998831603"/>
    <n v="609.91"/>
    <s v="OD"/>
    <n v="1"/>
    <n v="1360"/>
    <n v="1187"/>
    <n v="0.5"/>
    <n v="593.5"/>
  </r>
  <r>
    <x v="15"/>
    <s v="MARIA ESTHER CASTILLO PATIÃ‘O"/>
    <n v="19"/>
    <n v="36"/>
    <d v="1899-12-31T06:00:00"/>
    <s v="EC7750066@GMAIL.COM"/>
    <x v="1"/>
    <n v="1079.1196"/>
    <n v="10"/>
    <n v="1163.79"/>
    <n v="7.8322667998831603"/>
    <n v="609.91"/>
    <s v="OD"/>
    <n v="1"/>
    <n v="1360"/>
    <n v="1187"/>
    <n v="0.5"/>
    <n v="593.5"/>
  </r>
  <r>
    <x v="15"/>
    <s v="JUAN CARLOS HERNANDEZ"/>
    <n v="20"/>
    <n v="36"/>
    <d v="1899-12-31T06:00:00"/>
    <s v="EC7750066@GMAIL.COM"/>
    <x v="1"/>
    <n v="1079.1017999999999"/>
    <n v="10"/>
    <n v="1163.79"/>
    <n v="7.8322667998831603"/>
    <n v="609.91"/>
    <s v="OD"/>
    <n v="1"/>
    <n v="1360"/>
    <n v="1187"/>
    <n v="0.5"/>
    <n v="593.5"/>
  </r>
  <r>
    <x v="15"/>
    <s v="JUAN CARLOS HERNANDEZ"/>
    <n v="20"/>
    <n v="36"/>
    <d v="1899-12-31T06:00:00"/>
    <s v="EC7750066@GMAIL.COM"/>
    <x v="1"/>
    <n v="1079.1017999999999"/>
    <n v="10"/>
    <n v="1163.79"/>
    <n v="7.8322667998831603"/>
    <n v="609.91"/>
    <s v="OD"/>
    <n v="1"/>
    <n v="1360"/>
    <n v="1187"/>
    <n v="0.5"/>
    <n v="593.5"/>
  </r>
  <r>
    <x v="15"/>
    <s v="ADALBERTO BARBA"/>
    <n v="1"/>
    <n v="36"/>
    <d v="1899-12-31T23:59:00"/>
    <s v="adalberto.barba@ejemplo.com"/>
    <x v="4"/>
    <n v="1081.4606000000001"/>
    <n v="5"/>
    <n v="1163.79"/>
    <n v="3.9161333999415802"/>
    <n v="609.91"/>
    <s v="IN"/>
    <n v="1"/>
    <n v="1309"/>
    <n v="1136"/>
    <n v="0.5"/>
    <n v="568"/>
  </r>
  <r>
    <x v="15"/>
    <s v="FERNANDA YUKINA ENRIQUEZ RODRIGUEZ"/>
    <n v="13"/>
    <n v="36"/>
    <d v="1899-12-31T06:00:00"/>
    <s v="fernanda.yukina.enriquez.rodriguez@ejemplo.com"/>
    <x v="5"/>
    <n v="1081.2560000000001"/>
    <n v="8.5"/>
    <n v="1163.79"/>
    <n v="6.6574267799006801"/>
    <n v="1219.83"/>
    <s v="AD"/>
    <n v="1"/>
    <n v="1346"/>
    <n v="1173"/>
    <n v="0"/>
    <n v="1173"/>
  </r>
  <r>
    <x v="15"/>
    <s v="LUIS NIÃ‘O"/>
    <n v="30"/>
    <n v="36"/>
    <d v="1899-12-31T11:00:00"/>
    <s v="luis.niÃ±o@ejemplo.com"/>
    <x v="5"/>
    <n v="1080.8289"/>
    <n v="8.5"/>
    <n v="1163.79"/>
    <n v="6.6574267799006801"/>
    <n v="1219.83"/>
    <s v="AD"/>
    <n v="1"/>
    <n v="1346"/>
    <n v="1173"/>
    <n v="0"/>
    <n v="1173"/>
  </r>
  <r>
    <x v="15"/>
    <s v="JUDITH ARELLANO"/>
    <n v="31"/>
    <n v="36"/>
    <d v="1899-12-31T11:00:00"/>
    <s v="judith.arellano@ejemplo.com"/>
    <x v="5"/>
    <n v="1080.8108"/>
    <n v="8.5"/>
    <n v="1163.79"/>
    <n v="6.6574267799006801"/>
    <n v="1219.83"/>
    <s v="AD"/>
    <n v="1"/>
    <n v="1346"/>
    <n v="1173"/>
    <n v="0"/>
    <n v="1173"/>
  </r>
  <r>
    <x v="15"/>
    <s v="MABEL AVALOS"/>
    <n v="32"/>
    <n v="36"/>
    <d v="1899-12-31T11:00:00"/>
    <s v="mabel.avalos@ejemplo.com"/>
    <x v="5"/>
    <n v="1080.7926"/>
    <n v="8.5"/>
    <n v="1163.79"/>
    <n v="6.6574267799006801"/>
    <n v="1219.83"/>
    <s v="AD"/>
    <n v="1"/>
    <n v="1346"/>
    <n v="1173"/>
    <n v="0"/>
    <n v="1173"/>
  </r>
  <r>
    <x v="15"/>
    <s v="CALEB GUTIERRZ"/>
    <n v="33"/>
    <n v="36"/>
    <d v="1899-12-31T11:00:00"/>
    <s v="caleb.gutierrz@ejemplo.com"/>
    <x v="5"/>
    <n v="1080.7748999999999"/>
    <n v="8.5"/>
    <n v="1163.79"/>
    <n v="6.6574267799006801"/>
    <n v="1219.83"/>
    <s v="AD"/>
    <n v="1"/>
    <n v="1346"/>
    <n v="1173"/>
    <n v="0"/>
    <n v="1173"/>
  </r>
  <r>
    <x v="15"/>
    <s v="JUDITH NIÃ‘O"/>
    <n v="34"/>
    <n v="36"/>
    <d v="1899-12-31T11:00:00"/>
    <s v="judith.niÃ±o@ejemplo.com"/>
    <x v="5"/>
    <n v="1080.7568000000001"/>
    <n v="8.5"/>
    <n v="1163.79"/>
    <n v="6.6574267799006801"/>
    <n v="1219.83"/>
    <s v="AD"/>
    <n v="1"/>
    <n v="1346"/>
    <n v="1173"/>
    <n v="0"/>
    <n v="1173"/>
  </r>
  <r>
    <x v="15"/>
    <s v="OFELIA ARELLANO"/>
    <n v="35"/>
    <n v="36"/>
    <d v="1899-12-31T11:00:00"/>
    <s v="ofelia.arellano@ejemplo.com"/>
    <x v="5"/>
    <n v="1080.7388000000001"/>
    <n v="8.5"/>
    <n v="1163.79"/>
    <n v="6.6574267799006801"/>
    <n v="1219.83"/>
    <s v="AD"/>
    <n v="1"/>
    <n v="1346"/>
    <n v="1173"/>
    <n v="0"/>
    <n v="1173"/>
  </r>
  <r>
    <x v="15"/>
    <s v="JOCELYNE ADRIANA RAMIREZ FRANCO"/>
    <n v="18"/>
    <n v="36"/>
    <d v="1899-12-31T11:00:00"/>
    <s v="jocelyne.adriana.ramirez.franco@ejemplo.com"/>
    <x v="2"/>
    <n v="1081.2185999999999"/>
    <n v="7"/>
    <n v="1163.79"/>
    <n v="5.4825867599182097"/>
    <n v="1202.5899999999999"/>
    <s v="AD"/>
    <n v="1"/>
    <n v="1330"/>
    <n v="1157"/>
    <n v="0"/>
    <n v="1157"/>
  </r>
  <r>
    <x v="15"/>
    <s v="PABLO VAZQUEZ RAMIREZ"/>
    <n v="30"/>
    <n v="36"/>
    <d v="1899-12-31T02:00:00"/>
    <s v="pablo.vazquez.ramirez@ejemplo.com"/>
    <x v="4"/>
    <n v="1081.0355999999999"/>
    <n v="5"/>
    <n v="1163.79"/>
    <n v="3.9161333999415802"/>
    <n v="601.29"/>
    <s v="IN"/>
    <n v="1"/>
    <n v="1308"/>
    <n v="1135"/>
    <n v="0.5"/>
    <n v="567.5"/>
  </r>
  <r>
    <x v="15"/>
    <s v="LUZ MARIA GUILLEN PULIDO"/>
    <n v="31"/>
    <n v="36"/>
    <d v="1899-12-31T02:00:00"/>
    <s v="luz.maria.guillen.pulido@ejemplo.com"/>
    <x v="1"/>
    <n v="1081.0177000000001"/>
    <n v="10"/>
    <n v="1163.79"/>
    <n v="7.8322667998831603"/>
    <n v="609.91"/>
    <s v="NI"/>
    <n v="1"/>
    <n v="1362"/>
    <n v="1189"/>
    <n v="0.5"/>
    <n v="594.5"/>
  </r>
  <r>
    <x v="15"/>
    <s v="ADALFREDO AGUILERA MEZA"/>
    <n v="33"/>
    <n v="36"/>
    <d v="1899-12-31T02:00:00"/>
    <s v="adalfredo.aguilera.meza@ejemplo.com"/>
    <x v="1"/>
    <n v="1080.9817"/>
    <n v="10"/>
    <n v="1163.79"/>
    <n v="7.8322667998831603"/>
    <n v="609.91"/>
    <s v="NI"/>
    <n v="1"/>
    <n v="1362"/>
    <n v="1189"/>
    <n v="0.5"/>
    <n v="594.5"/>
  </r>
  <r>
    <x v="15"/>
    <s v="MARIA ISABEL CARRAMAN OSECEGUEDA"/>
    <n v="34"/>
    <n v="36"/>
    <d v="1899-12-31T02:00:00"/>
    <s v="maria.isabel.carraman.osecegueda@ejemplo.com"/>
    <x v="1"/>
    <n v="1080.9639"/>
    <n v="10"/>
    <n v="1163.79"/>
    <n v="7.8322667998831603"/>
    <n v="601.29"/>
    <s v="NI"/>
    <n v="1"/>
    <n v="1362"/>
    <n v="1189"/>
    <n v="0.5"/>
    <n v="594.5"/>
  </r>
  <r>
    <x v="15"/>
    <s v="ANDRES DAVILA SERNA"/>
    <n v="9"/>
    <n v="36"/>
    <d v="1899-12-31T11:00:00"/>
    <s v="ADAVILAS74@HOTMAIL.COM"/>
    <x v="2"/>
    <n v="1081.482"/>
    <n v="7"/>
    <n v="1163.79"/>
    <n v="5.4825867599182097"/>
    <n v="1158.8800000000001"/>
    <s v="AD"/>
    <n v="1"/>
    <n v="1330"/>
    <n v="1157"/>
    <n v="0"/>
    <n v="1157"/>
  </r>
  <r>
    <x v="15"/>
    <s v="ANDRES DAVILA SERNA"/>
    <n v="9"/>
    <n v="36"/>
    <d v="1899-12-31T11:00:00"/>
    <s v="ADAVILAS74@HOTMAIL.COM"/>
    <x v="2"/>
    <n v="1081.482"/>
    <n v="7"/>
    <n v="1163.79"/>
    <n v="5.4825867599182097"/>
    <n v="1158.8800000000001"/>
    <s v="AD"/>
    <n v="1"/>
    <n v="1330"/>
    <n v="1157"/>
    <n v="0"/>
    <n v="1157"/>
  </r>
  <r>
    <x v="15"/>
    <s v="OSCAR VILLAGRAN MONDRAGON"/>
    <n v="8"/>
    <n v="36"/>
    <d v="1899-12-31T11:00:00"/>
    <s v="ADAVILAS74@HOTMAIL.COM"/>
    <x v="2"/>
    <n v="1081.5"/>
    <n v="7"/>
    <n v="1163.79"/>
    <n v="5.4825867599182097"/>
    <n v="1158.8800000000001"/>
    <s v="AD"/>
    <n v="1"/>
    <n v="1330"/>
    <n v="1157"/>
    <n v="0"/>
    <n v="1157"/>
  </r>
  <r>
    <x v="15"/>
    <s v="OSCAR VILLAGRAN MONDRAGON"/>
    <n v="8"/>
    <n v="36"/>
    <d v="1899-12-31T11:00:00"/>
    <s v="ADAVILAS74@HOTMAIL.COM"/>
    <x v="2"/>
    <n v="1081.5"/>
    <n v="7"/>
    <n v="1163.79"/>
    <n v="5.4825867599182097"/>
    <n v="1158.8800000000001"/>
    <s v="AD"/>
    <n v="1"/>
    <n v="1330"/>
    <n v="1157"/>
    <n v="0"/>
    <n v="1157"/>
  </r>
  <r>
    <x v="15"/>
    <s v="RAFAEL FLORES  CORTES"/>
    <n v="5"/>
    <n v="36"/>
    <d v="1899-12-31T11:00:00"/>
    <s v="rafael.flores..cortes@ejemplo.com"/>
    <x v="5"/>
    <n v="1081.3955000000001"/>
    <n v="8.5"/>
    <n v="1163.79"/>
    <n v="6.6574267799006801"/>
    <n v="1219.83"/>
    <s v="AD"/>
    <n v="1"/>
    <n v="1346"/>
    <n v="1173"/>
    <n v="0"/>
    <n v="1173"/>
  </r>
  <r>
    <x v="15"/>
    <s v="JONATHAN GUADALUPE FLORES AYALA"/>
    <n v="6"/>
    <n v="36"/>
    <d v="1899-12-31T11:00:00"/>
    <s v="jonathan.guadalupe.flores.ayala@ejemplo.com"/>
    <x v="5"/>
    <n v="1081.3774000000001"/>
    <n v="8.5"/>
    <n v="1163.79"/>
    <n v="6.6574267799006801"/>
    <n v="1082.33"/>
    <s v="AD"/>
    <n v="1"/>
    <n v="1346"/>
    <n v="1173"/>
    <n v="0"/>
    <n v="1173"/>
  </r>
  <r>
    <x v="15"/>
    <s v="ALAN RAMIREZ ISAIAS"/>
    <n v="4"/>
    <n v="36"/>
    <d v="1899-12-31T23:30:00"/>
    <s v="RAMIREZISAIASALAN@GMAIL.COM"/>
    <x v="0"/>
    <n v="1081.1217999999999"/>
    <n v="2.5"/>
    <n v="1163.79"/>
    <n v="1.9580666999707901"/>
    <n v="1158.8800000000001"/>
    <s v="AD"/>
    <n v="1"/>
    <n v="1281"/>
    <n v="1108"/>
    <n v="0"/>
    <n v="1108"/>
  </r>
  <r>
    <x v="15"/>
    <s v="ANA ROSA PADILLA"/>
    <n v="8"/>
    <n v="36"/>
    <d v="1899-12-31T11:00:00"/>
    <s v="PATY_PONCEV@HOTMAIL.COM"/>
    <x v="3"/>
    <n v="1081.3416"/>
    <n v="0"/>
    <n v="1163.79"/>
    <n v="0"/>
    <n v="1158.8800000000001"/>
    <s v="AD"/>
    <n v="1"/>
    <n v="1254"/>
    <n v="1081"/>
    <n v="0"/>
    <n v="1081"/>
  </r>
  <r>
    <x v="15"/>
    <s v="PATRICIA PONCE"/>
    <n v="9"/>
    <n v="36"/>
    <d v="1899-12-31T11:00:00"/>
    <s v="PATY_PONCEV@HOTMAIL.COM"/>
    <x v="3"/>
    <n v="1081.3235999999999"/>
    <n v="0"/>
    <n v="1163.79"/>
    <n v="0"/>
    <n v="1158.8800000000001"/>
    <s v="AD"/>
    <n v="1"/>
    <n v="1254"/>
    <n v="1081"/>
    <n v="0"/>
    <n v="1081"/>
  </r>
  <r>
    <x v="15"/>
    <s v="MARCOS GABRIEL LOPEZ VELAZQUEZ"/>
    <n v="18"/>
    <n v="36"/>
    <d v="1899-12-31T23:30:00"/>
    <s v="MARCOSG_LOPEZV@HOTMAIL.COM"/>
    <x v="0"/>
    <n v="1081.0027"/>
    <n v="2.5"/>
    <n v="1163.79"/>
    <n v="1.9580666999707901"/>
    <n v="1158.8800000000001"/>
    <s v="AD"/>
    <n v="1"/>
    <n v="1281"/>
    <n v="1108"/>
    <n v="0"/>
    <n v="1108"/>
  </r>
  <r>
    <x v="15"/>
    <s v="JULIO ESPINOZA"/>
    <n v="13"/>
    <n v="36"/>
    <d v="1899-12-31T11:00:00"/>
    <s v="julio.espinoza@ejemplo.com"/>
    <x v="5"/>
    <n v="1081.2511"/>
    <n v="8.5"/>
    <n v="1163.79"/>
    <n v="6.6574267799006801"/>
    <n v="1219.83"/>
    <s v="AD"/>
    <n v="1"/>
    <n v="1346"/>
    <n v="1173"/>
    <n v="0"/>
    <n v="1173"/>
  </r>
  <r>
    <x v="15"/>
    <s v="FRANCISCO JAVIER GÃ“MEZ MIRANDA"/>
    <n v="10"/>
    <n v="36"/>
    <d v="1899-12-31T06:00:00"/>
    <s v="PACOGMIRANDA@HOTMAIL.COM"/>
    <x v="0"/>
    <n v="1081.3742999999999"/>
    <n v="2.5"/>
    <n v="1163.79"/>
    <n v="1.9580666999707901"/>
    <n v="1158.8800000000001"/>
    <s v="AD"/>
    <n v="1"/>
    <n v="1281"/>
    <n v="1108"/>
    <n v="0"/>
    <n v="1108"/>
  </r>
  <r>
    <x v="15"/>
    <s v="RUBEN VEGA FUENTES"/>
    <n v="4"/>
    <n v="36"/>
    <d v="1899-12-31T06:00:00"/>
    <s v="ruben.vega.fuentes@ejemplo.com"/>
    <x v="4"/>
    <n v="1081.4268999999999"/>
    <n v="5"/>
    <n v="1163.79"/>
    <n v="3.9161333999415802"/>
    <n v="609.91"/>
    <s v="IN"/>
    <n v="1"/>
    <n v="1309"/>
    <n v="1135"/>
    <n v="0.5"/>
    <n v="567.5"/>
  </r>
  <r>
    <x v="15"/>
    <s v="JUAN ORTEGA ARREOLA"/>
    <n v="36"/>
    <n v="36"/>
    <d v="1899-12-31T23:10:00"/>
    <s v="ORTEGA.SARAF@GMAIL.COM"/>
    <x v="0"/>
    <n v="1080.5447999999999"/>
    <n v="2.5"/>
    <n v="1163.79"/>
    <n v="1.9580666999707901"/>
    <n v="1158.8800000000001"/>
    <s v="AD"/>
    <n v="1"/>
    <n v="1280"/>
    <n v="1108"/>
    <n v="0"/>
    <n v="1108"/>
  </r>
  <r>
    <x v="15"/>
    <s v="EDUARDO HERRERA BRAHMS"/>
    <n v="1"/>
    <n v="36"/>
    <d v="1899-12-31T23:59:00"/>
    <s v="CICACURA@GMAIL.COM"/>
    <x v="3"/>
    <n v="1081.2492999999999"/>
    <n v="0"/>
    <n v="1163.79"/>
    <n v="0"/>
    <n v="1158.8800000000001"/>
    <s v="AD"/>
    <n v="1"/>
    <n v="1254"/>
    <n v="1081"/>
    <n v="0"/>
    <n v="1081"/>
  </r>
  <r>
    <x v="15"/>
    <s v="LUISA RONELI HEREDIA SALAZAR"/>
    <n v="23"/>
    <n v="36"/>
    <d v="1899-12-31T23:59:00"/>
    <s v="VALE18SLZR@ICLOUD.COM"/>
    <x v="3"/>
    <n v="1080.7206000000001"/>
    <n v="0"/>
    <n v="1163.79"/>
    <n v="0"/>
    <n v="1158.8800000000001"/>
    <s v="AD"/>
    <n v="1"/>
    <n v="1254"/>
    <n v="1081"/>
    <n v="0"/>
    <n v="1081"/>
  </r>
  <r>
    <x v="15"/>
    <s v="LUISA RONELI HEREDIA SALAZAR"/>
    <n v="23"/>
    <n v="36"/>
    <d v="1899-12-31T23:59:00"/>
    <s v="VALE18SLZR@ICLOUD.COM"/>
    <x v="3"/>
    <n v="1080.7206000000001"/>
    <n v="0"/>
    <n v="1163.79"/>
    <n v="0"/>
    <n v="1158.8800000000001"/>
    <s v="AD"/>
    <n v="1"/>
    <n v="1254"/>
    <n v="1081"/>
    <n v="0"/>
    <n v="1081"/>
  </r>
  <r>
    <x v="15"/>
    <s v="VALENTINA OSUNA GUERRERO"/>
    <n v="22"/>
    <n v="36"/>
    <d v="1899-12-31T23:59:00"/>
    <s v="VALE18SLZR@ICLOUD.COM"/>
    <x v="3"/>
    <n v="1080.7384"/>
    <n v="0"/>
    <n v="1163.79"/>
    <n v="0"/>
    <n v="1158.8800000000001"/>
    <s v="AD"/>
    <n v="1"/>
    <n v="1254"/>
    <n v="1081"/>
    <n v="0"/>
    <n v="1081"/>
  </r>
  <r>
    <x v="15"/>
    <s v="VALENTINA OSUNA GUERRERO"/>
    <n v="22"/>
    <n v="36"/>
    <d v="1899-12-31T23:59:00"/>
    <s v="VALE18SLZR@ICLOUD.COM"/>
    <x v="3"/>
    <n v="1080.7384"/>
    <n v="0"/>
    <n v="1163.79"/>
    <n v="0"/>
    <n v="1158.8800000000001"/>
    <s v="AD"/>
    <n v="1"/>
    <n v="1254"/>
    <n v="1081"/>
    <n v="0"/>
    <n v="1081"/>
  </r>
  <r>
    <x v="15"/>
    <s v="MARÃA DOLORES GONZÃLEZ DELGADO"/>
    <n v="27"/>
    <n v="36"/>
    <d v="1899-12-31T11:00:00"/>
    <s v="DOLORES.GONZALEZ.DELGADO@GMAIL.COM"/>
    <x v="0"/>
    <n v="1080.9313"/>
    <n v="2.5"/>
    <n v="1163.79"/>
    <n v="1.9580666999707901"/>
    <n v="1158.8800000000001"/>
    <s v="AD"/>
    <n v="1"/>
    <n v="1281"/>
    <n v="1108"/>
    <n v="0"/>
    <n v="1108"/>
  </r>
  <r>
    <x v="15"/>
    <s v="FERNANDO DANIEL BERNAL AGUILERA"/>
    <n v="4"/>
    <n v="36"/>
    <d v="1899-12-31T23:59:00"/>
    <s v="FD.BERNALK@GMAIL.COM"/>
    <x v="3"/>
    <n v="1081.0613000000001"/>
    <n v="0"/>
    <n v="1163.79"/>
    <n v="0"/>
    <n v="1158.8800000000001"/>
    <s v="AD"/>
    <n v="1"/>
    <n v="1254"/>
    <n v="1081"/>
    <n v="0"/>
    <n v="1081"/>
  </r>
  <r>
    <x v="15"/>
    <s v="YURIXHI RANGEL ENRIQUEZ"/>
    <n v="29"/>
    <n v="36"/>
    <d v="1899-12-31T11:00:00"/>
    <s v="YURIXHIRANGEL12@GMAIL.COM"/>
    <x v="0"/>
    <n v="1080.8952999999999"/>
    <n v="2.5"/>
    <n v="1163.79"/>
    <n v="1.9580666999707901"/>
    <n v="1158.8800000000001"/>
    <s v="AD"/>
    <n v="1"/>
    <n v="1281"/>
    <n v="1108"/>
    <n v="0"/>
    <n v="1108"/>
  </r>
  <r>
    <x v="15"/>
    <s v="ABRAHAM DAVID GALVEZ CARRILLO"/>
    <n v="3"/>
    <n v="36"/>
    <d v="1899-12-31T23:59:00"/>
    <s v="ABRAHAMDAVIDGALVEZCARRILLO07@GMAIL.COM"/>
    <x v="3"/>
    <n v="1081.2118"/>
    <n v="0"/>
    <n v="1163.79"/>
    <n v="0"/>
    <n v="1158.8800000000001"/>
    <s v="AD"/>
    <n v="1"/>
    <n v="1254"/>
    <n v="1081"/>
    <n v="0"/>
    <n v="1081"/>
  </r>
  <r>
    <x v="15"/>
    <s v="ARTURO CAMPOS"/>
    <n v="35"/>
    <n v="36"/>
    <d v="1899-12-31T23:10:00"/>
    <s v="PANDARTURO_11@HOTMAIL.COM"/>
    <x v="2"/>
    <n v="1080.5599"/>
    <n v="7"/>
    <n v="1163.79"/>
    <n v="5.4825867599182097"/>
    <n v="1158.8800000000001"/>
    <s v="AD"/>
    <n v="1"/>
    <n v="1329"/>
    <n v="1156"/>
    <n v="0"/>
    <n v="1156"/>
  </r>
  <r>
    <x v="15"/>
    <s v="ERICK YAHIR CRUZ TRUJILLO"/>
    <n v="16"/>
    <n v="36"/>
    <d v="1899-12-31T02:00:00"/>
    <s v="ERICKTRUJI90@GMAIL.COM"/>
    <x v="0"/>
    <n v="1081.2653"/>
    <n v="2.5"/>
    <n v="1163.79"/>
    <n v="1.9580666999707901"/>
    <n v="1158.8800000000001"/>
    <s v="AD"/>
    <n v="1"/>
    <n v="1281"/>
    <n v="1108"/>
    <n v="0"/>
    <n v="1108"/>
  </r>
  <r>
    <x v="15"/>
    <s v="REBECA JIMENEZ ALVAREZ"/>
    <n v="13"/>
    <n v="36"/>
    <d v="1899-12-31T23:30:00"/>
    <s v="BRENDASWAN24@GMAIL.COM"/>
    <x v="3"/>
    <n v="1081.0302999999999"/>
    <n v="0"/>
    <n v="1163.79"/>
    <n v="0"/>
    <n v="1158.8800000000001"/>
    <s v="AD"/>
    <n v="1"/>
    <n v="1254"/>
    <n v="1081"/>
    <n v="0"/>
    <n v="1081"/>
  </r>
  <r>
    <x v="15"/>
    <s v="RICARDO LOYOLA SANCHEZ"/>
    <n v="9"/>
    <n v="36"/>
    <d v="1899-12-31T23:10:00"/>
    <s v="RICHIPETRUZCO@GMAIL.COM"/>
    <x v="3"/>
    <n v="1081.1024"/>
    <n v="0"/>
    <n v="1163.79"/>
    <n v="0"/>
    <n v="1158.8800000000001"/>
    <s v="AD"/>
    <n v="1"/>
    <n v="1254"/>
    <n v="1081"/>
    <n v="0"/>
    <n v="1081"/>
  </r>
  <r>
    <x v="15"/>
    <s v="VERONICA VILLARREAL FLORES"/>
    <n v="8"/>
    <n v="36"/>
    <d v="1899-12-31T23:10:00"/>
    <s v="RICHIPETRUZCO@GMAIL.COM"/>
    <x v="3"/>
    <n v="1081.1205"/>
    <n v="0"/>
    <n v="1163.79"/>
    <n v="0"/>
    <n v="1158.8800000000001"/>
    <s v="AD"/>
    <n v="1"/>
    <n v="1254"/>
    <n v="1081"/>
    <n v="0"/>
    <n v="1081"/>
  </r>
  <r>
    <x v="15"/>
    <s v="IGNACIO GARCIA HERNANDEZ"/>
    <n v="36"/>
    <n v="36"/>
    <d v="1899-12-31T23:10:00"/>
    <s v="ignacio.garcia.hernandez@ejemplo.com"/>
    <x v="1"/>
    <n v="1080.4947999999999"/>
    <n v="10"/>
    <n v="1163.79"/>
    <n v="7.8322667998831603"/>
    <n v="609.91"/>
    <s v="NI"/>
    <n v="1"/>
    <n v="1361"/>
    <n v="1189"/>
    <n v="0.5"/>
    <n v="594.5"/>
  </r>
  <r>
    <x v="15"/>
    <s v="JESUS GARCIA SANTOS"/>
    <n v="17"/>
    <n v="36"/>
    <d v="1899-12-31T06:00:00"/>
    <s v="JESUS.25.SANTOS@GMAIL.COM"/>
    <x v="4"/>
    <n v="1079.2944"/>
    <n v="5"/>
    <n v="1163.79"/>
    <n v="3.9161333999415802"/>
    <n v="609.91"/>
    <s v="IN"/>
    <n v="1"/>
    <n v="1306"/>
    <n v="1133"/>
    <n v="0.5"/>
    <n v="566.5"/>
  </r>
  <r>
    <x v="15"/>
    <s v="ANTONIO CORREA GONZALEZ"/>
    <n v="32"/>
    <n v="36"/>
    <d v="1899-12-31T23:30:00"/>
    <s v="antonio.correa.gonzalez@ejemplo.com"/>
    <x v="4"/>
    <n v="1080.6943000000001"/>
    <n v="5"/>
    <n v="1163.79"/>
    <n v="3.9161333999415802"/>
    <n v="609.91"/>
    <s v="IN"/>
    <n v="1"/>
    <n v="1308"/>
    <n v="1135"/>
    <n v="0.5"/>
    <n v="567.5"/>
  </r>
  <r>
    <x v="15"/>
    <s v="ALAN RAMON GALARZA MANJARREZ"/>
    <n v="28"/>
    <n v="36"/>
    <d v="1899-12-31T23:10:00"/>
    <s v="RAMON_GM@LIVE.COM"/>
    <x v="3"/>
    <n v="1080.6276"/>
    <n v="0"/>
    <n v="1163.79"/>
    <n v="0"/>
    <n v="1158.8800000000001"/>
    <s v="AD"/>
    <n v="1"/>
    <n v="1254"/>
    <n v="1081"/>
    <n v="0"/>
    <n v="1081"/>
  </r>
  <r>
    <x v="15"/>
    <s v="JOSE JAVIER CRUZ SAN AGUSTIN"/>
    <n v="23"/>
    <n v="36"/>
    <d v="1899-12-31T23:30:00"/>
    <s v="JOSEJAVIERSANAGUSTIN@GMAIL.COM"/>
    <x v="3"/>
    <n v="1080.7732000000001"/>
    <n v="0"/>
    <n v="1163.79"/>
    <n v="0"/>
    <n v="1158.8800000000001"/>
    <s v="AD"/>
    <n v="1"/>
    <n v="1254"/>
    <n v="1081"/>
    <n v="0"/>
    <n v="1081"/>
  </r>
  <r>
    <x v="15"/>
    <s v="BRYAN BERNAL CERVANTES"/>
    <n v="13"/>
    <n v="36"/>
    <d v="1899-12-31T06:00:00"/>
    <s v="BRYAN.BERNAL.MEC@GMAIL.COM"/>
    <x v="0"/>
    <n v="1081.3150000000001"/>
    <n v="2.5"/>
    <n v="1163.79"/>
    <n v="1.9580666999707901"/>
    <n v="1158.8800000000001"/>
    <s v="AD"/>
    <n v="1"/>
    <n v="1281"/>
    <n v="1108"/>
    <n v="0"/>
    <n v="1108"/>
  </r>
  <r>
    <x v="15"/>
    <s v="SARA JUAREZ AREVALO"/>
    <n v="32"/>
    <n v="36"/>
    <d v="1899-12-31T06:00:00"/>
    <s v="MARTINBELLO1976@HOTMAIL.COM"/>
    <x v="0"/>
    <n v="1080.9355"/>
    <n v="2.5"/>
    <n v="1163.79"/>
    <n v="1.9580666999707901"/>
    <n v="601.29"/>
    <s v="IN"/>
    <n v="1"/>
    <n v="1281"/>
    <n v="1108"/>
    <n v="0.5"/>
    <n v="554"/>
  </r>
  <r>
    <x v="15"/>
    <s v="ANTONIO BAUTISTA"/>
    <n v="12"/>
    <n v="36"/>
    <d v="1899-12-31T23:59:00"/>
    <s v="OBRATEL.SOLUTIONS@GMAIL.COM"/>
    <x v="3"/>
    <n v="1081.0465999999999"/>
    <n v="0"/>
    <n v="1163.79"/>
    <n v="0"/>
    <n v="1158.8800000000001"/>
    <s v="AD"/>
    <n v="1"/>
    <n v="1254"/>
    <n v="1081"/>
    <n v="0"/>
    <n v="1081"/>
  </r>
  <r>
    <x v="15"/>
    <s v="IRVIN MOISES LEMUS DOMÃNGUEZ"/>
    <n v="29"/>
    <n v="36"/>
    <d v="1899-12-31T02:00:00"/>
    <s v="RVNGMOISES@GMAIL.COM"/>
    <x v="0"/>
    <n v="1080.8966"/>
    <n v="2.5"/>
    <n v="1163.79"/>
    <n v="1.9580666999707901"/>
    <n v="1158.8800000000001"/>
    <s v="AD"/>
    <n v="1"/>
    <n v="1281"/>
    <n v="1108"/>
    <n v="0"/>
    <n v="1108"/>
  </r>
  <r>
    <x v="15"/>
    <s v="ISRAEL SERRANO MARTÃNEZ"/>
    <n v="36"/>
    <n v="36"/>
    <d v="1899-12-31T23:10:00"/>
    <s v="israel.serrano.martÃ­nez@ejemplo.com"/>
    <x v="0"/>
    <n v="1080.7003999999999"/>
    <n v="2.5"/>
    <n v="1163.79"/>
    <n v="1.9580666999707901"/>
    <n v="1158.8800000000001"/>
    <s v="AD"/>
    <n v="1"/>
    <n v="1281"/>
    <n v="1108"/>
    <n v="0"/>
    <n v="1108"/>
  </r>
  <r>
    <x v="15"/>
    <s v="ALBERTO RIVERA SALAS"/>
    <n v="4"/>
    <n v="36"/>
    <d v="1899-12-31T06:00:00"/>
    <s v="CANARIOECHADO@GMAIL.COM"/>
    <x v="0"/>
    <n v="1081.3433"/>
    <n v="2.5"/>
    <n v="1163.79"/>
    <n v="1.9580666999707901"/>
    <n v="1158.8800000000001"/>
    <s v="AD"/>
    <n v="1"/>
    <n v="1281"/>
    <n v="1108"/>
    <n v="0"/>
    <n v="1108"/>
  </r>
  <r>
    <x v="15"/>
    <s v="DORA LUZ GOMEZ GONZALEZ"/>
    <n v="18"/>
    <n v="36"/>
    <d v="1899-12-31T23:59:00"/>
    <s v="ASTRIDFENDEZ@GMAIL.COM"/>
    <x v="0"/>
    <n v="1080.9948999999999"/>
    <n v="2.5"/>
    <n v="1163.79"/>
    <n v="1.9580666999707901"/>
    <n v="1097.8399999999999"/>
    <s v="AD"/>
    <n v="1"/>
    <n v="1281"/>
    <n v="1108"/>
    <n v="0"/>
    <n v="1108"/>
  </r>
  <r>
    <x v="15"/>
    <s v="NEFTALI MEJIA LEGASPI"/>
    <n v="13"/>
    <n v="36"/>
    <d v="1899-12-31T02:00:00"/>
    <s v="NEFTY_ML@HOTMAIL.COM"/>
    <x v="0"/>
    <n v="1081.4768999999999"/>
    <n v="2.5"/>
    <n v="1163.79"/>
    <n v="1.9580666999707901"/>
    <n v="1158.8800000000001"/>
    <s v="AD"/>
    <n v="1"/>
    <n v="1282"/>
    <n v="1109"/>
    <n v="0"/>
    <n v="1109"/>
  </r>
  <r>
    <x v="15"/>
    <s v="VANESSA LITZANIA CALDERON PEREZ"/>
    <n v="28"/>
    <n v="36"/>
    <d v="1899-12-31T02:00:00"/>
    <s v="vanessa.litzania.calderon.perez@ejemplo.com"/>
    <x v="2"/>
    <n v="1081.0621000000001"/>
    <n v="7"/>
    <n v="1163.79"/>
    <n v="5.4825867599182097"/>
    <n v="1097.8399999999999"/>
    <s v="AD"/>
    <n v="1"/>
    <n v="1330"/>
    <n v="1157"/>
    <n v="0"/>
    <n v="1157"/>
  </r>
  <r>
    <x v="15"/>
    <s v="JOSE MARTIN GAYTAN TOVAR"/>
    <n v="29"/>
    <n v="36"/>
    <d v="1899-12-31T02:00:00"/>
    <s v="jose.martin.gaytan.tovar@ejemplo.com"/>
    <x v="2"/>
    <n v="1081.0442"/>
    <n v="7"/>
    <n v="1163.79"/>
    <n v="5.4825867599182097"/>
    <n v="1097.8399999999999"/>
    <s v="AD"/>
    <n v="1"/>
    <n v="1330"/>
    <n v="1157"/>
    <n v="0"/>
    <n v="1157"/>
  </r>
  <r>
    <x v="15"/>
    <s v="HAIDE  BERENICE CARVAJAL TORRES"/>
    <n v="30"/>
    <n v="36"/>
    <d v="1899-12-31T23:30:00"/>
    <s v="haide..berenice.carvajal.torres@ejemplo.com"/>
    <x v="5"/>
    <n v="1080.5891999999999"/>
    <n v="8.5"/>
    <n v="1163.79"/>
    <n v="6.6574267799006801"/>
    <n v="1219.83"/>
    <s v="AD"/>
    <n v="1"/>
    <n v="1345"/>
    <n v="1172"/>
    <n v="0"/>
    <n v="1172"/>
  </r>
  <r>
    <x v="15"/>
    <s v="JUAN LUIS LOPEZ OCHOA"/>
    <n v="31"/>
    <n v="36"/>
    <d v="1899-12-31T23:30:00"/>
    <s v="juan.luis.lopez.ochoa@ejemplo.com"/>
    <x v="5"/>
    <n v="1080.5712000000001"/>
    <n v="8.5"/>
    <n v="1163.79"/>
    <n v="6.6574267799006801"/>
    <n v="1219.83"/>
    <s v="AD"/>
    <n v="1"/>
    <n v="1345"/>
    <n v="1172"/>
    <n v="0"/>
    <n v="1172"/>
  </r>
  <r>
    <x v="15"/>
    <s v="LESLIE YUKARI PLATA IBARRA"/>
    <n v="5"/>
    <n v="36"/>
    <d v="1899-12-31T23:10:00"/>
    <s v="LEESPLATA998@GMAIL.COM"/>
    <x v="3"/>
    <n v="1081.1709000000001"/>
    <n v="0"/>
    <n v="1163.79"/>
    <n v="0"/>
    <n v="1158.8800000000001"/>
    <s v="AD"/>
    <n v="1"/>
    <n v="1254"/>
    <n v="1081"/>
    <n v="0"/>
    <n v="1081"/>
  </r>
  <r>
    <x v="15"/>
    <s v="VICENTE NAVA"/>
    <n v="21"/>
    <n v="36"/>
    <d v="1899-12-31T23:30:00"/>
    <s v="VICENTE.NAVA@AMERICANSUN.COM.MX"/>
    <x v="0"/>
    <n v="1080.9393"/>
    <n v="2.5"/>
    <n v="1163.79"/>
    <n v="1.9580666999707901"/>
    <n v="1158.8800000000001"/>
    <s v="AD"/>
    <n v="1"/>
    <n v="1281"/>
    <n v="1108"/>
    <n v="0"/>
    <n v="1108"/>
  </r>
  <r>
    <x v="15"/>
    <s v="JULIO CESAR MARTINEZ RODRIGUEZ"/>
    <n v="22"/>
    <n v="36"/>
    <d v="1899-12-31T23:10:00"/>
    <s v="IVANVARGAS240675@GMAIL.COM"/>
    <x v="3"/>
    <n v="1080.7888"/>
    <n v="0"/>
    <n v="1163.79"/>
    <n v="0"/>
    <n v="1158.8800000000001"/>
    <s v="AD"/>
    <n v="1"/>
    <n v="1254"/>
    <n v="1081"/>
    <n v="0"/>
    <n v="1081"/>
  </r>
  <r>
    <x v="15"/>
    <s v="GIOVANNI RAYA CUEVAS"/>
    <n v="5"/>
    <n v="36"/>
    <d v="1899-12-31T11:00:00"/>
    <s v="SAMANTHA@RSAV.MX"/>
    <x v="0"/>
    <n v="1081.5486000000001"/>
    <n v="2.5"/>
    <n v="1163.79"/>
    <n v="1.9580666999707901"/>
    <n v="1158.8800000000001"/>
    <s v="AD"/>
    <n v="1"/>
    <n v="1282"/>
    <n v="1109"/>
    <n v="0"/>
    <n v="1109"/>
  </r>
  <r>
    <x v="15"/>
    <s v="GIOVANNI RAYA CUEVAS"/>
    <n v="5"/>
    <n v="36"/>
    <d v="1899-12-31T11:00:00"/>
    <s v="SAMANTHA@RSAV.MX"/>
    <x v="0"/>
    <n v="1081.5486000000001"/>
    <n v="2.5"/>
    <n v="1163.79"/>
    <n v="1.9580666999707901"/>
    <n v="1158.8800000000001"/>
    <s v="AD"/>
    <n v="1"/>
    <n v="1282"/>
    <n v="1109"/>
    <n v="0"/>
    <n v="1109"/>
  </r>
  <r>
    <x v="15"/>
    <s v="GIOVANNI RAYA CUEVAS"/>
    <n v="5"/>
    <n v="36"/>
    <d v="1899-12-31T11:00:00"/>
    <s v="SAMANTHA@RSAV.MX"/>
    <x v="0"/>
    <n v="1081.5486000000001"/>
    <n v="2.5"/>
    <n v="1163.79"/>
    <n v="1.9580666999707901"/>
    <n v="1158.8800000000001"/>
    <s v="AD"/>
    <n v="1"/>
    <n v="1282"/>
    <n v="1109"/>
    <n v="0"/>
    <n v="1109"/>
  </r>
  <r>
    <x v="15"/>
    <s v="JOSE RUBEN PARDO GARDUÃ‘O"/>
    <n v="4"/>
    <n v="36"/>
    <d v="1899-12-31T11:00:00"/>
    <s v="SAMANTHA@RSAV.MX"/>
    <x v="0"/>
    <n v="1081.4340999999999"/>
    <n v="2.5"/>
    <n v="1163.79"/>
    <n v="1.9580666999707901"/>
    <n v="1158.8800000000001"/>
    <s v="AD"/>
    <n v="1"/>
    <n v="1281"/>
    <n v="1108"/>
    <n v="0"/>
    <n v="1108"/>
  </r>
  <r>
    <x v="15"/>
    <s v="JOSE RUBEN PARDO GARDUÃ‘O"/>
    <n v="4"/>
    <n v="36"/>
    <d v="1899-12-31T11:00:00"/>
    <s v="SAMANTHA@RSAV.MX"/>
    <x v="0"/>
    <n v="1081.4340999999999"/>
    <n v="2.5"/>
    <n v="1163.79"/>
    <n v="1.9580666999707901"/>
    <n v="1158.8800000000001"/>
    <s v="AD"/>
    <n v="1"/>
    <n v="1281"/>
    <n v="1108"/>
    <n v="0"/>
    <n v="1108"/>
  </r>
  <r>
    <x v="15"/>
    <s v="JOSE RUBEN PARDO GARDUÃ‘O"/>
    <n v="4"/>
    <n v="36"/>
    <d v="1899-12-31T11:00:00"/>
    <s v="SAMANTHA@RSAV.MX"/>
    <x v="0"/>
    <n v="1081.4340999999999"/>
    <n v="2.5"/>
    <n v="1163.79"/>
    <n v="1.9580666999707901"/>
    <n v="1158.8800000000001"/>
    <s v="AD"/>
    <n v="1"/>
    <n v="1281"/>
    <n v="1108"/>
    <n v="0"/>
    <n v="1108"/>
  </r>
  <r>
    <x v="15"/>
    <s v="ROBERTO HUERTAS AVILA"/>
    <n v="6"/>
    <n v="36"/>
    <d v="1899-12-31T11:00:00"/>
    <s v="SAMANTHA@RSAV.MX"/>
    <x v="0"/>
    <n v="1081.5305000000001"/>
    <n v="2.5"/>
    <n v="1163.79"/>
    <n v="1.9580666999707901"/>
    <n v="1158.8800000000001"/>
    <s v="AD"/>
    <n v="1"/>
    <n v="1282"/>
    <n v="1109"/>
    <n v="0"/>
    <n v="1109"/>
  </r>
  <r>
    <x v="15"/>
    <s v="ROBERTO HUERTAS AVILA"/>
    <n v="6"/>
    <n v="36"/>
    <d v="1899-12-31T11:00:00"/>
    <s v="SAMANTHA@RSAV.MX"/>
    <x v="0"/>
    <n v="1081.5305000000001"/>
    <n v="2.5"/>
    <n v="1163.79"/>
    <n v="1.9580666999707901"/>
    <n v="1158.8800000000001"/>
    <s v="AD"/>
    <n v="1"/>
    <n v="1282"/>
    <n v="1109"/>
    <n v="0"/>
    <n v="1109"/>
  </r>
  <r>
    <x v="15"/>
    <s v="ROBERTO HUERTAS AVILA"/>
    <n v="6"/>
    <n v="36"/>
    <d v="1899-12-31T11:00:00"/>
    <s v="SAMANTHA@RSAV.MX"/>
    <x v="0"/>
    <n v="1081.5305000000001"/>
    <n v="2.5"/>
    <n v="1163.79"/>
    <n v="1.9580666999707901"/>
    <n v="1158.8800000000001"/>
    <s v="AD"/>
    <n v="1"/>
    <n v="1282"/>
    <n v="1109"/>
    <n v="0"/>
    <n v="1109"/>
  </r>
  <r>
    <x v="15"/>
    <s v="CARLOS ALBERTO CHAVEZ"/>
    <n v="6"/>
    <n v="36"/>
    <d v="1899-12-31T23:59:00"/>
    <s v="CARLOSCHAVEZ35@HOTMAIL.COM"/>
    <x v="3"/>
    <n v="1081.1523"/>
    <n v="0"/>
    <n v="1163.79"/>
    <n v="0"/>
    <n v="1158.8800000000001"/>
    <s v="AD"/>
    <n v="1"/>
    <n v="1254"/>
    <n v="1081"/>
    <n v="0"/>
    <n v="1081"/>
  </r>
  <r>
    <x v="15"/>
    <s v="AURELIO RAUDALES HERRERA"/>
    <n v="12"/>
    <n v="36"/>
    <d v="1899-12-31T23:10:00"/>
    <s v="aurelio.raudales.herrera@ejemplo.com"/>
    <x v="1"/>
    <n v="1081.0427"/>
    <n v="10"/>
    <n v="1163.79"/>
    <n v="7.8322667998831603"/>
    <n v="609.91"/>
    <s v="NI"/>
    <n v="1"/>
    <n v="1362"/>
    <n v="1189"/>
    <n v="0.5"/>
    <n v="594.5"/>
  </r>
  <r>
    <x v="15"/>
    <s v="DIEGO EDUARDO REAL GALVEZ"/>
    <n v="36"/>
    <n v="36"/>
    <d v="1899-12-31T02:00:00"/>
    <s v="NATALIA.PESCADOR@NTRMEDIOS.COM"/>
    <x v="0"/>
    <n v="1080.7686000000001"/>
    <n v="2.5"/>
    <n v="1163.79"/>
    <n v="1.9580666999707901"/>
    <n v="1158.8800000000001"/>
    <s v="AD"/>
    <n v="1"/>
    <n v="1281"/>
    <n v="1108"/>
    <n v="0"/>
    <n v="1108"/>
  </r>
  <r>
    <x v="15"/>
    <s v="MARIA SILVIA PEEREZ RUBI"/>
    <n v="33"/>
    <n v="36"/>
    <d v="1899-12-31T23:30:00"/>
    <s v="maria.silvia.peerez.rubi@ejemplo.com"/>
    <x v="1"/>
    <n v="1080.5463999999999"/>
    <n v="10"/>
    <n v="1163.79"/>
    <n v="7.8322667998831603"/>
    <n v="609.91"/>
    <s v="NI"/>
    <n v="1"/>
    <n v="1361"/>
    <n v="1189"/>
    <n v="0.5"/>
    <n v="594.5"/>
  </r>
  <r>
    <x v="15"/>
    <s v="ALFREDO GUTIERREZ RAMIREZ"/>
    <n v="34"/>
    <n v="36"/>
    <d v="1899-12-31T23:30:00"/>
    <s v="alfredo.gutierrez.ramirez@ejemplo.com"/>
    <x v="1"/>
    <n v="1080.5282999999999"/>
    <n v="10"/>
    <n v="1163.79"/>
    <n v="7.8322667998831603"/>
    <n v="609.91"/>
    <s v="NI"/>
    <n v="1"/>
    <n v="1361"/>
    <n v="1189"/>
    <n v="0.5"/>
    <n v="594.5"/>
  </r>
  <r>
    <x v="15"/>
    <s v="JOSE HERRERA"/>
    <n v="1"/>
    <n v="36"/>
    <d v="1899-12-31T23:30:00"/>
    <s v="jose.herrera@ejemplo.com"/>
    <x v="5"/>
    <n v="1081.2406000000001"/>
    <n v="8.5"/>
    <n v="1163.79"/>
    <n v="6.6574267799006801"/>
    <n v="1219.83"/>
    <s v="AD"/>
    <n v="1"/>
    <n v="1346"/>
    <n v="1173"/>
    <n v="0"/>
    <n v="1173"/>
  </r>
  <r>
    <x v="15"/>
    <s v="JOSE ESPINOZA"/>
    <n v="16"/>
    <n v="36"/>
    <d v="1899-12-31T23:30:00"/>
    <s v="jose.espinoza@ejemplo.com"/>
    <x v="5"/>
    <n v="1080.9707000000001"/>
    <n v="8.5"/>
    <n v="1163.79"/>
    <n v="6.6574267799006801"/>
    <n v="1219.83"/>
    <s v="AD"/>
    <n v="1"/>
    <n v="1346"/>
    <n v="1173"/>
    <n v="0"/>
    <n v="1173"/>
  </r>
  <r>
    <x v="15"/>
    <s v="DAVID VILLALOBO"/>
    <n v="17"/>
    <n v="36"/>
    <d v="1899-12-31T23:30:00"/>
    <s v="david.villalobo@ejemplo.com"/>
    <x v="5"/>
    <n v="1080.9528"/>
    <n v="8.5"/>
    <n v="1163.79"/>
    <n v="6.6574267799006801"/>
    <n v="1219.83"/>
    <s v="AD"/>
    <n v="1"/>
    <n v="1346"/>
    <n v="1173"/>
    <n v="0"/>
    <n v="1173"/>
  </r>
  <r>
    <x v="15"/>
    <s v="ANGEL SORIANO"/>
    <n v="18"/>
    <n v="36"/>
    <d v="1899-12-31T23:30:00"/>
    <s v="angel.soriano@ejemplo.com"/>
    <x v="5"/>
    <n v="1080.9348"/>
    <n v="8.5"/>
    <n v="1163.79"/>
    <n v="6.6574267799006801"/>
    <n v="1219.83"/>
    <s v="AD"/>
    <n v="1"/>
    <n v="1346"/>
    <n v="1173"/>
    <n v="0"/>
    <n v="1173"/>
  </r>
  <r>
    <x v="15"/>
    <s v="IVONNE LIZBETH ELIZONDO HERNÃNDEZ"/>
    <n v="17"/>
    <n v="36"/>
    <d v="1899-12-31T23:30:00"/>
    <s v="LEHH_CYE1993@HOTMAIL.COM"/>
    <x v="3"/>
    <n v="1081.0103999999999"/>
    <n v="0"/>
    <n v="1163.79"/>
    <n v="0"/>
    <n v="1158.8800000000001"/>
    <s v="AD"/>
    <n v="1"/>
    <n v="1254"/>
    <n v="1081"/>
    <n v="0"/>
    <n v="1081"/>
  </r>
  <r>
    <x v="15"/>
    <s v="MELVA AGUILAR OLIVA"/>
    <n v="14"/>
    <n v="36"/>
    <d v="1899-12-31T23:10:00"/>
    <s v="AMJOSE68@GMAIL.COM"/>
    <x v="5"/>
    <n v="1081.0062"/>
    <n v="8.5"/>
    <n v="1163.79"/>
    <n v="6.6574267799006801"/>
    <n v="1097.8399999999999"/>
    <s v="AD"/>
    <n v="1"/>
    <n v="1346"/>
    <n v="1173"/>
    <n v="0"/>
    <n v="1173"/>
  </r>
  <r>
    <x v="15"/>
    <s v="HÃ‰CTOR HERNANDEZ"/>
    <n v="3"/>
    <n v="36"/>
    <d v="1899-12-31T23:30:00"/>
    <s v="HECH.G03@GMAIL.COM"/>
    <x v="0"/>
    <n v="1081.2620999999999"/>
    <n v="2.5"/>
    <n v="1163.79"/>
    <n v="1.9580666999707901"/>
    <n v="1158.8800000000001"/>
    <s v="AD"/>
    <n v="1"/>
    <n v="1281"/>
    <n v="1108"/>
    <n v="0"/>
    <n v="1108"/>
  </r>
  <r>
    <x v="15"/>
    <s v="JULIETA DONAJI FERMOSO SANCHEZ"/>
    <n v="2"/>
    <n v="36"/>
    <d v="1899-12-31T23:30:00"/>
    <s v="JULIETA.FERMOSO.S514@GMAIL.COM"/>
    <x v="0"/>
    <n v="1081.2799"/>
    <n v="2.5"/>
    <n v="1163.79"/>
    <n v="1.9580666999707901"/>
    <n v="1158.8800000000001"/>
    <s v="AD"/>
    <n v="1"/>
    <n v="1281"/>
    <n v="1108"/>
    <n v="0"/>
    <n v="1108"/>
  </r>
  <r>
    <x v="15"/>
    <s v="EDGARVILLAS"/>
    <n v="4"/>
    <n v="36"/>
    <d v="1899-12-31T23:30:00"/>
    <s v="edgarvillas@ejemplo.com"/>
    <x v="5"/>
    <n v="1081.0676000000001"/>
    <n v="8.5"/>
    <n v="1163.79"/>
    <n v="6.6574267799006801"/>
    <n v="1219.83"/>
    <s v="AD"/>
    <n v="1"/>
    <n v="1346"/>
    <n v="1173"/>
    <n v="0"/>
    <n v="1173"/>
  </r>
  <r>
    <x v="15"/>
    <s v="LEON FERNANDEZ"/>
    <n v="24"/>
    <n v="36"/>
    <d v="1899-12-31T23:30:00"/>
    <s v="leon.fernandez@ejemplo.com"/>
    <x v="5"/>
    <n v="1080.7074"/>
    <n v="8.5"/>
    <n v="1163.79"/>
    <n v="6.6574267799006801"/>
    <n v="1219.83"/>
    <s v="AD"/>
    <n v="1"/>
    <n v="1345"/>
    <n v="1173"/>
    <n v="0"/>
    <n v="1173"/>
  </r>
  <r>
    <x v="15"/>
    <s v="JOSE EMMANUEL VIURQUIS MARTINEZ"/>
    <n v="28"/>
    <n v="36"/>
    <d v="1899-12-31T23:10:00"/>
    <s v="CAVITO2908@GMAIL.COM"/>
    <x v="0"/>
    <n v="1080.6793"/>
    <n v="2.5"/>
    <n v="1163.79"/>
    <n v="1.9580666999707901"/>
    <n v="1158.8800000000001"/>
    <s v="AD"/>
    <n v="1"/>
    <n v="1281"/>
    <n v="1108"/>
    <n v="0"/>
    <n v="1108"/>
  </r>
  <r>
    <x v="15"/>
    <s v="JOSE EMMANUEL VIURQUIS MARTINEZ"/>
    <n v="28"/>
    <n v="36"/>
    <d v="1899-12-31T23:10:00"/>
    <s v="CAVITO2908@GMAIL.COM"/>
    <x v="0"/>
    <n v="1080.6793"/>
    <n v="2.5"/>
    <n v="1163.79"/>
    <n v="1.9580666999707901"/>
    <n v="1158.8800000000001"/>
    <s v="AD"/>
    <n v="1"/>
    <n v="1281"/>
    <n v="1108"/>
    <n v="0"/>
    <n v="1108"/>
  </r>
  <r>
    <x v="15"/>
    <s v="VERONICA MARTINEZ TORRES"/>
    <n v="29"/>
    <n v="36"/>
    <d v="1899-12-31T23:10:00"/>
    <s v="CAVITO2908@GMAIL.COM"/>
    <x v="0"/>
    <n v="1080.6614999999999"/>
    <n v="2.5"/>
    <n v="1163.79"/>
    <n v="1.9580666999707901"/>
    <n v="1158.8800000000001"/>
    <s v="AD"/>
    <n v="1"/>
    <n v="1281"/>
    <n v="1108"/>
    <n v="0"/>
    <n v="1108"/>
  </r>
  <r>
    <x v="15"/>
    <s v="VERONICA MARTINEZ TORRES"/>
    <n v="29"/>
    <n v="36"/>
    <d v="1899-12-31T23:10:00"/>
    <s v="CAVITO2908@GMAIL.COM"/>
    <x v="0"/>
    <n v="1080.6614999999999"/>
    <n v="2.5"/>
    <n v="1163.79"/>
    <n v="1.9580666999707901"/>
    <n v="1158.8800000000001"/>
    <s v="AD"/>
    <n v="1"/>
    <n v="1281"/>
    <n v="1108"/>
    <n v="0"/>
    <n v="1108"/>
  </r>
  <r>
    <x v="15"/>
    <s v="JONATHAN DE JESUS LUNA"/>
    <n v="2"/>
    <n v="36"/>
    <d v="1899-12-31T23:30:00"/>
    <s v="jonathan.de.jesus.luna@ejemplo.com"/>
    <x v="5"/>
    <n v="1081.2229"/>
    <n v="8.5"/>
    <n v="1163.79"/>
    <n v="6.6574267799006801"/>
    <n v="1219.83"/>
    <s v="AD"/>
    <n v="1"/>
    <n v="1346"/>
    <n v="1173"/>
    <n v="0"/>
    <n v="1173"/>
  </r>
  <r>
    <x v="15"/>
    <s v="FRANCISCO MADRIGAL"/>
    <n v="3"/>
    <n v="36"/>
    <d v="1899-12-31T23:30:00"/>
    <s v="francisco.madrigal@ejemplo.com"/>
    <x v="5"/>
    <n v="1081.2047"/>
    <n v="8.5"/>
    <n v="1163.79"/>
    <n v="6.6574267799006801"/>
    <n v="1219.83"/>
    <s v="AD"/>
    <n v="1"/>
    <n v="1346"/>
    <n v="1173"/>
    <n v="0"/>
    <n v="1173"/>
  </r>
  <r>
    <x v="15"/>
    <s v="EVODIO ANTONIO BARRAZA"/>
    <n v="35"/>
    <n v="36"/>
    <d v="1899-12-31T23:59:00"/>
    <s v="evodio.antonio.barraza@ejemplo.com"/>
    <x v="1"/>
    <n v="1080.4971"/>
    <n v="10"/>
    <n v="1163.79"/>
    <n v="7.8322667998831603"/>
    <n v="609.91"/>
    <s v="NI"/>
    <n v="1"/>
    <n v="1361"/>
    <n v="1189"/>
    <n v="0.5"/>
    <n v="594.5"/>
  </r>
  <r>
    <x v="15"/>
    <s v="LEONARDO DANIEL CONSTANTINO JACINTO"/>
    <n v="15"/>
    <n v="36"/>
    <d v="1899-12-31T23:59:00"/>
    <s v="EST22CONSTANTINE@GMAIL.COM"/>
    <x v="0"/>
    <n v="1081.0454"/>
    <n v="2.5"/>
    <n v="1163.79"/>
    <n v="1.9580666999707901"/>
    <n v="1158.8800000000001"/>
    <s v="AD"/>
    <n v="1"/>
    <n v="1281"/>
    <n v="1108"/>
    <n v="0"/>
    <n v="1108"/>
  </r>
  <r>
    <x v="16"/>
    <s v="JORGE HERNANDEZ"/>
    <n v="25"/>
    <n v="36"/>
    <d v="1899-12-31T23:59:00"/>
    <s v="jorge.hernandez@ejemplo.com"/>
    <x v="5"/>
    <n v="1080.6887999999999"/>
    <n v="8.5"/>
    <n v="1163.79"/>
    <n v="6.6574267799006801"/>
    <n v="1219.83"/>
    <s v="AD"/>
    <n v="1"/>
    <n v="1345"/>
    <n v="1173"/>
    <n v="0"/>
    <n v="1173"/>
  </r>
  <r>
    <x v="16"/>
    <s v="SANDRA JUAREZ"/>
    <n v="26"/>
    <n v="36"/>
    <d v="1899-12-31T23:59:00"/>
    <s v="sandra.juarez@ejemplo.com"/>
    <x v="5"/>
    <n v="1080.6709000000001"/>
    <n v="8.5"/>
    <n v="1163.79"/>
    <n v="6.6574267799006801"/>
    <n v="1219.83"/>
    <s v="AD"/>
    <n v="1"/>
    <n v="1345"/>
    <n v="1173"/>
    <n v="0"/>
    <n v="1173"/>
  </r>
  <r>
    <x v="16"/>
    <s v="MONICA  LEE  CARDONA"/>
    <n v="1"/>
    <n v="36"/>
    <d v="1899-12-31T02:00:00"/>
    <s v="monica..lee..cardona@ejemplo.com"/>
    <x v="2"/>
    <n v="1081.5154"/>
    <n v="7"/>
    <n v="1163.79"/>
    <n v="5.4825867599182097"/>
    <n v="1219.83"/>
    <s v="AD"/>
    <n v="1"/>
    <n v="1330"/>
    <n v="1157"/>
    <n v="0"/>
    <n v="1157"/>
  </r>
  <r>
    <x v="16"/>
    <s v="FRANCISCO ORTENZI"/>
    <n v="11"/>
    <n v="36"/>
    <d v="1899-12-31T02:00:00"/>
    <s v="francisco.ortenzi@ejemplo.com"/>
    <x v="2"/>
    <n v="1081.3356000000001"/>
    <n v="7"/>
    <n v="1163.79"/>
    <n v="5.4825867599182097"/>
    <n v="1219.83"/>
    <s v="AD"/>
    <n v="1"/>
    <n v="1330"/>
    <n v="1157"/>
    <n v="0"/>
    <n v="1157"/>
  </r>
  <r>
    <x v="16"/>
    <s v="GABRIEL BOLONGARO"/>
    <n v="21"/>
    <n v="36"/>
    <d v="1899-12-31T02:00:00"/>
    <s v="gabriel.bolongaro@ejemplo.com"/>
    <x v="2"/>
    <n v="1081.1548"/>
    <n v="7"/>
    <n v="1163.79"/>
    <n v="5.4825867599182097"/>
    <n v="1219.83"/>
    <s v="AD"/>
    <n v="1"/>
    <n v="1330"/>
    <n v="1157"/>
    <n v="0"/>
    <n v="1157"/>
  </r>
  <r>
    <x v="16"/>
    <s v="GUSTAVO CASTILLO"/>
    <n v="22"/>
    <n v="36"/>
    <d v="1899-12-31T02:00:00"/>
    <s v="gustavo.castillo@ejemplo.com"/>
    <x v="5"/>
    <n v="1081.0045"/>
    <n v="8.5"/>
    <n v="1163.79"/>
    <n v="6.6574267799006801"/>
    <n v="1219.83"/>
    <s v="AD"/>
    <n v="1"/>
    <n v="1346"/>
    <n v="1173"/>
    <n v="0"/>
    <n v="1173"/>
  </r>
  <r>
    <x v="16"/>
    <s v="ARACELI JIMENEZ"/>
    <n v="13"/>
    <n v="36"/>
    <d v="1899-12-31T02:00:00"/>
    <s v="araceli.jimenez@ejemplo.com"/>
    <x v="2"/>
    <n v="1081.2987000000001"/>
    <n v="7"/>
    <n v="1163.79"/>
    <n v="5.4825867599182097"/>
    <n v="1219.83"/>
    <s v="AD"/>
    <n v="1"/>
    <n v="1330"/>
    <n v="1157"/>
    <n v="0"/>
    <n v="1157"/>
  </r>
  <r>
    <x v="16"/>
    <s v="RICARDO JIMENEZ"/>
    <n v="14"/>
    <n v="36"/>
    <d v="1899-12-31T02:00:00"/>
    <s v="ricardo.jimenez@ejemplo.com"/>
    <x v="2"/>
    <n v="1081.2808"/>
    <n v="7"/>
    <n v="1163.79"/>
    <n v="5.4825867599182097"/>
    <n v="1219.83"/>
    <s v="AD"/>
    <n v="1"/>
    <n v="1330"/>
    <n v="1157"/>
    <n v="0"/>
    <n v="1157"/>
  </r>
  <r>
    <x v="16"/>
    <s v="VALENTINA DAVALOS"/>
    <n v="15"/>
    <n v="36"/>
    <d v="1899-12-31T02:00:00"/>
    <s v="valentina.davalos@ejemplo.com"/>
    <x v="2"/>
    <n v="1081.2628"/>
    <n v="7"/>
    <n v="1163.79"/>
    <n v="5.4825867599182097"/>
    <n v="1219.83"/>
    <s v="AD"/>
    <n v="1"/>
    <n v="1330"/>
    <n v="1157"/>
    <n v="0"/>
    <n v="1157"/>
  </r>
  <r>
    <x v="16"/>
    <s v="ANGEL RODRIGUEZ"/>
    <n v="17"/>
    <n v="36"/>
    <d v="1899-12-31T02:00:00"/>
    <s v="angel.rodriguez@ejemplo.com"/>
    <x v="2"/>
    <n v="1081.2267999999999"/>
    <n v="7"/>
    <n v="1163.79"/>
    <n v="5.4825867599182097"/>
    <n v="1219.83"/>
    <s v="AD"/>
    <n v="1"/>
    <n v="1330"/>
    <n v="1157"/>
    <n v="0"/>
    <n v="1157"/>
  </r>
  <r>
    <x v="16"/>
    <s v="DIEGO EDUARDO REAL GALVEZ"/>
    <n v="24"/>
    <n v="36"/>
    <d v="1899-12-31T06:00:00"/>
    <s v="NATALIA.PESCADOR@NTRMEDIOS.COM"/>
    <x v="0"/>
    <n v="1080.9799"/>
    <n v="2.5"/>
    <n v="1163.79"/>
    <n v="1.9580666999707901"/>
    <n v="1158.8800000000001"/>
    <s v="AD"/>
    <n v="1"/>
    <n v="1281"/>
    <n v="1108"/>
    <n v="0"/>
    <n v="1108"/>
  </r>
  <r>
    <x v="16"/>
    <s v="JONATHAN MENDOZA"/>
    <n v="18"/>
    <n v="36"/>
    <d v="1899-12-31T02:00:00"/>
    <s v="JOHNMENDOZATATTOO@GMAIL.COM"/>
    <x v="0"/>
    <n v="1081.222"/>
    <n v="2.5"/>
    <n v="1163.79"/>
    <n v="1.9580666999707901"/>
    <n v="1158.8800000000001"/>
    <s v="AD"/>
    <n v="1"/>
    <n v="1281"/>
    <n v="1108"/>
    <n v="0"/>
    <n v="1108"/>
  </r>
  <r>
    <x v="16"/>
    <s v="MARIA GUADALUPE CHAVEZ FIGUEROA"/>
    <n v="4"/>
    <n v="36"/>
    <d v="1899-12-31T02:00:00"/>
    <s v="GUALU_66@YAHOO.COM.MX"/>
    <x v="4"/>
    <n v="1081.3413"/>
    <n v="5"/>
    <n v="1163.79"/>
    <n v="3.9161333999415802"/>
    <n v="609.91"/>
    <s v="IN"/>
    <n v="1"/>
    <n v="1308"/>
    <n v="1135"/>
    <n v="0.5"/>
    <n v="567.5"/>
  </r>
  <r>
    <x v="16"/>
    <s v="MANUEL URUSQUIETA BENÃTEZ"/>
    <n v="24"/>
    <n v="36"/>
    <d v="1899-12-31T23:30:00"/>
    <s v="MANUELURUSQUIETA@HOTMAIL.COM"/>
    <x v="3"/>
    <n v="1080.7503999999999"/>
    <n v="0"/>
    <n v="1163.79"/>
    <n v="0"/>
    <n v="1158.8800000000001"/>
    <s v="AD"/>
    <n v="1"/>
    <n v="1254"/>
    <n v="1081"/>
    <n v="0"/>
    <n v="1081"/>
  </r>
  <r>
    <x v="16"/>
    <s v="JUAN PABLO GARCÃA BALLESTEROS"/>
    <n v="27"/>
    <n v="36"/>
    <d v="1899-12-31T02:00:00"/>
    <s v="BAUTISTAC669@GMAIL.COM"/>
    <x v="3"/>
    <n v="1080.9278999999999"/>
    <n v="0"/>
    <n v="1163.79"/>
    <n v="0"/>
    <n v="1158.8800000000001"/>
    <s v="AD"/>
    <n v="1"/>
    <n v="1254"/>
    <n v="1081"/>
    <n v="0"/>
    <n v="1081"/>
  </r>
  <r>
    <x v="16"/>
    <s v="CARLOS GABRIEL GARCIA RAMIREZ"/>
    <n v="26"/>
    <n v="36"/>
    <d v="1899-12-31T06:00:00"/>
    <s v="carlos.gabriel.garcia.ramirez@ejemplo.com"/>
    <x v="5"/>
    <n v="1080.9348"/>
    <n v="8.5"/>
    <n v="1163.79"/>
    <n v="6.6574267799006801"/>
    <n v="1219.83"/>
    <s v="AD"/>
    <n v="1"/>
    <n v="1346"/>
    <n v="1173"/>
    <n v="0"/>
    <n v="1173"/>
  </r>
  <r>
    <x v="16"/>
    <s v="ROBERTO MARTIN GONZALEZ DE ALBA"/>
    <n v="5"/>
    <n v="36"/>
    <d v="1899-12-31T06:00:00"/>
    <s v="roberto.martin.gonzalez.de.alba@ejemplo.com"/>
    <x v="5"/>
    <n v="1081.44"/>
    <n v="8.5"/>
    <n v="1163.79"/>
    <n v="6.6574267799006801"/>
    <n v="1097.8399999999999"/>
    <s v="AD"/>
    <n v="1"/>
    <n v="1346"/>
    <n v="1173"/>
    <n v="0"/>
    <n v="1173"/>
  </r>
  <r>
    <x v="16"/>
    <s v="ANDREA PAULINA UGARTE GARCIA"/>
    <n v="6"/>
    <n v="36"/>
    <d v="1899-12-31T06:00:00"/>
    <s v="andrea.paulina.ugarte.garcia@ejemplo.com"/>
    <x v="5"/>
    <n v="1081.422"/>
    <n v="8.5"/>
    <n v="1163.79"/>
    <n v="6.6574267799006801"/>
    <n v="1097.8399999999999"/>
    <s v="AD"/>
    <n v="1"/>
    <n v="1346"/>
    <n v="1173"/>
    <n v="0"/>
    <n v="1173"/>
  </r>
  <r>
    <x v="16"/>
    <s v="HUMBERTO DIAZ"/>
    <n v="16"/>
    <n v="36"/>
    <d v="1899-12-31T06:00:00"/>
    <s v="humberto.diaz@ejemplo.com"/>
    <x v="3"/>
    <n v="1081.2405000000001"/>
    <n v="0"/>
    <n v="1163.79"/>
    <n v="0"/>
    <n v="1158.8800000000001"/>
    <s v="AD"/>
    <n v="1"/>
    <n v="1254"/>
    <n v="1081"/>
    <n v="0"/>
    <n v="1081"/>
  </r>
  <r>
    <x v="16"/>
    <s v="JORGE MARTÃN TORIBIO"/>
    <n v="17"/>
    <n v="36"/>
    <d v="1899-12-31T06:00:00"/>
    <s v="jorge.martÃ­n.toribio@ejemplo.com"/>
    <x v="3"/>
    <n v="1081.2225000000001"/>
    <n v="0"/>
    <n v="1163.79"/>
    <n v="0"/>
    <n v="1158.8800000000001"/>
    <s v="AD"/>
    <n v="1"/>
    <n v="1254"/>
    <n v="1081"/>
    <n v="0"/>
    <n v="1081"/>
  </r>
  <r>
    <x v="16"/>
    <s v="MARTÃN ALEJANDRO TORIBIO"/>
    <n v="18"/>
    <n v="36"/>
    <d v="1899-12-31T06:00:00"/>
    <s v="martÃ­n.alejandro.toribio@ejemplo.com"/>
    <x v="3"/>
    <n v="1081.2045000000001"/>
    <n v="0"/>
    <n v="1163.79"/>
    <n v="0"/>
    <n v="1158.8800000000001"/>
    <s v="AD"/>
    <n v="1"/>
    <n v="1254"/>
    <n v="1081"/>
    <n v="0"/>
    <n v="1081"/>
  </r>
  <r>
    <x v="16"/>
    <s v="MICHEL ANTONIO MONTOYA"/>
    <n v="21"/>
    <n v="36"/>
    <d v="1899-12-31T06:00:00"/>
    <s v="michel.antonio.montoya@ejemplo.com"/>
    <x v="3"/>
    <n v="1081.1505999999999"/>
    <n v="0"/>
    <n v="1163.79"/>
    <n v="0"/>
    <n v="1158.8800000000001"/>
    <s v="AD"/>
    <n v="1"/>
    <n v="1254"/>
    <n v="1081"/>
    <n v="0"/>
    <n v="1081"/>
  </r>
  <r>
    <x v="16"/>
    <s v="ANTONY IVAN PARGA"/>
    <n v="30"/>
    <n v="36"/>
    <d v="1899-12-31T06:00:00"/>
    <s v="antony.ivan.parga@ejemplo.com"/>
    <x v="3"/>
    <n v="1080.8617999999999"/>
    <n v="0"/>
    <n v="1163.79"/>
    <n v="0"/>
    <n v="1158.8800000000001"/>
    <s v="AD"/>
    <n v="1"/>
    <n v="1254"/>
    <n v="1081"/>
    <n v="0"/>
    <n v="1081"/>
  </r>
  <r>
    <x v="16"/>
    <s v="BENJAMIN LIMA"/>
    <n v="31"/>
    <n v="36"/>
    <d v="1899-12-31T06:00:00"/>
    <s v="benjamin.lima@ejemplo.com"/>
    <x v="3"/>
    <n v="1080.8435999999999"/>
    <n v="0"/>
    <n v="1163.79"/>
    <n v="0"/>
    <n v="1158.8800000000001"/>
    <s v="AD"/>
    <n v="1"/>
    <n v="1254"/>
    <n v="1081"/>
    <n v="0"/>
    <n v="1081"/>
  </r>
  <r>
    <x v="16"/>
    <s v="FELIPE PARGA"/>
    <n v="25"/>
    <n v="36"/>
    <d v="1899-12-31T06:00:00"/>
    <s v="felipe.parga@ejemplo.com"/>
    <x v="3"/>
    <n v="1080.9518"/>
    <n v="0"/>
    <n v="1163.79"/>
    <n v="0"/>
    <n v="1158.8800000000001"/>
    <s v="AD"/>
    <n v="1"/>
    <n v="1254"/>
    <n v="1081"/>
    <n v="0"/>
    <n v="1081"/>
  </r>
  <r>
    <x v="16"/>
    <s v="JOSE FRANCISCO OLVERA"/>
    <n v="32"/>
    <n v="36"/>
    <d v="1899-12-31T06:00:00"/>
    <s v="jose.francisco.olvera@ejemplo.com"/>
    <x v="5"/>
    <n v="1080.8327999999999"/>
    <n v="8.5"/>
    <n v="1163.79"/>
    <n v="6.6574267799006801"/>
    <n v="1219.83"/>
    <s v="AD"/>
    <n v="1"/>
    <n v="1346"/>
    <n v="1173"/>
    <n v="0"/>
    <n v="1173"/>
  </r>
  <r>
    <x v="16"/>
    <s v="AILEEN FERNANDA RESENDIZ ALVAREZ"/>
    <n v="22"/>
    <n v="36"/>
    <d v="1899-12-31T23:59:00"/>
    <s v="YOMAFERNY@GMAIL.COM"/>
    <x v="3"/>
    <n v="1080.7801999999999"/>
    <n v="0"/>
    <n v="1163.79"/>
    <n v="0"/>
    <n v="1158.8800000000001"/>
    <s v="AD"/>
    <n v="1"/>
    <n v="1254"/>
    <n v="1081"/>
    <n v="0"/>
    <n v="1081"/>
  </r>
  <r>
    <x v="16"/>
    <s v="AILEEN FERNANDA RESENDIZ ALVAREZ"/>
    <n v="22"/>
    <n v="36"/>
    <d v="1899-12-31T23:59:00"/>
    <s v="YOMAFERNY@GMAIL.COM"/>
    <x v="3"/>
    <n v="1080.7801999999999"/>
    <n v="0"/>
    <n v="1163.79"/>
    <n v="0"/>
    <n v="1158.8800000000001"/>
    <s v="AD"/>
    <n v="1"/>
    <n v="1254"/>
    <n v="1081"/>
    <n v="0"/>
    <n v="1081"/>
  </r>
  <r>
    <x v="16"/>
    <s v="AILEEN FERNANDA RESENDIZ ALVAREZ"/>
    <n v="22"/>
    <n v="36"/>
    <d v="1899-12-31T23:59:00"/>
    <s v="YOMAFERNY@GMAIL.COM"/>
    <x v="3"/>
    <n v="1080.7801999999999"/>
    <n v="0"/>
    <n v="1163.79"/>
    <n v="0"/>
    <n v="1158.8800000000001"/>
    <s v="AD"/>
    <n v="1"/>
    <n v="1254"/>
    <n v="1081"/>
    <n v="0"/>
    <n v="1081"/>
  </r>
  <r>
    <x v="16"/>
    <s v="AILEEN FERNANDA RESENDIZ ALVAREZ"/>
    <n v="22"/>
    <n v="36"/>
    <d v="1899-12-31T23:59:00"/>
    <s v="YOMAFERNY@GMAIL.COM"/>
    <x v="3"/>
    <n v="1080.7801999999999"/>
    <n v="0"/>
    <n v="1163.79"/>
    <n v="0"/>
    <n v="1158.8800000000001"/>
    <s v="AD"/>
    <n v="1"/>
    <n v="1254"/>
    <n v="1081"/>
    <n v="0"/>
    <n v="1081"/>
  </r>
  <r>
    <x v="16"/>
    <s v="ARELY ZOÃ‰ ALVAREZ HUERTA"/>
    <n v="19"/>
    <n v="36"/>
    <d v="1899-12-31T23:59:00"/>
    <s v="YOMAFERNY@GMAIL.COM"/>
    <x v="3"/>
    <n v="1080.9666999999999"/>
    <n v="0"/>
    <n v="1163.79"/>
    <n v="0"/>
    <n v="1158.8800000000001"/>
    <s v="AD"/>
    <n v="1"/>
    <n v="1254"/>
    <n v="1081"/>
    <n v="0"/>
    <n v="1081"/>
  </r>
  <r>
    <x v="16"/>
    <s v="ARELY ZOÃ‰ ALVAREZ HUERTA"/>
    <n v="19"/>
    <n v="36"/>
    <d v="1899-12-31T23:59:00"/>
    <s v="YOMAFERNY@GMAIL.COM"/>
    <x v="3"/>
    <n v="1080.9666999999999"/>
    <n v="0"/>
    <n v="1163.79"/>
    <n v="0"/>
    <n v="1158.8800000000001"/>
    <s v="AD"/>
    <n v="1"/>
    <n v="1254"/>
    <n v="1081"/>
    <n v="0"/>
    <n v="1081"/>
  </r>
  <r>
    <x v="16"/>
    <s v="ARELY ZOÃ‰ ALVAREZ HUERTA"/>
    <n v="19"/>
    <n v="36"/>
    <d v="1899-12-31T23:59:00"/>
    <s v="YOMAFERNY@GMAIL.COM"/>
    <x v="3"/>
    <n v="1080.9666999999999"/>
    <n v="0"/>
    <n v="1163.79"/>
    <n v="0"/>
    <n v="1158.8800000000001"/>
    <s v="AD"/>
    <n v="1"/>
    <n v="1254"/>
    <n v="1081"/>
    <n v="0"/>
    <n v="1081"/>
  </r>
  <r>
    <x v="16"/>
    <s v="ARELY ZOÃ‰ ALVAREZ HUERTA"/>
    <n v="19"/>
    <n v="36"/>
    <d v="1899-12-31T23:59:00"/>
    <s v="YOMAFERNY@GMAIL.COM"/>
    <x v="3"/>
    <n v="1080.9666999999999"/>
    <n v="0"/>
    <n v="1163.79"/>
    <n v="0"/>
    <n v="1158.8800000000001"/>
    <s v="AD"/>
    <n v="1"/>
    <n v="1254"/>
    <n v="1081"/>
    <n v="0"/>
    <n v="1081"/>
  </r>
  <r>
    <x v="16"/>
    <s v="YOANNA MARIEL ALVAREZ HUERTA"/>
    <n v="20"/>
    <n v="36"/>
    <d v="1899-12-31T23:59:00"/>
    <s v="YOMAFERNY@GMAIL.COM"/>
    <x v="3"/>
    <n v="1080.9485999999999"/>
    <n v="0"/>
    <n v="1163.79"/>
    <n v="0"/>
    <n v="1158.8800000000001"/>
    <s v="AD"/>
    <n v="1"/>
    <n v="1254"/>
    <n v="1081"/>
    <n v="0"/>
    <n v="1081"/>
  </r>
  <r>
    <x v="16"/>
    <s v="YOANNA MARIEL ALVAREZ HUERTA"/>
    <n v="20"/>
    <n v="36"/>
    <d v="1899-12-31T23:59:00"/>
    <s v="YOMAFERNY@GMAIL.COM"/>
    <x v="3"/>
    <n v="1080.9485999999999"/>
    <n v="0"/>
    <n v="1163.79"/>
    <n v="0"/>
    <n v="1158.8800000000001"/>
    <s v="AD"/>
    <n v="1"/>
    <n v="1254"/>
    <n v="1081"/>
    <n v="0"/>
    <n v="1081"/>
  </r>
  <r>
    <x v="16"/>
    <s v="YOANNA MARIEL ALVAREZ HUERTA"/>
    <n v="20"/>
    <n v="36"/>
    <d v="1899-12-31T23:59:00"/>
    <s v="YOMAFERNY@GMAIL.COM"/>
    <x v="3"/>
    <n v="1080.9485999999999"/>
    <n v="0"/>
    <n v="1163.79"/>
    <n v="0"/>
    <n v="1158.8800000000001"/>
    <s v="AD"/>
    <n v="1"/>
    <n v="1254"/>
    <n v="1081"/>
    <n v="0"/>
    <n v="1081"/>
  </r>
  <r>
    <x v="16"/>
    <s v="YOANNA MARIEL ALVAREZ HUERTA"/>
    <n v="20"/>
    <n v="36"/>
    <d v="1899-12-31T23:59:00"/>
    <s v="YOMAFERNY@GMAIL.COM"/>
    <x v="3"/>
    <n v="1080.9485999999999"/>
    <n v="0"/>
    <n v="1163.79"/>
    <n v="0"/>
    <n v="1158.8800000000001"/>
    <s v="AD"/>
    <n v="1"/>
    <n v="1254"/>
    <n v="1081"/>
    <n v="0"/>
    <n v="1081"/>
  </r>
  <r>
    <x v="16"/>
    <s v="ARIANNE SOPHIA RESENDIZ ALVAREZ"/>
    <n v="23"/>
    <n v="36"/>
    <d v="1899-12-31T23:59:00"/>
    <s v="YOMAFERNY@GMAIL.COM"/>
    <x v="3"/>
    <n v="1080.7621999999999"/>
    <n v="0"/>
    <n v="1163.79"/>
    <n v="0"/>
    <n v="609.91"/>
    <s v="NI"/>
    <n v="1"/>
    <n v="1254"/>
    <n v="1081"/>
    <n v="0.5"/>
    <n v="540.5"/>
  </r>
  <r>
    <x v="16"/>
    <s v="ARIANNE SOPHIA RESENDIZ ALVAREZ"/>
    <n v="23"/>
    <n v="36"/>
    <d v="1899-12-31T23:59:00"/>
    <s v="YOMAFERNY@GMAIL.COM"/>
    <x v="3"/>
    <n v="1080.7621999999999"/>
    <n v="0"/>
    <n v="1163.79"/>
    <n v="0"/>
    <n v="609.91"/>
    <s v="NI"/>
    <n v="1"/>
    <n v="1254"/>
    <n v="1081"/>
    <n v="0.5"/>
    <n v="540.5"/>
  </r>
  <r>
    <x v="16"/>
    <s v="ARIANNE SOPHIA RESENDIZ ALVAREZ"/>
    <n v="23"/>
    <n v="36"/>
    <d v="1899-12-31T23:59:00"/>
    <s v="YOMAFERNY@GMAIL.COM"/>
    <x v="3"/>
    <n v="1080.7621999999999"/>
    <n v="0"/>
    <n v="1163.79"/>
    <n v="0"/>
    <n v="609.91"/>
    <s v="NI"/>
    <n v="1"/>
    <n v="1254"/>
    <n v="1081"/>
    <n v="0.5"/>
    <n v="540.5"/>
  </r>
  <r>
    <x v="16"/>
    <s v="ARIANNE SOPHIA RESENDIZ ALVAREZ"/>
    <n v="23"/>
    <n v="36"/>
    <d v="1899-12-31T23:59:00"/>
    <s v="YOMAFERNY@GMAIL.COM"/>
    <x v="3"/>
    <n v="1080.7621999999999"/>
    <n v="0"/>
    <n v="1163.79"/>
    <n v="0"/>
    <n v="609.91"/>
    <s v="NI"/>
    <n v="1"/>
    <n v="1254"/>
    <n v="1081"/>
    <n v="0.5"/>
    <n v="540.5"/>
  </r>
  <r>
    <x v="16"/>
    <s v="SAÃšL MENDOZA GALVEZ"/>
    <n v="21"/>
    <n v="36"/>
    <d v="1899-12-31T23:59:00"/>
    <s v="SAUKA__69@HOTMAIL.COM"/>
    <x v="3"/>
    <n v="1080.9296999999999"/>
    <n v="0"/>
    <n v="1163.79"/>
    <n v="0"/>
    <n v="1158.8800000000001"/>
    <s v="AD"/>
    <n v="1"/>
    <n v="1254"/>
    <n v="1081"/>
    <n v="0"/>
    <n v="1081"/>
  </r>
  <r>
    <x v="16"/>
    <s v="YAHIR JACALES"/>
    <n v="27"/>
    <n v="36"/>
    <d v="1899-12-31T23:30:00"/>
    <s v="yahir.jacales@ejemplo.com"/>
    <x v="3"/>
    <n v="1080.6893"/>
    <n v="0"/>
    <n v="1163.79"/>
    <n v="0"/>
    <n v="1158.8800000000001"/>
    <s v="AD"/>
    <n v="1"/>
    <n v="1254"/>
    <n v="1081"/>
    <n v="0"/>
    <n v="1081"/>
  </r>
  <r>
    <x v="16"/>
    <s v="IMELDA VERA CARRO"/>
    <n v="35"/>
    <n v="36"/>
    <d v="1899-12-31T11:00:00"/>
    <s v="DMERINOVERA@YAHOO.COM.MX"/>
    <x v="0"/>
    <n v="1080.9336000000001"/>
    <n v="2.5"/>
    <n v="1163.79"/>
    <n v="1.9580666999707901"/>
    <n v="1158.8800000000001"/>
    <s v="AD"/>
    <n v="1"/>
    <n v="1281"/>
    <n v="1108"/>
    <n v="0"/>
    <n v="1108"/>
  </r>
  <r>
    <x v="16"/>
    <s v="MANUEL RODRIGUEZ JUAREZ"/>
    <n v="4"/>
    <n v="36"/>
    <d v="1899-12-31T02:00:00"/>
    <s v="JURIDICO@ANMARASESORES.COM.MX"/>
    <x v="0"/>
    <n v="1081.4951000000001"/>
    <n v="2.5"/>
    <n v="1163.79"/>
    <n v="1.9580666999707901"/>
    <n v="1158.8800000000001"/>
    <s v="AD"/>
    <n v="1"/>
    <n v="1282"/>
    <n v="1109"/>
    <n v="0"/>
    <n v="1109"/>
  </r>
  <r>
    <x v="16"/>
    <s v="VICTOR OSORIO MORALES"/>
    <n v="32"/>
    <n v="36"/>
    <d v="1899-12-31T23:59:00"/>
    <s v="VICTOR200292@GMAIL.COM"/>
    <x v="3"/>
    <n v="1080.5989"/>
    <n v="0"/>
    <n v="1163.79"/>
    <n v="0"/>
    <n v="1158.8800000000001"/>
    <s v="AD"/>
    <n v="1"/>
    <n v="1253"/>
    <n v="1081"/>
    <n v="0"/>
    <n v="1081"/>
  </r>
  <r>
    <x v="16"/>
    <s v="ALEJANDRO VIDAL ACEVEDO"/>
    <n v="24"/>
    <n v="36"/>
    <d v="1899-12-31T23:59:00"/>
    <s v="ALEJANDROVIDALACEVEDO01@GMAIL.COM"/>
    <x v="3"/>
    <n v="1080.7427"/>
    <n v="0"/>
    <n v="1163.79"/>
    <n v="0"/>
    <n v="1158.8800000000001"/>
    <s v="AD"/>
    <n v="1"/>
    <n v="1254"/>
    <n v="1081"/>
    <n v="0"/>
    <n v="1081"/>
  </r>
  <r>
    <x v="16"/>
    <s v="JUAN CARLOS FLORES CORDOVA"/>
    <n v="19"/>
    <n v="36"/>
    <d v="1899-12-31T23:30:00"/>
    <s v="juan.carlos.flores.cordova@ejemplo.com"/>
    <x v="5"/>
    <n v="1080.9575"/>
    <n v="8.5"/>
    <n v="1163.79"/>
    <n v="6.6574267799006801"/>
    <n v="1219.83"/>
    <s v="AD"/>
    <n v="1"/>
    <n v="1346"/>
    <n v="1173"/>
    <n v="0"/>
    <n v="1173"/>
  </r>
  <r>
    <x v="16"/>
    <s v="JUAN CARLOS FLORES ALCANTARA"/>
    <n v="20"/>
    <n v="36"/>
    <d v="1899-12-31T23:30:00"/>
    <s v="juan.carlos.flores.alcantara@ejemplo.com"/>
    <x v="4"/>
    <n v="1080.9395999999999"/>
    <n v="5"/>
    <n v="1163.79"/>
    <n v="3.9161333999415802"/>
    <n v="609.91"/>
    <s v="IN"/>
    <n v="1"/>
    <n v="1308"/>
    <n v="1135"/>
    <n v="0.5"/>
    <n v="567.5"/>
  </r>
  <r>
    <x v="16"/>
    <s v="JESUS ARELLANO VALLEJO"/>
    <n v="27"/>
    <n v="36"/>
    <d v="1899-12-31T23:59:00"/>
    <s v="JESUSVALLEJO.0292@GMAIL.COM"/>
    <x v="3"/>
    <n v="1080.6878999999999"/>
    <n v="0"/>
    <n v="1163.79"/>
    <n v="0"/>
    <n v="1158.8800000000001"/>
    <s v="AD"/>
    <n v="1"/>
    <n v="1254"/>
    <n v="1081"/>
    <n v="0"/>
    <n v="1081"/>
  </r>
  <r>
    <x v="16"/>
    <s v="EDWIN ORTIZ RODRIGUEZ"/>
    <n v="29"/>
    <n v="36"/>
    <d v="1899-12-31T23:59:00"/>
    <s v="EORTIZ@SEVIME.COM"/>
    <x v="3"/>
    <n v="1080.6503"/>
    <n v="0"/>
    <n v="1163.79"/>
    <n v="0"/>
    <n v="1158.8800000000001"/>
    <s v="AD"/>
    <n v="1"/>
    <n v="1254"/>
    <n v="1081"/>
    <n v="0"/>
    <n v="1081"/>
  </r>
  <r>
    <x v="16"/>
    <s v="GUSTAVO LUGO MORALES"/>
    <n v="28"/>
    <n v="36"/>
    <d v="1899-12-31T23:59:00"/>
    <s v="UVREFLECTIONMX@GMAIL.COM"/>
    <x v="3"/>
    <n v="1080.6676"/>
    <n v="0"/>
    <n v="1163.79"/>
    <n v="0"/>
    <n v="1158.8800000000001"/>
    <s v="AD"/>
    <n v="1"/>
    <n v="1254"/>
    <n v="1081"/>
    <n v="0"/>
    <n v="1081"/>
  </r>
  <r>
    <x v="16"/>
    <s v="MARIA MONSERRAT VAZQUEZ GUTIERREZ"/>
    <n v="24"/>
    <n v="36"/>
    <d v="1899-12-31T06:00:00"/>
    <s v="SUP.OP.NALEY@MRSUSHI.MX"/>
    <x v="0"/>
    <n v="1081.1297999999999"/>
    <n v="2.5"/>
    <n v="1163.79"/>
    <n v="1.9580666999707901"/>
    <n v="1158.8800000000001"/>
    <s v="AD"/>
    <n v="1"/>
    <n v="1281"/>
    <n v="1108"/>
    <n v="0"/>
    <n v="1108"/>
  </r>
  <r>
    <x v="16"/>
    <s v="ROLANDO AVILA CEDILLO"/>
    <n v="18"/>
    <n v="36"/>
    <d v="1899-12-31T02:00:00"/>
    <s v="ROLAVILA@HOTMAIL.COM"/>
    <x v="2"/>
    <n v="1081.3721"/>
    <n v="7"/>
    <n v="1163.79"/>
    <n v="5.4825867599182097"/>
    <n v="1158.8800000000001"/>
    <s v="AD"/>
    <n v="1"/>
    <n v="1330"/>
    <n v="1157"/>
    <n v="0"/>
    <n v="1157"/>
  </r>
  <r>
    <x v="16"/>
    <s v="MARIA MONDRAGON"/>
    <n v="33"/>
    <n v="36"/>
    <d v="1899-12-31T11:00:00"/>
    <s v="maria.mondragon@ejemplo.com"/>
    <x v="4"/>
    <n v="1080.8821"/>
    <n v="5"/>
    <n v="1163.79"/>
    <n v="3.9161333999415802"/>
    <n v="609.91"/>
    <s v="IN"/>
    <n v="1"/>
    <n v="1308"/>
    <n v="1135"/>
    <n v="0.5"/>
    <n v="567.5"/>
  </r>
  <r>
    <x v="16"/>
    <s v="RICARDO MONDRAGON"/>
    <n v="34"/>
    <n v="36"/>
    <d v="1899-12-31T11:00:00"/>
    <s v="ricardo.mondragon@ejemplo.com"/>
    <x v="1"/>
    <n v="1080.8641"/>
    <n v="10"/>
    <n v="1163.79"/>
    <n v="7.8322667998831603"/>
    <n v="609.91"/>
    <s v="NI"/>
    <n v="1"/>
    <n v="1362"/>
    <n v="1189"/>
    <n v="0.5"/>
    <n v="594.5"/>
  </r>
  <r>
    <x v="16"/>
    <s v="OSCAR RAMÃREZ ALMEIDA"/>
    <n v="13"/>
    <n v="36"/>
    <d v="1899-12-31T06:00:00"/>
    <s v="OSRAM.ALMEIDA@GMAIL.COM"/>
    <x v="0"/>
    <n v="1081.4592"/>
    <n v="2.5"/>
    <n v="1163.79"/>
    <n v="1.9580666999707901"/>
    <n v="1158.8800000000001"/>
    <s v="AD"/>
    <n v="1"/>
    <n v="1282"/>
    <n v="1108"/>
    <n v="0"/>
    <n v="1108"/>
  </r>
  <r>
    <x v="16"/>
    <s v="MIGUEL ÃNGEL CHÃVEZ LORENZANA"/>
    <n v="3"/>
    <n v="36"/>
    <d v="1899-12-31T06:00:00"/>
    <s v="MCHAVEZ@COLORCON.COM"/>
    <x v="3"/>
    <n v="1081.5728999999999"/>
    <n v="0"/>
    <n v="1163.79"/>
    <n v="0"/>
    <n v="1158.8800000000001"/>
    <s v="AD"/>
    <n v="1"/>
    <n v="1255"/>
    <n v="1082"/>
    <n v="0"/>
    <n v="1082"/>
  </r>
  <r>
    <x v="16"/>
    <s v="CARLOS ALBERTO ALVARADO LÃ“PEZ"/>
    <n v="9"/>
    <n v="36"/>
    <d v="1899-12-31T23:59:00"/>
    <s v="CARLOSAAL@HOTMAIL.COM"/>
    <x v="3"/>
    <n v="1081.1400000000001"/>
    <n v="0"/>
    <n v="1163.79"/>
    <n v="0"/>
    <n v="1158.8800000000001"/>
    <s v="AD"/>
    <n v="1"/>
    <n v="1254"/>
    <n v="1081"/>
    <n v="0"/>
    <n v="1081"/>
  </r>
  <r>
    <x v="16"/>
    <s v="ALAN SOLEDAD ROMERO"/>
    <n v="5"/>
    <n v="36"/>
    <d v="1899-12-31T23:59:00"/>
    <s v="ALAN.SOLEDAD.R@GMAIL.COM"/>
    <x v="3"/>
    <n v="1081.2118"/>
    <n v="0"/>
    <n v="1163.79"/>
    <n v="0"/>
    <n v="1158.8800000000001"/>
    <s v="AD"/>
    <n v="1"/>
    <n v="1254"/>
    <n v="1081"/>
    <n v="0"/>
    <n v="1081"/>
  </r>
  <r>
    <x v="16"/>
    <s v="IVONNE ADRIANA RAMÃREZ MENDOZA"/>
    <n v="33"/>
    <n v="36"/>
    <d v="1899-12-31T23:30:00"/>
    <s v="ARISIVOBONI@GMAIL.COM"/>
    <x v="0"/>
    <n v="1080.5753999999999"/>
    <n v="2.5"/>
    <n v="1163.79"/>
    <n v="1.9580666999707901"/>
    <n v="1158.8800000000001"/>
    <s v="AD"/>
    <n v="1"/>
    <n v="1280"/>
    <n v="1108"/>
    <n v="0"/>
    <n v="1108"/>
  </r>
  <r>
    <x v="16"/>
    <s v="ANA HERMELINDA MENDOZA"/>
    <n v="36"/>
    <n v="36"/>
    <d v="1899-12-31T06:00:00"/>
    <s v="JUFLCH23@GMAIL.COM"/>
    <x v="3"/>
    <n v="1080.9119000000001"/>
    <n v="0"/>
    <n v="1163.79"/>
    <n v="0"/>
    <n v="1158.8800000000001"/>
    <s v="AD"/>
    <n v="1"/>
    <n v="1254"/>
    <n v="1081"/>
    <n v="0"/>
    <n v="1081"/>
  </r>
  <r>
    <x v="16"/>
    <s v="FABIÃN ALONSO GÃ“MEZ RUBIO"/>
    <n v="12"/>
    <n v="36"/>
    <d v="1899-12-31T23:59:00"/>
    <s v="FABIANGOMEZ314@HOTMAIL.COM"/>
    <x v="3"/>
    <n v="1081.0853"/>
    <n v="0"/>
    <n v="1163.79"/>
    <n v="0"/>
    <n v="1158.8800000000001"/>
    <s v="AD"/>
    <n v="1"/>
    <n v="1254"/>
    <n v="1081"/>
    <n v="0"/>
    <n v="1081"/>
  </r>
  <r>
    <x v="16"/>
    <s v="FABIÃN ALONSO GÃ“MEZ RUBIO"/>
    <n v="12"/>
    <n v="36"/>
    <d v="1899-12-31T23:59:00"/>
    <s v="FABIANGOMEZ314@HOTMAIL.COM"/>
    <x v="3"/>
    <n v="1081.0853"/>
    <n v="0"/>
    <n v="1163.79"/>
    <n v="0"/>
    <n v="1158.8800000000001"/>
    <s v="AD"/>
    <n v="1"/>
    <n v="1254"/>
    <n v="1081"/>
    <n v="0"/>
    <n v="1081"/>
  </r>
  <r>
    <x v="16"/>
    <s v="VICTOR ROMÃN FRANCO ORE"/>
    <n v="26"/>
    <n v="36"/>
    <d v="1899-12-31T23:59:00"/>
    <s v="FABIANGOMEZ314@HOTMAIL.COM"/>
    <x v="3"/>
    <n v="1080.7012"/>
    <n v="0"/>
    <n v="1163.79"/>
    <n v="0"/>
    <n v="1158.8800000000001"/>
    <s v="AD"/>
    <n v="1"/>
    <n v="1254"/>
    <n v="1081"/>
    <n v="0"/>
    <n v="1081"/>
  </r>
  <r>
    <x v="16"/>
    <s v="VICTOR ROMÃN FRANCO ORE"/>
    <n v="26"/>
    <n v="36"/>
    <d v="1899-12-31T23:59:00"/>
    <s v="FABIANGOMEZ314@HOTMAIL.COM"/>
    <x v="3"/>
    <n v="1080.7012"/>
    <n v="0"/>
    <n v="1163.79"/>
    <n v="0"/>
    <n v="1158.8800000000001"/>
    <s v="AD"/>
    <n v="1"/>
    <n v="1254"/>
    <n v="1081"/>
    <n v="0"/>
    <n v="1081"/>
  </r>
  <r>
    <x v="16"/>
    <s v="DENISE ESQUIVEL"/>
    <n v="6"/>
    <n v="36"/>
    <d v="1899-12-31T23:30:00"/>
    <s v="denise.esquivel@ejemplo.com"/>
    <x v="5"/>
    <n v="1081.1931999999999"/>
    <n v="8.5"/>
    <n v="1163.79"/>
    <n v="6.6574267799006801"/>
    <n v="1219.83"/>
    <s v="AD"/>
    <n v="1"/>
    <n v="1346"/>
    <n v="1173"/>
    <n v="0"/>
    <n v="1173"/>
  </r>
  <r>
    <x v="16"/>
    <s v="JESUS LARIOS"/>
    <n v="5"/>
    <n v="36"/>
    <d v="1899-12-31T23:30:00"/>
    <s v="jesus.larios@ejemplo.com"/>
    <x v="1"/>
    <n v="1081.2112"/>
    <n v="10"/>
    <n v="1163.79"/>
    <n v="7.8322667998831603"/>
    <n v="609.91"/>
    <s v="NI"/>
    <n v="1"/>
    <n v="1362"/>
    <n v="1189"/>
    <n v="0.5"/>
    <n v="594.5"/>
  </r>
  <r>
    <x v="16"/>
    <s v="CRISTIAN ALEJANDRO ARRIAGA HERNANDEZ"/>
    <n v="1"/>
    <n v="36"/>
    <d v="1899-12-31T23:30:00"/>
    <s v="cristian.alejandro.arriaga.hernandez@ejemplo.com"/>
    <x v="0"/>
    <n v="1081.4440999999999"/>
    <n v="2.5"/>
    <n v="1163.79"/>
    <n v="1.9580666999707901"/>
    <n v="1158.8800000000001"/>
    <s v="AD"/>
    <n v="1"/>
    <n v="1282"/>
    <n v="1108"/>
    <n v="0"/>
    <n v="1108"/>
  </r>
  <r>
    <x v="16"/>
    <s v="ALEJANDRA MONTEMAYOR DRAGONNE"/>
    <n v="15"/>
    <n v="36"/>
    <d v="1899-12-31T23:30:00"/>
    <s v="ALPEGRA@GMAIL.COM"/>
    <x v="2"/>
    <n v="1081.0308"/>
    <n v="7"/>
    <n v="1163.79"/>
    <n v="5.4825867599182097"/>
    <n v="1158.8800000000001"/>
    <s v="AD"/>
    <n v="1"/>
    <n v="1330"/>
    <n v="1157"/>
    <n v="0"/>
    <n v="1157"/>
  </r>
  <r>
    <x v="16"/>
    <s v="HUGO HERIBERTO SERRANO SÃNCHEZ"/>
    <n v="33"/>
    <n v="36"/>
    <d v="1899-12-31T23:59:00"/>
    <s v="HUGO.SERRANO@HOTMAIL.COM"/>
    <x v="3"/>
    <n v="1080.5744999999999"/>
    <n v="0"/>
    <n v="1163.79"/>
    <n v="0"/>
    <n v="1158.8800000000001"/>
    <s v="AD"/>
    <n v="1"/>
    <n v="1253"/>
    <n v="1081"/>
    <n v="0"/>
    <n v="1081"/>
  </r>
  <r>
    <x v="16"/>
    <s v="LUISA RONELI HEREDIA SALAZAR"/>
    <n v="25"/>
    <n v="36"/>
    <d v="1899-12-31T23:30:00"/>
    <s v="VALE18SLZR@ICLOUD.COM"/>
    <x v="3"/>
    <n v="1080.7175"/>
    <n v="0"/>
    <n v="1163.79"/>
    <n v="0"/>
    <n v="1158.8800000000001"/>
    <s v="AD"/>
    <n v="1"/>
    <n v="1254"/>
    <n v="1081"/>
    <n v="0"/>
    <n v="1081"/>
  </r>
  <r>
    <x v="16"/>
    <s v="LUISA RONELI HEREDIA SALAZAR"/>
    <n v="25"/>
    <n v="36"/>
    <d v="1899-12-31T23:30:00"/>
    <s v="VALE18SLZR@ICLOUD.COM"/>
    <x v="3"/>
    <n v="1080.7175"/>
    <n v="0"/>
    <n v="1163.79"/>
    <n v="0"/>
    <n v="1158.8800000000001"/>
    <s v="AD"/>
    <n v="1"/>
    <n v="1254"/>
    <n v="1081"/>
    <n v="0"/>
    <n v="1081"/>
  </r>
  <r>
    <x v="16"/>
    <s v="VALENTINA OSUNA GUERRERO"/>
    <n v="22"/>
    <n v="36"/>
    <d v="1899-12-31T23:30:00"/>
    <s v="VALE18SLZR@ICLOUD.COM"/>
    <x v="3"/>
    <n v="1080.7717"/>
    <n v="0"/>
    <n v="1163.79"/>
    <n v="0"/>
    <n v="1158.8800000000001"/>
    <s v="AD"/>
    <n v="1"/>
    <n v="1254"/>
    <n v="1081"/>
    <n v="0"/>
    <n v="1081"/>
  </r>
  <r>
    <x v="16"/>
    <s v="VALENTINA OSUNA GUERRERO"/>
    <n v="22"/>
    <n v="36"/>
    <d v="1899-12-31T23:30:00"/>
    <s v="VALE18SLZR@ICLOUD.COM"/>
    <x v="3"/>
    <n v="1080.7717"/>
    <n v="0"/>
    <n v="1163.79"/>
    <n v="0"/>
    <n v="1158.8800000000001"/>
    <s v="AD"/>
    <n v="1"/>
    <n v="1254"/>
    <n v="1081"/>
    <n v="0"/>
    <n v="1081"/>
  </r>
  <r>
    <x v="16"/>
    <s v="GEORGINA SARMIENTO MONTALVO"/>
    <n v="14"/>
    <n v="36"/>
    <d v="1899-12-31T23:30:00"/>
    <s v="GSM2466@GMAIL.COM"/>
    <x v="2"/>
    <n v="1081.0433"/>
    <n v="7"/>
    <n v="1163.79"/>
    <n v="5.4825867599182097"/>
    <n v="1158.8800000000001"/>
    <s v="AD"/>
    <n v="1"/>
    <n v="1330"/>
    <n v="1157"/>
    <n v="0"/>
    <n v="1157"/>
  </r>
  <r>
    <x v="16"/>
    <s v="CAMERINO HERNÃNDEZ SANCHEZ"/>
    <n v="9"/>
    <n v="36"/>
    <d v="1899-12-31T23:30:00"/>
    <s v="CAMER-29@HOTMAIL.COM"/>
    <x v="4"/>
    <n v="1081.1368"/>
    <n v="5"/>
    <n v="1163.79"/>
    <n v="3.9161333999415802"/>
    <n v="609.91"/>
    <s v="IN"/>
    <n v="1"/>
    <n v="1308"/>
    <n v="1135"/>
    <n v="0.5"/>
    <n v="567.5"/>
  </r>
  <r>
    <x v="16"/>
    <s v="CESAR OLVERA MORALES"/>
    <n v="8"/>
    <n v="36"/>
    <d v="1899-12-31T23:59:00"/>
    <s v="cesar.olvera.morales@ejemplo.com"/>
    <x v="5"/>
    <n v="1081.1509000000001"/>
    <n v="8.5"/>
    <n v="1163.79"/>
    <n v="6.6574267799006801"/>
    <n v="1219.83"/>
    <s v="AD"/>
    <n v="1"/>
    <n v="1346"/>
    <n v="1173"/>
    <n v="0"/>
    <n v="1173"/>
  </r>
  <r>
    <x v="16"/>
    <s v="OSVALDO GARCIA DOMINGUEZ"/>
    <n v="8"/>
    <n v="36"/>
    <d v="1899-12-31T23:30:00"/>
    <s v="OSVALDOGARCIADOMINGUEZ1997@GMAIL.COM"/>
    <x v="3"/>
    <n v="1081.155"/>
    <n v="0"/>
    <n v="1163.79"/>
    <n v="0"/>
    <n v="1158.8800000000001"/>
    <s v="AD"/>
    <n v="1"/>
    <n v="1254"/>
    <n v="1081"/>
    <n v="0"/>
    <n v="1081"/>
  </r>
  <r>
    <x v="16"/>
    <s v="RUBEN ALEXIS RODRIGUEZ GARCIA"/>
    <n v="2"/>
    <n v="36"/>
    <d v="1899-12-31T06:00:00"/>
    <s v="SAMANTHA@RSAV.MX"/>
    <x v="0"/>
    <n v="1081.6522"/>
    <n v="2.5"/>
    <n v="1163.79"/>
    <n v="1.9580666999707901"/>
    <n v="1158.8800000000001"/>
    <s v="AD"/>
    <n v="1"/>
    <n v="1282"/>
    <n v="1109"/>
    <n v="0"/>
    <n v="1109"/>
  </r>
  <r>
    <x v="16"/>
    <s v="ALMA ROSA SALAZAR DELGADO"/>
    <n v="2"/>
    <n v="36"/>
    <d v="1899-12-31T02:00:00"/>
    <s v="JESSET@SPECSMEX.COM"/>
    <x v="3"/>
    <n v="1081.6410000000001"/>
    <n v="0"/>
    <n v="1163.79"/>
    <n v="0"/>
    <n v="1158.8800000000001"/>
    <s v="AD"/>
    <n v="1"/>
    <n v="1255"/>
    <n v="1082"/>
    <n v="0"/>
    <n v="1082"/>
  </r>
  <r>
    <x v="16"/>
    <s v="ALMA ROSA SALAZAR DELGADO"/>
    <n v="2"/>
    <n v="36"/>
    <d v="1899-12-31T02:00:00"/>
    <s v="JESSET@SPECSMEX.COM"/>
    <x v="3"/>
    <n v="1081.6410000000001"/>
    <n v="0"/>
    <n v="1163.79"/>
    <n v="0"/>
    <n v="1158.8800000000001"/>
    <s v="AD"/>
    <n v="1"/>
    <n v="1255"/>
    <n v="1082"/>
    <n v="0"/>
    <n v="1082"/>
  </r>
  <r>
    <x v="16"/>
    <s v="BARBARA RODRIGUEZ CORRALES"/>
    <n v="3"/>
    <n v="36"/>
    <d v="1899-12-31T02:00:00"/>
    <s v="JESSET@SPECSMEX.COM"/>
    <x v="3"/>
    <n v="1081.623"/>
    <n v="0"/>
    <n v="1163.79"/>
    <n v="0"/>
    <n v="1158.8800000000001"/>
    <s v="AD"/>
    <n v="1"/>
    <n v="1255"/>
    <n v="1082"/>
    <n v="0"/>
    <n v="1082"/>
  </r>
  <r>
    <x v="16"/>
    <s v="BARBARA RODRIGUEZ CORRALES"/>
    <n v="3"/>
    <n v="36"/>
    <d v="1899-12-31T02:00:00"/>
    <s v="JESSET@SPECSMEX.COM"/>
    <x v="3"/>
    <n v="1081.623"/>
    <n v="0"/>
    <n v="1163.79"/>
    <n v="0"/>
    <n v="1158.8800000000001"/>
    <s v="AD"/>
    <n v="1"/>
    <n v="1255"/>
    <n v="1082"/>
    <n v="0"/>
    <n v="1082"/>
  </r>
  <r>
    <x v="16"/>
    <s v="ADRIANA MAGAÃ‘A"/>
    <n v="21"/>
    <n v="36"/>
    <d v="1899-12-31T02:00:00"/>
    <s v="adriana.magaÃ±a@ejemplo.com"/>
    <x v="2"/>
    <n v="1081.2996000000001"/>
    <n v="7"/>
    <n v="1163.79"/>
    <n v="5.4825867599182097"/>
    <n v="1219.83"/>
    <s v="AD"/>
    <n v="1"/>
    <n v="1330"/>
    <n v="1157"/>
    <n v="0"/>
    <n v="1157"/>
  </r>
  <r>
    <x v="16"/>
    <s v="MOISES MAGAÃ‘A"/>
    <n v="24"/>
    <n v="36"/>
    <d v="1899-12-31T02:00:00"/>
    <s v="moises.magaÃ±a@ejemplo.com"/>
    <x v="2"/>
    <n v="1081.1128000000001"/>
    <n v="7"/>
    <n v="1163.79"/>
    <n v="5.4825867599182097"/>
    <n v="1219.83"/>
    <s v="AD"/>
    <n v="1"/>
    <n v="1330"/>
    <n v="1157"/>
    <n v="0"/>
    <n v="1157"/>
  </r>
  <r>
    <x v="16"/>
    <s v="AXEL MAGAÃ‘A"/>
    <n v="27"/>
    <n v="36"/>
    <d v="1899-12-31T02:00:00"/>
    <s v="axel.magaÃ±a@ejemplo.com"/>
    <x v="2"/>
    <n v="1081.0591999999999"/>
    <n v="7"/>
    <n v="1163.79"/>
    <n v="5.4825867599182097"/>
    <n v="1219.83"/>
    <s v="AD"/>
    <n v="1"/>
    <n v="1330"/>
    <n v="1157"/>
    <n v="0"/>
    <n v="1157"/>
  </r>
  <r>
    <x v="16"/>
    <s v="JULIAN RAMIREZ"/>
    <n v="17"/>
    <n v="36"/>
    <d v="1899-12-31T02:00:00"/>
    <s v="julian.ramirez@ejemplo.com"/>
    <x v="2"/>
    <n v="1081.3712"/>
    <n v="7"/>
    <n v="1163.79"/>
    <n v="5.4825867599182097"/>
    <n v="1219.83"/>
    <s v="AD"/>
    <n v="1"/>
    <n v="1330"/>
    <n v="1157"/>
    <n v="0"/>
    <n v="1157"/>
  </r>
  <r>
    <x v="16"/>
    <s v="THALÃA FERNANDA COTA VALDEZ"/>
    <n v="27"/>
    <n v="36"/>
    <d v="1899-12-31T06:00:00"/>
    <s v="THALIACOTA@GMAIL.COM"/>
    <x v="0"/>
    <n v="1081.0695000000001"/>
    <n v="2.5"/>
    <n v="1163.79"/>
    <n v="1.9580666999707901"/>
    <n v="1158.8800000000001"/>
    <s v="AD"/>
    <n v="1"/>
    <n v="1281"/>
    <n v="1108"/>
    <n v="0"/>
    <n v="1108"/>
  </r>
  <r>
    <x v="16"/>
    <s v="ERIC URIEL RICARDO DIAZ PARTIDA"/>
    <n v="8"/>
    <n v="36"/>
    <d v="1899-12-31T02:00:00"/>
    <s v="LICERICDIAZ@GMAIL.COM"/>
    <x v="0"/>
    <n v="1081.5331000000001"/>
    <n v="2.5"/>
    <n v="1163.79"/>
    <n v="1.9580666999707901"/>
    <n v="1158.8800000000001"/>
    <s v="AD"/>
    <n v="1"/>
    <n v="1282"/>
    <n v="1109"/>
    <n v="0"/>
    <n v="1109"/>
  </r>
  <r>
    <x v="16"/>
    <s v="VANESSA ZOE ACOSTA MARMOLEJO"/>
    <n v="9"/>
    <n v="36"/>
    <d v="1899-12-31T02:00:00"/>
    <s v="LICERICDIAZ@GMAIL.COM"/>
    <x v="0"/>
    <n v="1081.5150000000001"/>
    <n v="2.5"/>
    <n v="1163.79"/>
    <n v="1.9580666999707901"/>
    <n v="1158.8800000000001"/>
    <s v="AD"/>
    <n v="1"/>
    <n v="1282"/>
    <n v="1109"/>
    <n v="0"/>
    <n v="1109"/>
  </r>
  <r>
    <x v="16"/>
    <s v="HERIBERTO VILCHIS VILCHIS"/>
    <n v="12"/>
    <n v="36"/>
    <d v="1899-12-31T02:00:00"/>
    <s v="GRAYFOX123@HOTMAIL.COM"/>
    <x v="0"/>
    <n v="1081.4736"/>
    <n v="2.5"/>
    <n v="1163.79"/>
    <n v="1.9580666999707901"/>
    <n v="1158.8800000000001"/>
    <s v="AD"/>
    <n v="1"/>
    <n v="1282"/>
    <n v="1109"/>
    <n v="0"/>
    <n v="1109"/>
  </r>
  <r>
    <x v="16"/>
    <s v="URIEL IVAN ROMERO SOLARES"/>
    <n v="10"/>
    <n v="36"/>
    <d v="1899-12-31T02:00:00"/>
    <s v="GRAYFOX123@HOTMAIL.COM"/>
    <x v="0"/>
    <n v="1081.5096000000001"/>
    <n v="2.5"/>
    <n v="1163.79"/>
    <n v="1.9580666999707901"/>
    <n v="1158.8800000000001"/>
    <s v="AD"/>
    <n v="1"/>
    <n v="1282"/>
    <n v="1109"/>
    <n v="0"/>
    <n v="1109"/>
  </r>
  <r>
    <x v="16"/>
    <s v="LUIS ENRIQUE SALDAÃ‘A CARRILLO"/>
    <n v="1"/>
    <n v="36"/>
    <d v="1899-12-31T02:00:00"/>
    <s v="luis.enrique.saldaÃ±a.carrillo@ejemplo.com"/>
    <x v="2"/>
    <n v="1081.6590000000001"/>
    <n v="7"/>
    <n v="1163.79"/>
    <n v="5.4825867599182097"/>
    <n v="1097.8399999999999"/>
    <s v="AD"/>
    <n v="1"/>
    <n v="1330"/>
    <n v="1157"/>
    <n v="0"/>
    <n v="1157"/>
  </r>
  <r>
    <x v="16"/>
    <s v="MAURICIO SANCHEZ MOLINA"/>
    <n v="16"/>
    <n v="36"/>
    <d v="1899-12-31T02:00:00"/>
    <s v="CONTEMPOCOM@HOTMAIL.COM"/>
    <x v="0"/>
    <n v="1081.4015999999999"/>
    <n v="2.5"/>
    <n v="1163.79"/>
    <n v="1.9580666999707901"/>
    <n v="1158.8800000000001"/>
    <s v="AD"/>
    <n v="1"/>
    <n v="1281"/>
    <n v="1108"/>
    <n v="0"/>
    <n v="1108"/>
  </r>
  <r>
    <x v="16"/>
    <s v="ANGEL CANALES"/>
    <n v="32"/>
    <n v="36"/>
    <d v="1899-12-31T02:00:00"/>
    <s v="ETNPASES@GMAIL.COM"/>
    <x v="2"/>
    <n v="1078.9367999999999"/>
    <n v="7"/>
    <n v="1163.79"/>
    <n v="5.4825867599182097"/>
    <n v="1219.83"/>
    <s v="AD"/>
    <n v="1"/>
    <n v="1327"/>
    <n v="1154"/>
    <n v="0"/>
    <n v="1154"/>
  </r>
  <r>
    <x v="16"/>
    <s v="GABRIELA MARTINEZ MARTINEZ"/>
    <n v="6"/>
    <n v="36"/>
    <d v="1899-12-31T02:00:00"/>
    <s v="gabriela.martinez.martinez@ejemplo.com"/>
    <x v="2"/>
    <n v="1081.5681999999999"/>
    <n v="7"/>
    <n v="1163.79"/>
    <n v="5.4825867599182097"/>
    <n v="1219.83"/>
    <s v="AD"/>
    <n v="1"/>
    <n v="1330"/>
    <n v="1157"/>
    <n v="0"/>
    <n v="1157"/>
  </r>
  <r>
    <x v="16"/>
    <s v="CHRISTIAN RAUL VALERIO LÃ“PEZ"/>
    <n v="36"/>
    <n v="36"/>
    <d v="1899-12-31T02:00:00"/>
    <s v="CRIS.VALERIO.BRUJITO123@GMAIL.COM"/>
    <x v="0"/>
    <n v="1080.9087999999999"/>
    <n v="2.5"/>
    <n v="1163.79"/>
    <n v="1.9580666999707901"/>
    <n v="1158.8800000000001"/>
    <s v="AD"/>
    <n v="1"/>
    <n v="1281"/>
    <n v="1108"/>
    <n v="0"/>
    <n v="1108"/>
  </r>
  <r>
    <x v="16"/>
    <s v="CAMILA ACEVES"/>
    <n v="26"/>
    <n v="36"/>
    <d v="1899-12-31T02:00:00"/>
    <s v="camila.aceves@ejemplo.com"/>
    <x v="0"/>
    <n v="1081.0886"/>
    <n v="2.5"/>
    <n v="1163.79"/>
    <n v="1.9580666999707901"/>
    <n v="1158.8800000000001"/>
    <s v="AD"/>
    <n v="1"/>
    <n v="1281"/>
    <n v="1108"/>
    <n v="0"/>
    <n v="1108"/>
  </r>
  <r>
    <x v="16"/>
    <s v="GABRIEL HERNANDEZ"/>
    <n v="23"/>
    <n v="36"/>
    <d v="1899-12-31T02:00:00"/>
    <s v="gabriel.hernandez@ejemplo.com"/>
    <x v="2"/>
    <n v="1081.1301000000001"/>
    <n v="7"/>
    <n v="1163.79"/>
    <n v="5.4825867599182097"/>
    <n v="1219.83"/>
    <s v="AD"/>
    <n v="1"/>
    <n v="1330"/>
    <n v="1157"/>
    <n v="0"/>
    <n v="1157"/>
  </r>
  <r>
    <x v="16"/>
    <s v="ANDRES ENRIQUE BAEZ DIAZ"/>
    <n v="25"/>
    <n v="36"/>
    <d v="1899-12-31T02:00:00"/>
    <s v="ANDRES.BAEZ2002@GMAIL.COM"/>
    <x v="0"/>
    <n v="1081.1067"/>
    <n v="2.5"/>
    <n v="1163.79"/>
    <n v="1.9580666999707901"/>
    <n v="1158.8800000000001"/>
    <s v="AD"/>
    <n v="1"/>
    <n v="1281"/>
    <n v="1108"/>
    <n v="0"/>
    <n v="1108"/>
  </r>
  <r>
    <x v="16"/>
    <s v="ELVIA SAAVEDRA"/>
    <n v="5"/>
    <n v="36"/>
    <d v="1899-12-31T02:00:00"/>
    <s v="ELVIASAAVEDRA15@HOTMAIL.COM"/>
    <x v="5"/>
    <n v="1079.5545999999999"/>
    <n v="8.5"/>
    <n v="1163.79"/>
    <n v="6.6574267799006801"/>
    <n v="609.91"/>
    <s v="OD"/>
    <n v="1"/>
    <n v="1344"/>
    <n v="1171"/>
    <n v="0.5"/>
    <n v="585.5"/>
  </r>
  <r>
    <x v="16"/>
    <s v="ARTURO COYOTZI CORONA"/>
    <n v="14"/>
    <n v="36"/>
    <d v="1899-12-31T02:00:00"/>
    <s v="arturo.coyotzi.corona@ejemplo.com"/>
    <x v="2"/>
    <n v="1080.7276999999999"/>
    <n v="7"/>
    <n v="1163.79"/>
    <n v="5.4825867599182097"/>
    <n v="1219.83"/>
    <s v="AD"/>
    <n v="1"/>
    <n v="1329"/>
    <n v="1156"/>
    <n v="0"/>
    <n v="1156"/>
  </r>
  <r>
    <x v="16"/>
    <s v="EVELIO PEREZ RAMIREZ"/>
    <n v="11"/>
    <n v="36"/>
    <d v="1899-12-31T02:00:00"/>
    <s v="EPEREZ@TOKS.COM.MX"/>
    <x v="2"/>
    <n v="1081.4781"/>
    <n v="7"/>
    <n v="1163.79"/>
    <n v="5.4825867599182097"/>
    <n v="1158.8800000000001"/>
    <s v="AD"/>
    <n v="1"/>
    <n v="1330"/>
    <n v="1157"/>
    <n v="0"/>
    <n v="1157"/>
  </r>
  <r>
    <x v="17"/>
    <s v="DIEGO   PARRA    SERNA"/>
    <n v="20"/>
    <n v="36"/>
    <d v="1899-12-31T02:00:00"/>
    <s v="diego...parra....serna@ejemplo.com"/>
    <x v="2"/>
    <n v="1081.3157000000001"/>
    <n v="7"/>
    <n v="1163.79"/>
    <n v="5.4825867599182097"/>
    <n v="1219.83"/>
    <s v="AD"/>
    <n v="1"/>
    <n v="1330"/>
    <n v="1157"/>
    <n v="0"/>
    <n v="1157"/>
  </r>
  <r>
    <x v="17"/>
    <s v="AXEL ALEJANDRO OCAMPO VELIZ"/>
    <n v="34"/>
    <n v="36"/>
    <d v="1899-12-31T06:00:00"/>
    <s v="axel.alejandro.ocampo.veliz@ejemplo.com"/>
    <x v="5"/>
    <n v="1080.9266"/>
    <n v="8.5"/>
    <n v="1163.79"/>
    <n v="6.6574267799006801"/>
    <n v="1219.83"/>
    <s v="AD"/>
    <n v="1"/>
    <n v="1346"/>
    <n v="1173"/>
    <n v="0"/>
    <n v="1173"/>
  </r>
  <r>
    <x v="17"/>
    <s v="ANA MARIA DE LOERA"/>
    <n v="11"/>
    <n v="36"/>
    <d v="1899-12-31T06:00:00"/>
    <s v="ana.maria.de.loera@ejemplo.com"/>
    <x v="5"/>
    <n v="1081.4725000000001"/>
    <n v="8.5"/>
    <n v="1163.79"/>
    <n v="6.6574267799006801"/>
    <n v="1219.83"/>
    <s v="AD"/>
    <n v="1"/>
    <n v="1346"/>
    <n v="1173"/>
    <n v="0"/>
    <n v="1173"/>
  </r>
  <r>
    <x v="17"/>
    <s v="MAURICIO SANTANA"/>
    <n v="12"/>
    <n v="36"/>
    <d v="1899-12-31T06:00:00"/>
    <s v="mauricio.santana@ejemplo.com"/>
    <x v="5"/>
    <n v="1081.4543000000001"/>
    <n v="8.5"/>
    <n v="1163.79"/>
    <n v="6.6574267799006801"/>
    <n v="1219.83"/>
    <s v="AD"/>
    <n v="1"/>
    <n v="1346"/>
    <n v="1173"/>
    <n v="0"/>
    <n v="1173"/>
  </r>
  <r>
    <x v="17"/>
    <s v="ADRIAN SANCHEZ"/>
    <n v="29"/>
    <n v="36"/>
    <d v="1899-12-31T06:00:00"/>
    <s v="adrian.sanchez@ejemplo.com"/>
    <x v="5"/>
    <n v="1081.0155"/>
    <n v="8.5"/>
    <n v="1163.79"/>
    <n v="6.6574267799006801"/>
    <n v="1219.83"/>
    <s v="AD"/>
    <n v="1"/>
    <n v="1346"/>
    <n v="1173"/>
    <n v="0"/>
    <n v="1173"/>
  </r>
  <r>
    <x v="17"/>
    <s v="DAVID ALEJANDRO HERNANDEZ VALDEZ"/>
    <n v="4"/>
    <n v="36"/>
    <d v="1899-12-31T06:00:00"/>
    <s v="ALEJANDRO_9516@HOTMAIL.COM"/>
    <x v="3"/>
    <n v="1081.4774"/>
    <n v="0"/>
    <n v="1163.79"/>
    <n v="0"/>
    <n v="1158.8800000000001"/>
    <s v="AD"/>
    <n v="1"/>
    <n v="1255"/>
    <n v="1081"/>
    <n v="0"/>
    <n v="1081"/>
  </r>
  <r>
    <x v="17"/>
    <s v="ISAIAS MORALES NUÃ‘EZ"/>
    <n v="21"/>
    <n v="36"/>
    <d v="1899-12-31T06:00:00"/>
    <s v="isaias.morales.nuÃ±ez@ejemplo.com"/>
    <x v="5"/>
    <n v="1081.2918999999999"/>
    <n v="8.5"/>
    <n v="1163.79"/>
    <n v="6.6574267799006801"/>
    <n v="1219.83"/>
    <s v="AD"/>
    <n v="1"/>
    <n v="1346"/>
    <n v="1173"/>
    <n v="0"/>
    <n v="1173"/>
  </r>
  <r>
    <x v="17"/>
    <s v="FABIAN VILLALOBOS"/>
    <n v="23"/>
    <n v="36"/>
    <d v="1899-12-31T06:00:00"/>
    <s v="fabian.villalobos@ejemplo.com"/>
    <x v="5"/>
    <n v="1081.1233999999999"/>
    <n v="8.5"/>
    <n v="1163.79"/>
    <n v="6.6574267799006801"/>
    <n v="1219.83"/>
    <s v="AD"/>
    <n v="1"/>
    <n v="1346"/>
    <n v="1173"/>
    <n v="0"/>
    <n v="1173"/>
  </r>
  <r>
    <x v="17"/>
    <s v="JUANA FERNANDEZ"/>
    <n v="10"/>
    <n v="36"/>
    <d v="1899-12-31T06:00:00"/>
    <s v="juana.fernandez@ejemplo.com"/>
    <x v="5"/>
    <n v="1081.4899"/>
    <n v="8.5"/>
    <n v="1163.79"/>
    <n v="6.6574267799006801"/>
    <n v="1219.83"/>
    <s v="AD"/>
    <n v="1"/>
    <n v="1346"/>
    <n v="1173"/>
    <n v="0"/>
    <n v="1173"/>
  </r>
  <r>
    <x v="17"/>
    <s v="MARCOS GUERRA GONZALEZ"/>
    <n v="22"/>
    <n v="36"/>
    <d v="1899-12-31T06:00:00"/>
    <s v="marcos.guerra.gonzalez@ejemplo.com"/>
    <x v="5"/>
    <n v="1081.1412"/>
    <n v="8.5"/>
    <n v="1163.79"/>
    <n v="6.6574267799006801"/>
    <n v="1219.83"/>
    <s v="AD"/>
    <n v="1"/>
    <n v="1346"/>
    <n v="1173"/>
    <n v="0"/>
    <n v="1173"/>
  </r>
  <r>
    <x v="17"/>
    <s v="JOAB ISRAEL GOMEZ LEMUS"/>
    <n v="20"/>
    <n v="36"/>
    <d v="1899-12-31T06:00:00"/>
    <s v="joab.israel.gomez.lemus@ejemplo.com"/>
    <x v="1"/>
    <n v="1081.3099"/>
    <n v="10"/>
    <n v="1163.79"/>
    <n v="7.8322667998831603"/>
    <n v="609.91"/>
    <s v="NI"/>
    <n v="1"/>
    <n v="1362"/>
    <n v="1189"/>
    <n v="0.5"/>
    <n v="594.5"/>
  </r>
  <r>
    <x v="17"/>
    <s v="J JESÃšS BONILLA MENDEZ"/>
    <n v="30"/>
    <n v="36"/>
    <d v="1899-12-31T11:00:00"/>
    <s v="JESUS_BONILLA71@HOTMAIL.COM"/>
    <x v="3"/>
    <n v="1081.0061000000001"/>
    <n v="0"/>
    <n v="1163.79"/>
    <n v="0"/>
    <n v="1097.8399999999999"/>
    <s v="AD"/>
    <n v="1"/>
    <n v="1254"/>
    <n v="1081"/>
    <n v="0"/>
    <n v="1081"/>
  </r>
  <r>
    <x v="17"/>
    <s v="J JESÃšS BONILLA MENDEZ"/>
    <n v="30"/>
    <n v="36"/>
    <d v="1899-12-31T11:00:00"/>
    <s v="ROBERTOBONILLAA21@GMAIL.COM"/>
    <x v="3"/>
    <n v="1081.0061000000001"/>
    <n v="0"/>
    <n v="1163.79"/>
    <n v="0"/>
    <n v="1097.8399999999999"/>
    <s v="AD"/>
    <n v="1"/>
    <n v="1254"/>
    <n v="1081"/>
    <n v="0"/>
    <n v="1081"/>
  </r>
  <r>
    <x v="17"/>
    <s v="JOSÃ‰ ROBERTO BONILLA CASTRO"/>
    <n v="31"/>
    <n v="36"/>
    <d v="1899-12-31T11:00:00"/>
    <s v="JESUS_BONILLA71@HOTMAIL.COM"/>
    <x v="3"/>
    <n v="1080.9882"/>
    <n v="0"/>
    <n v="1163.79"/>
    <n v="0"/>
    <n v="1097.8399999999999"/>
    <s v="AD"/>
    <n v="1"/>
    <n v="1254"/>
    <n v="1081"/>
    <n v="0"/>
    <n v="1081"/>
  </r>
  <r>
    <x v="17"/>
    <s v="JOSÃ‰ ROBERTO BONILLA CASTRO"/>
    <n v="31"/>
    <n v="36"/>
    <d v="1899-12-31T11:00:00"/>
    <s v="ROBERTOBONILLAA21@GMAIL.COM"/>
    <x v="3"/>
    <n v="1080.9882"/>
    <n v="0"/>
    <n v="1163.79"/>
    <n v="0"/>
    <n v="1097.8399999999999"/>
    <s v="AD"/>
    <n v="1"/>
    <n v="1254"/>
    <n v="1081"/>
    <n v="0"/>
    <n v="1081"/>
  </r>
  <r>
    <x v="17"/>
    <s v="MARIELENA CHAVEZ GONZALEZ"/>
    <n v="11"/>
    <n v="36"/>
    <d v="1899-12-31T11:00:00"/>
    <s v="marielena.chavez.gonzalez@ejemplo.com"/>
    <x v="5"/>
    <n v="1081.4668999999999"/>
    <n v="8.5"/>
    <n v="1163.79"/>
    <n v="6.6574267799006801"/>
    <n v="1219.83"/>
    <s v="AD"/>
    <n v="1"/>
    <n v="1346"/>
    <n v="1173"/>
    <n v="0"/>
    <n v="1173"/>
  </r>
  <r>
    <x v="17"/>
    <s v="FEDERICO MORALES"/>
    <n v="12"/>
    <n v="36"/>
    <d v="1899-12-31T11:00:00"/>
    <s v="federico.morales@ejemplo.com"/>
    <x v="5"/>
    <n v="1081.4490000000001"/>
    <n v="8.5"/>
    <n v="1163.79"/>
    <n v="6.6574267799006801"/>
    <n v="1219.83"/>
    <s v="AD"/>
    <n v="1"/>
    <n v="1346"/>
    <n v="1173"/>
    <n v="0"/>
    <n v="1173"/>
  </r>
  <r>
    <x v="17"/>
    <s v="ANGELA MARÃA HENAO CUBILLOS"/>
    <n v="9"/>
    <n v="36"/>
    <d v="1899-12-31T23:10:00"/>
    <s v="MEDICO.TARAY@SOLIDO.COM.MX"/>
    <x v="3"/>
    <n v="1081.2886000000001"/>
    <n v="0"/>
    <n v="1163.79"/>
    <n v="0"/>
    <n v="1158.8800000000001"/>
    <s v="AD"/>
    <n v="1"/>
    <n v="1254"/>
    <n v="1081"/>
    <n v="0"/>
    <n v="1081"/>
  </r>
  <r>
    <x v="17"/>
    <s v="ANGELA MARÃA HENAO CUBILLOS"/>
    <n v="9"/>
    <n v="36"/>
    <d v="1899-12-31T23:10:00"/>
    <s v="JES_GAONA@LIVE.COM"/>
    <x v="3"/>
    <n v="1081.2886000000001"/>
    <n v="0"/>
    <n v="1163.79"/>
    <n v="0"/>
    <n v="1158.8800000000001"/>
    <s v="AD"/>
    <n v="1"/>
    <n v="1254"/>
    <n v="1081"/>
    <n v="0"/>
    <n v="1081"/>
  </r>
  <r>
    <x v="17"/>
    <s v="ANGELA MARÃA HENAO CUBILLOS"/>
    <n v="9"/>
    <n v="36"/>
    <d v="1899-12-31T23:10:00"/>
    <s v="JES_GAONA@LIVE.COM"/>
    <x v="3"/>
    <n v="1081.2886000000001"/>
    <n v="0"/>
    <n v="1163.79"/>
    <n v="0"/>
    <n v="1158.8800000000001"/>
    <s v="AD"/>
    <n v="1"/>
    <n v="1254"/>
    <n v="1081"/>
    <n v="0"/>
    <n v="1081"/>
  </r>
  <r>
    <x v="17"/>
    <s v="JAVIER HENAO DUQUE"/>
    <n v="6"/>
    <n v="36"/>
    <d v="1899-12-31T23:10:00"/>
    <s v="MEDICO.TARAY@SOLIDO.COM.MX"/>
    <x v="3"/>
    <n v="1081.3424"/>
    <n v="0"/>
    <n v="1163.79"/>
    <n v="0"/>
    <n v="1158.8800000000001"/>
    <s v="AD"/>
    <n v="1"/>
    <n v="1254"/>
    <n v="1081"/>
    <n v="0"/>
    <n v="1081"/>
  </r>
  <r>
    <x v="17"/>
    <s v="JAVIER HENAO DUQUE"/>
    <n v="6"/>
    <n v="36"/>
    <d v="1899-12-31T23:10:00"/>
    <s v="JES_GAONA@LIVE.COM"/>
    <x v="3"/>
    <n v="1081.3424"/>
    <n v="0"/>
    <n v="1163.79"/>
    <n v="0"/>
    <n v="1158.8800000000001"/>
    <s v="AD"/>
    <n v="1"/>
    <n v="1254"/>
    <n v="1081"/>
    <n v="0"/>
    <n v="1081"/>
  </r>
  <r>
    <x v="17"/>
    <s v="JAVIER HENAO DUQUE"/>
    <n v="6"/>
    <n v="36"/>
    <d v="1899-12-31T23:10:00"/>
    <s v="JES_GAONA@LIVE.COM"/>
    <x v="3"/>
    <n v="1081.3424"/>
    <n v="0"/>
    <n v="1163.79"/>
    <n v="0"/>
    <n v="1158.8800000000001"/>
    <s v="AD"/>
    <n v="1"/>
    <n v="1254"/>
    <n v="1081"/>
    <n v="0"/>
    <n v="1081"/>
  </r>
  <r>
    <x v="17"/>
    <s v="JESSICA GAONA ANGUIANO"/>
    <n v="8"/>
    <n v="36"/>
    <d v="1899-12-31T23:10:00"/>
    <s v="MEDICO.TARAY@SOLIDO.COM.MX"/>
    <x v="3"/>
    <n v="1081.3063"/>
    <n v="0"/>
    <n v="1163.79"/>
    <n v="0"/>
    <n v="1158.8800000000001"/>
    <s v="AD"/>
    <n v="1"/>
    <n v="1254"/>
    <n v="1081"/>
    <n v="0"/>
    <n v="1081"/>
  </r>
  <r>
    <x v="17"/>
    <s v="JESSICA GAONA ANGUIANO"/>
    <n v="8"/>
    <n v="36"/>
    <d v="1899-12-31T23:10:00"/>
    <s v="JES_GAONA@LIVE.COM"/>
    <x v="3"/>
    <n v="1081.3063"/>
    <n v="0"/>
    <n v="1163.79"/>
    <n v="0"/>
    <n v="1158.8800000000001"/>
    <s v="AD"/>
    <n v="1"/>
    <n v="1254"/>
    <n v="1081"/>
    <n v="0"/>
    <n v="1081"/>
  </r>
  <r>
    <x v="17"/>
    <s v="JESSICA GAONA ANGUIANO"/>
    <n v="8"/>
    <n v="36"/>
    <d v="1899-12-31T23:10:00"/>
    <s v="JES_GAONA@LIVE.COM"/>
    <x v="3"/>
    <n v="1081.3063"/>
    <n v="0"/>
    <n v="1163.79"/>
    <n v="0"/>
    <n v="1158.8800000000001"/>
    <s v="AD"/>
    <n v="1"/>
    <n v="1254"/>
    <n v="1081"/>
    <n v="0"/>
    <n v="1081"/>
  </r>
  <r>
    <x v="17"/>
    <s v="TATIANA CUELLAR ROMERO"/>
    <n v="5"/>
    <n v="36"/>
    <d v="1899-12-31T23:10:00"/>
    <s v="MEDICO.TARAY@SOLIDO.COM.MX"/>
    <x v="3"/>
    <n v="1081.3605"/>
    <n v="0"/>
    <n v="1163.79"/>
    <n v="0"/>
    <n v="1158.8800000000001"/>
    <s v="AD"/>
    <n v="1"/>
    <n v="1254"/>
    <n v="1081"/>
    <n v="0"/>
    <n v="1081"/>
  </r>
  <r>
    <x v="17"/>
    <s v="TATIANA CUELLAR ROMERO"/>
    <n v="5"/>
    <n v="36"/>
    <d v="1899-12-31T23:10:00"/>
    <s v="JES_GAONA@LIVE.COM"/>
    <x v="3"/>
    <n v="1081.3605"/>
    <n v="0"/>
    <n v="1163.79"/>
    <n v="0"/>
    <n v="1158.8800000000001"/>
    <s v="AD"/>
    <n v="1"/>
    <n v="1254"/>
    <n v="1081"/>
    <n v="0"/>
    <n v="1081"/>
  </r>
  <r>
    <x v="17"/>
    <s v="TATIANA CUELLAR ROMERO"/>
    <n v="5"/>
    <n v="36"/>
    <d v="1899-12-31T23:10:00"/>
    <s v="JES_GAONA@LIVE.COM"/>
    <x v="3"/>
    <n v="1081.3605"/>
    <n v="0"/>
    <n v="1163.79"/>
    <n v="0"/>
    <n v="1158.8800000000001"/>
    <s v="AD"/>
    <n v="1"/>
    <n v="1254"/>
    <n v="1081"/>
    <n v="0"/>
    <n v="1081"/>
  </r>
  <r>
    <x v="17"/>
    <s v="MARIA DEL CARMEN VAZQUEZ GUTIERREZ"/>
    <n v="17"/>
    <n v="36"/>
    <d v="1899-12-31T11:00:00"/>
    <s v="maria.del.carmen.vazquez.gutierrez@ejemplo.com"/>
    <x v="5"/>
    <n v="1081.3584000000001"/>
    <n v="8.5"/>
    <n v="1163.79"/>
    <n v="6.6574267799006801"/>
    <n v="1219.83"/>
    <s v="AD"/>
    <n v="1"/>
    <n v="1346"/>
    <n v="1173"/>
    <n v="0"/>
    <n v="1173"/>
  </r>
  <r>
    <x v="17"/>
    <s v="ALBERTO BOBADILLA"/>
    <n v="10"/>
    <n v="36"/>
    <d v="1899-12-31T11:00:00"/>
    <s v="alberto.bobadilla@ejemplo.com"/>
    <x v="5"/>
    <n v="1081.4840999999999"/>
    <n v="8.5"/>
    <n v="1163.79"/>
    <n v="6.6574267799006801"/>
    <n v="1219.83"/>
    <s v="AD"/>
    <n v="1"/>
    <n v="1346"/>
    <n v="1173"/>
    <n v="0"/>
    <n v="1173"/>
  </r>
  <r>
    <x v="17"/>
    <s v="MARIANA SOTO LOPEZ"/>
    <n v="21"/>
    <n v="36"/>
    <d v="1899-12-31T11:00:00"/>
    <s v="IAMTAMAYO01@GMAIL.COM"/>
    <x v="3"/>
    <n v="1081.2987000000001"/>
    <n v="0"/>
    <n v="1163.79"/>
    <n v="0"/>
    <n v="1158.8800000000001"/>
    <s v="AD"/>
    <n v="1"/>
    <n v="1254"/>
    <n v="1081"/>
    <n v="0"/>
    <n v="1081"/>
  </r>
  <r>
    <x v="17"/>
    <s v="IRMA G AVILA ROJO"/>
    <n v="24"/>
    <n v="36"/>
    <d v="1899-12-31T11:00:00"/>
    <s v="irma.g.avila.rojo@ejemplo.com"/>
    <x v="5"/>
    <n v="1081.1034999999999"/>
    <n v="8.5"/>
    <n v="1163.79"/>
    <n v="6.6574267799006801"/>
    <n v="1219.83"/>
    <s v="AD"/>
    <n v="1"/>
    <n v="1346"/>
    <n v="1173"/>
    <n v="0"/>
    <n v="1173"/>
  </r>
  <r>
    <x v="17"/>
    <s v="VANESSA CERPA"/>
    <n v="6"/>
    <n v="36"/>
    <d v="1899-12-31T11:00:00"/>
    <s v="vanessa.cerpa@ejemplo.com"/>
    <x v="5"/>
    <n v="1081.5553"/>
    <n v="8.5"/>
    <n v="1163.79"/>
    <n v="6.6574267799006801"/>
    <n v="1219.83"/>
    <s v="AD"/>
    <n v="1"/>
    <n v="1347"/>
    <n v="1173"/>
    <n v="0"/>
    <n v="1173"/>
  </r>
  <r>
    <x v="17"/>
    <s v="CECILIA PEREZ MARISCAL"/>
    <n v="3"/>
    <n v="36"/>
    <d v="1899-12-31T11:00:00"/>
    <s v="ETNPASES@GMAIL.COM"/>
    <x v="2"/>
    <n v="1079.5776000000001"/>
    <n v="7"/>
    <n v="1163.79"/>
    <n v="5.4825867599182097"/>
    <n v="1219.83"/>
    <s v="AD"/>
    <n v="1"/>
    <n v="1328"/>
    <n v="1155"/>
    <n v="0"/>
    <n v="1155"/>
  </r>
  <r>
    <x v="17"/>
    <s v="MAYRA A VERDIN RUVALCABA"/>
    <n v="8"/>
    <n v="36"/>
    <d v="1899-12-31T11:00:00"/>
    <s v="mayra.a.verdin.ruvalcaba@ejemplo.com"/>
    <x v="5"/>
    <n v="1081.5192"/>
    <n v="8.5"/>
    <n v="1163.79"/>
    <n v="6.6574267799006801"/>
    <n v="1219.83"/>
    <s v="AD"/>
    <n v="1"/>
    <n v="1346"/>
    <n v="1173"/>
    <n v="0"/>
    <n v="1173"/>
  </r>
  <r>
    <x v="17"/>
    <s v="PAULINA TELLEZ BARAJAS"/>
    <n v="9"/>
    <n v="36"/>
    <d v="1899-12-31T11:00:00"/>
    <s v="paulina.tellez.barajas@ejemplo.com"/>
    <x v="5"/>
    <n v="1081.5012999999999"/>
    <n v="8.5"/>
    <n v="1163.79"/>
    <n v="6.6574267799006801"/>
    <n v="1219.83"/>
    <s v="AD"/>
    <n v="1"/>
    <n v="1346"/>
    <n v="1173"/>
    <n v="0"/>
    <n v="1173"/>
  </r>
  <r>
    <x v="17"/>
    <s v="MARIANO MARTINEZ CASAS"/>
    <n v="5"/>
    <n v="36"/>
    <d v="1899-12-31T11:00:00"/>
    <s v="mariano.martinez.casas@ejemplo.com"/>
    <x v="5"/>
    <n v="1081.5731000000001"/>
    <n v="8.5"/>
    <n v="1163.79"/>
    <n v="6.6574267799006801"/>
    <n v="1219.83"/>
    <s v="AD"/>
    <n v="1"/>
    <n v="1347"/>
    <n v="1174"/>
    <n v="0"/>
    <n v="1174"/>
  </r>
  <r>
    <x v="17"/>
    <s v="IMELDA ARELLANO"/>
    <n v="28"/>
    <n v="36"/>
    <d v="1899-12-31T11:00:00"/>
    <s v="imelda.arellano@ejemplo.com"/>
    <x v="5"/>
    <n v="1081.0315000000001"/>
    <n v="8.5"/>
    <n v="1163.79"/>
    <n v="6.6574267799006801"/>
    <n v="1219.83"/>
    <s v="AD"/>
    <n v="1"/>
    <n v="1346"/>
    <n v="1173"/>
    <n v="0"/>
    <n v="1173"/>
  </r>
  <r>
    <x v="17"/>
    <s v="ANTONIO MONROY BUENO"/>
    <n v="18"/>
    <n v="36"/>
    <d v="1899-12-31T23:10:00"/>
    <s v="EFLORES@ACEROMEX.COM"/>
    <x v="3"/>
    <n v="1081.1242999999999"/>
    <n v="0"/>
    <n v="1163.79"/>
    <n v="0"/>
    <n v="1158.8800000000001"/>
    <s v="AD"/>
    <n v="1"/>
    <n v="1254"/>
    <n v="1081"/>
    <n v="0"/>
    <n v="1081"/>
  </r>
  <r>
    <x v="17"/>
    <s v="RICARDO CRUZ SEGUNDO"/>
    <n v="35"/>
    <n v="36"/>
    <d v="1899-12-31T23:59:00"/>
    <s v="BRENIVONNEM.CRUZ@GMAIL.COM"/>
    <x v="3"/>
    <n v="1080.6862000000001"/>
    <n v="0"/>
    <n v="1163.79"/>
    <n v="0"/>
    <n v="1158.8800000000001"/>
    <s v="AD"/>
    <n v="1"/>
    <n v="1254"/>
    <n v="1081"/>
    <n v="0"/>
    <n v="1081"/>
  </r>
  <r>
    <x v="17"/>
    <s v="LUIS IGNACIO MILLARES PEREZ"/>
    <n v="29"/>
    <n v="36"/>
    <d v="1899-12-31T23:59:00"/>
    <s v="LMILLARES@AYEMSA.COM.MX"/>
    <x v="3"/>
    <n v="1080.7935"/>
    <n v="0"/>
    <n v="1163.79"/>
    <n v="0"/>
    <n v="1158.8800000000001"/>
    <s v="AD"/>
    <n v="1"/>
    <n v="1254"/>
    <n v="1081"/>
    <n v="0"/>
    <n v="1081"/>
  </r>
  <r>
    <x v="17"/>
    <s v="ERLE VELEZ MENDOZA"/>
    <n v="22"/>
    <n v="36"/>
    <d v="1899-12-31T11:00:00"/>
    <s v="SBALDO1979@GMAIL.COM"/>
    <x v="0"/>
    <n v="1081.0798"/>
    <n v="2.5"/>
    <n v="1163.79"/>
    <n v="1.9580666999707901"/>
    <n v="1158.8800000000001"/>
    <s v="AD"/>
    <n v="1"/>
    <n v="1281"/>
    <n v="1108"/>
    <n v="0"/>
    <n v="1108"/>
  </r>
  <r>
    <x v="17"/>
    <s v="ERLE VELEZ MENDOZA"/>
    <n v="22"/>
    <n v="36"/>
    <d v="1899-12-31T11:00:00"/>
    <s v="SBALDO1979@GMAIL.COM"/>
    <x v="0"/>
    <n v="1081.0798"/>
    <n v="2.5"/>
    <n v="1163.79"/>
    <n v="1.9580666999707901"/>
    <n v="1158.8800000000001"/>
    <s v="AD"/>
    <n v="1"/>
    <n v="1281"/>
    <n v="1108"/>
    <n v="0"/>
    <n v="1108"/>
  </r>
  <r>
    <x v="17"/>
    <s v="HECTOR HERNANDEZ HERNANDEZ"/>
    <n v="23"/>
    <n v="36"/>
    <d v="1899-12-31T11:00:00"/>
    <s v="SBALDO1979@GMAIL.COM"/>
    <x v="0"/>
    <n v="1081.0616"/>
    <n v="2.5"/>
    <n v="1163.79"/>
    <n v="1.9580666999707901"/>
    <n v="1158.8800000000001"/>
    <s v="AD"/>
    <n v="1"/>
    <n v="1281"/>
    <n v="1108"/>
    <n v="0"/>
    <n v="1108"/>
  </r>
  <r>
    <x v="17"/>
    <s v="HECTOR HERNANDEZ HERNANDEZ"/>
    <n v="23"/>
    <n v="36"/>
    <d v="1899-12-31T11:00:00"/>
    <s v="SBALDO1979@GMAIL.COM"/>
    <x v="0"/>
    <n v="1081.0616"/>
    <n v="2.5"/>
    <n v="1163.79"/>
    <n v="1.9580666999707901"/>
    <n v="1158.8800000000001"/>
    <s v="AD"/>
    <n v="1"/>
    <n v="1281"/>
    <n v="1108"/>
    <n v="0"/>
    <n v="1108"/>
  </r>
  <r>
    <x v="17"/>
    <s v="SANTOS BALDOMERO ESTEBAN"/>
    <n v="20"/>
    <n v="36"/>
    <d v="1899-12-31T11:00:00"/>
    <s v="SBALDO1979@GMAIL.COM"/>
    <x v="0"/>
    <n v="1081.2483"/>
    <n v="2.5"/>
    <n v="1163.79"/>
    <n v="1.9580666999707901"/>
    <n v="1158.8800000000001"/>
    <s v="AD"/>
    <n v="1"/>
    <n v="1281"/>
    <n v="1108"/>
    <n v="0"/>
    <n v="1108"/>
  </r>
  <r>
    <x v="17"/>
    <s v="SANTOS BALDOMERO ESTEBAN"/>
    <n v="20"/>
    <n v="36"/>
    <d v="1899-12-31T11:00:00"/>
    <s v="SBALDO1979@GMAIL.COM"/>
    <x v="0"/>
    <n v="1081.2483"/>
    <n v="2.5"/>
    <n v="1163.79"/>
    <n v="1.9580666999707901"/>
    <n v="1158.8800000000001"/>
    <s v="AD"/>
    <n v="1"/>
    <n v="1281"/>
    <n v="1108"/>
    <n v="0"/>
    <n v="1108"/>
  </r>
  <r>
    <x v="17"/>
    <s v="URIEL BALDOMERO ESTEBAN"/>
    <n v="19"/>
    <n v="36"/>
    <d v="1899-12-31T11:00:00"/>
    <s v="SBALDO1979@GMAIL.COM"/>
    <x v="0"/>
    <n v="1081.2662"/>
    <n v="2.5"/>
    <n v="1163.79"/>
    <n v="1.9580666999707901"/>
    <n v="1158.8800000000001"/>
    <s v="AD"/>
    <n v="1"/>
    <n v="1281"/>
    <n v="1108"/>
    <n v="0"/>
    <n v="1108"/>
  </r>
  <r>
    <x v="17"/>
    <s v="URIEL BALDOMERO ESTEBAN"/>
    <n v="19"/>
    <n v="36"/>
    <d v="1899-12-31T11:00:00"/>
    <s v="SBALDO1979@GMAIL.COM"/>
    <x v="0"/>
    <n v="1081.2662"/>
    <n v="2.5"/>
    <n v="1163.79"/>
    <n v="1.9580666999707901"/>
    <n v="1158.8800000000001"/>
    <s v="AD"/>
    <n v="1"/>
    <n v="1281"/>
    <n v="1108"/>
    <n v="0"/>
    <n v="1108"/>
  </r>
  <r>
    <x v="17"/>
    <s v="FRANCISCO CRUZ GARCÃA"/>
    <n v="36"/>
    <n v="36"/>
    <d v="1899-12-31T23:10:00"/>
    <s v="FCRUZ0531@GMAIL.COM"/>
    <x v="3"/>
    <n v="1080.6674"/>
    <n v="0"/>
    <n v="1163.79"/>
    <n v="0"/>
    <n v="1158.8800000000001"/>
    <s v="AD"/>
    <n v="1"/>
    <n v="1254"/>
    <n v="1081"/>
    <n v="0"/>
    <n v="1081"/>
  </r>
  <r>
    <x v="17"/>
    <s v="VICTOR MANUEL RODRÃGUEZ GUTIÃ‰RREZ"/>
    <n v="16"/>
    <n v="36"/>
    <d v="1899-12-31T23:59:00"/>
    <s v="COINWL2002@YAHOO.COM.MX"/>
    <x v="2"/>
    <n v="1081.0924"/>
    <n v="7"/>
    <n v="1163.79"/>
    <n v="5.4825867599182097"/>
    <n v="1158.8800000000001"/>
    <s v="AD"/>
    <n v="1"/>
    <n v="1330"/>
    <n v="1157"/>
    <n v="0"/>
    <n v="1157"/>
  </r>
  <r>
    <x v="17"/>
    <s v="ADAN URIEL NAJERA"/>
    <n v="7"/>
    <n v="36"/>
    <d v="1899-12-31T23:59:00"/>
    <s v="adan.uriel.najera@ejemplo.com"/>
    <x v="5"/>
    <n v="1081.3077000000001"/>
    <n v="8.5"/>
    <n v="1163.79"/>
    <n v="6.6574267799006801"/>
    <n v="1219.83"/>
    <s v="AD"/>
    <n v="1"/>
    <n v="1346"/>
    <n v="1173"/>
    <n v="0"/>
    <n v="1173"/>
  </r>
  <r>
    <x v="17"/>
    <s v="ALEJANDRO BERGARA PEÃ‘A"/>
    <n v="7"/>
    <n v="36"/>
    <d v="1899-12-31T23:10:00"/>
    <s v="DIRECCION@TUASISTENCIA.MX"/>
    <x v="0"/>
    <n v="1081.2543000000001"/>
    <n v="2.5"/>
    <n v="1163.79"/>
    <n v="1.9580666999707901"/>
    <n v="1097.8399999999999"/>
    <s v="AD"/>
    <n v="1"/>
    <n v="1281"/>
    <n v="1108"/>
    <n v="0"/>
    <n v="1108"/>
  </r>
  <r>
    <x v="17"/>
    <s v="SERGIO DE ANDA OROZCO"/>
    <n v="16"/>
    <n v="36"/>
    <d v="1899-12-31T06:00:00"/>
    <s v="OROZCOEDMUNDO47@GMAIL.COM"/>
    <x v="4"/>
    <n v="1081.3163"/>
    <n v="5"/>
    <n v="1163.79"/>
    <n v="3.9161333999415802"/>
    <n v="609.91"/>
    <s v="IN"/>
    <n v="1"/>
    <n v="1308"/>
    <n v="1135"/>
    <n v="0.5"/>
    <n v="567.5"/>
  </r>
  <r>
    <x v="17"/>
    <s v="CESAR JOVANY GARCÃA PÃ‰REZ"/>
    <n v="16"/>
    <n v="36"/>
    <d v="1899-12-31T23:30:00"/>
    <s v="JUANMANUELMTZR@GMAIL.COM"/>
    <x v="0"/>
    <n v="1081.1577"/>
    <n v="2.5"/>
    <n v="1163.79"/>
    <n v="1.9580666999707901"/>
    <n v="1158.8800000000001"/>
    <s v="AD"/>
    <n v="1"/>
    <n v="1281"/>
    <n v="1108"/>
    <n v="0"/>
    <n v="1108"/>
  </r>
  <r>
    <x v="17"/>
    <s v="CESAR ALEJANDRO RODRIGUEZ GONZALEZ"/>
    <n v="27"/>
    <n v="36"/>
    <d v="1899-12-31T23:30:00"/>
    <s v="CHOFERES.SEITON@GMAIL.COM"/>
    <x v="3"/>
    <n v="1080.8268"/>
    <n v="0"/>
    <n v="1163.79"/>
    <n v="0"/>
    <n v="1158.8800000000001"/>
    <s v="AD"/>
    <n v="1"/>
    <n v="1254"/>
    <n v="1081"/>
    <n v="0"/>
    <n v="1081"/>
  </r>
  <r>
    <x v="17"/>
    <s v="CESAR SALVADOR RODRIGUEZ DIAZ"/>
    <n v="24"/>
    <n v="36"/>
    <d v="1899-12-31T23:30:00"/>
    <s v="CHOFERES.SEITON@GMAIL.COM"/>
    <x v="3"/>
    <n v="1080.8806999999999"/>
    <n v="0"/>
    <n v="1163.79"/>
    <n v="0"/>
    <n v="1158.8800000000001"/>
    <s v="AD"/>
    <n v="1"/>
    <n v="1254"/>
    <n v="1081"/>
    <n v="0"/>
    <n v="1081"/>
  </r>
  <r>
    <x v="17"/>
    <s v="JOSE RODRIGUEZ TELLEZ"/>
    <n v="36"/>
    <n v="36"/>
    <d v="1899-12-31T23:30:00"/>
    <s v="CHOFERES.SEITON@GMAIL.COM"/>
    <x v="3"/>
    <n v="1080.665"/>
    <n v="0"/>
    <n v="1163.79"/>
    <n v="0"/>
    <n v="609.91"/>
    <s v="IN"/>
    <n v="1"/>
    <n v="1254"/>
    <n v="1081"/>
    <n v="0.5"/>
    <n v="540.5"/>
  </r>
  <r>
    <x v="17"/>
    <s v="FRANCISCO MARTINEZ OLIVAREZ"/>
    <n v="13"/>
    <n v="36"/>
    <d v="1899-12-31T23:30:00"/>
    <s v="LUISTORRESBAUTISTA73@GMAIL.COM"/>
    <x v="3"/>
    <n v="1081.211"/>
    <n v="0"/>
    <n v="1163.79"/>
    <n v="0"/>
    <n v="1158.8800000000001"/>
    <s v="AD"/>
    <n v="1"/>
    <n v="1254"/>
    <n v="1081"/>
    <n v="0"/>
    <n v="1081"/>
  </r>
  <r>
    <x v="17"/>
    <s v="RODRIGO GARCIA PRIETO"/>
    <n v="20"/>
    <n v="36"/>
    <d v="1899-12-31T23:10:00"/>
    <s v="RGPPROJI@GMAIL.COM"/>
    <x v="3"/>
    <n v="1081.0844"/>
    <n v="0"/>
    <n v="1163.79"/>
    <n v="0"/>
    <n v="1158.8800000000001"/>
    <s v="AD"/>
    <n v="1"/>
    <n v="1254"/>
    <n v="1081"/>
    <n v="0"/>
    <n v="1081"/>
  </r>
  <r>
    <x v="17"/>
    <s v="SERGIO HERNANDEZ UGALDE"/>
    <n v="21"/>
    <n v="36"/>
    <d v="1899-12-31T23:30:00"/>
    <s v="LUISTORRESBAUTISTA73@GMAIL.COM"/>
    <x v="3"/>
    <n v="1081.0663"/>
    <n v="0"/>
    <n v="1163.79"/>
    <n v="0"/>
    <n v="609.91"/>
    <s v="OD"/>
    <n v="1"/>
    <n v="1254"/>
    <n v="1081"/>
    <n v="0.5"/>
    <n v="540.5"/>
  </r>
  <r>
    <x v="17"/>
    <s v="LUIS JORGE GARCIA MEDINA"/>
    <n v="17"/>
    <n v="36"/>
    <d v="1899-12-31T23:59:00"/>
    <s v="HECTOR@PELICULAS3M.COM.MX"/>
    <x v="3"/>
    <n v="1081.1380999999999"/>
    <n v="0"/>
    <n v="1163.79"/>
    <n v="0"/>
    <n v="1158.8800000000001"/>
    <s v="AD"/>
    <n v="1"/>
    <n v="1254"/>
    <n v="1081"/>
    <n v="0"/>
    <n v="1081"/>
  </r>
  <r>
    <x v="17"/>
    <s v="PERLA RIVERA SANTANA"/>
    <n v="10"/>
    <n v="36"/>
    <d v="1899-12-31T23:59:00"/>
    <s v="PERLA.KISKIS@HOTMAIL.COM"/>
    <x v="3"/>
    <n v="1081.2643"/>
    <n v="0"/>
    <n v="1163.79"/>
    <n v="0"/>
    <n v="1158.8800000000001"/>
    <s v="AD"/>
    <n v="1"/>
    <n v="1254"/>
    <n v="1081"/>
    <n v="0"/>
    <n v="1081"/>
  </r>
  <r>
    <x v="17"/>
    <s v="MIGUEL JUAN PABLO BUGARIN AGUIRRE"/>
    <n v="16"/>
    <n v="36"/>
    <d v="1899-12-31T23:59:00"/>
    <s v="miguel.juan.pablo.bugarin.aguirre@ejemplo.com"/>
    <x v="5"/>
    <n v="1080.4509"/>
    <n v="8.5"/>
    <n v="1163.79"/>
    <n v="6.6574267799006801"/>
    <n v="1219.83"/>
    <s v="AD"/>
    <n v="1"/>
    <n v="1345"/>
    <n v="1172"/>
    <n v="0"/>
    <n v="1172"/>
  </r>
  <r>
    <x v="17"/>
    <s v="ALITZEL PALMA"/>
    <n v="25"/>
    <n v="36"/>
    <d v="1899-12-31T23:59:00"/>
    <s v="EMA.TORRESN@GMAIL.COM"/>
    <x v="3"/>
    <n v="1080.8619000000001"/>
    <n v="0"/>
    <n v="1163.79"/>
    <n v="0"/>
    <n v="1158.8800000000001"/>
    <s v="AD"/>
    <n v="1"/>
    <n v="1254"/>
    <n v="1081"/>
    <n v="0"/>
    <n v="1081"/>
  </r>
  <r>
    <x v="17"/>
    <s v="ALITZEL PALMA"/>
    <n v="25"/>
    <n v="36"/>
    <d v="1899-12-31T23:59:00"/>
    <s v="EMA.TORRESN@GMAIL.COM"/>
    <x v="3"/>
    <n v="1080.8619000000001"/>
    <n v="0"/>
    <n v="1163.79"/>
    <n v="0"/>
    <n v="1158.8800000000001"/>
    <s v="AD"/>
    <n v="1"/>
    <n v="1254"/>
    <n v="1081"/>
    <n v="0"/>
    <n v="1081"/>
  </r>
  <r>
    <x v="17"/>
    <s v="ALITZEL PALMA"/>
    <n v="25"/>
    <n v="36"/>
    <d v="1899-12-31T23:59:00"/>
    <s v="EMA.TORRESN@GMAIL.COM"/>
    <x v="3"/>
    <n v="1080.8619000000001"/>
    <n v="0"/>
    <n v="1163.79"/>
    <n v="0"/>
    <n v="1158.8800000000001"/>
    <s v="AD"/>
    <n v="1"/>
    <n v="1254"/>
    <n v="1081"/>
    <n v="0"/>
    <n v="1081"/>
  </r>
  <r>
    <x v="17"/>
    <s v="JOSÃ‰ EMANUEL TORRES"/>
    <n v="27"/>
    <n v="36"/>
    <d v="1899-12-31T23:59:00"/>
    <s v="EMA.TORRESN@GMAIL.COM"/>
    <x v="3"/>
    <n v="1080.826"/>
    <n v="0"/>
    <n v="1163.79"/>
    <n v="0"/>
    <n v="1158.8800000000001"/>
    <s v="AD"/>
    <n v="1"/>
    <n v="1254"/>
    <n v="1081"/>
    <n v="0"/>
    <n v="1081"/>
  </r>
  <r>
    <x v="17"/>
    <s v="JOSÃ‰ EMANUEL TORRES"/>
    <n v="27"/>
    <n v="36"/>
    <d v="1899-12-31T23:59:00"/>
    <s v="EMA.TORRESN@GMAIL.COM"/>
    <x v="3"/>
    <n v="1080.826"/>
    <n v="0"/>
    <n v="1163.79"/>
    <n v="0"/>
    <n v="1158.8800000000001"/>
    <s v="AD"/>
    <n v="1"/>
    <n v="1254"/>
    <n v="1081"/>
    <n v="0"/>
    <n v="1081"/>
  </r>
  <r>
    <x v="17"/>
    <s v="JOSÃ‰ EMANUEL TORRES"/>
    <n v="27"/>
    <n v="36"/>
    <d v="1899-12-31T23:59:00"/>
    <s v="EMA.TORRESN@GMAIL.COM"/>
    <x v="3"/>
    <n v="1080.826"/>
    <n v="0"/>
    <n v="1163.79"/>
    <n v="0"/>
    <n v="1158.8800000000001"/>
    <s v="AD"/>
    <n v="1"/>
    <n v="1254"/>
    <n v="1081"/>
    <n v="0"/>
    <n v="1081"/>
  </r>
  <r>
    <x v="17"/>
    <s v="THIAGO TORRES"/>
    <n v="26"/>
    <n v="36"/>
    <d v="1899-12-31T23:59:00"/>
    <s v="EMA.TORRESN@GMAIL.COM"/>
    <x v="3"/>
    <n v="1080.8440000000001"/>
    <n v="0"/>
    <n v="1163.79"/>
    <n v="0"/>
    <n v="609.91"/>
    <s v="NI"/>
    <n v="1"/>
    <n v="1254"/>
    <n v="1081"/>
    <n v="0.5"/>
    <n v="540.5"/>
  </r>
  <r>
    <x v="17"/>
    <s v="THIAGO TORRES"/>
    <n v="26"/>
    <n v="36"/>
    <d v="1899-12-31T23:59:00"/>
    <s v="EMA.TORRESN@GMAIL.COM"/>
    <x v="3"/>
    <n v="1080.8440000000001"/>
    <n v="0"/>
    <n v="1163.79"/>
    <n v="0"/>
    <n v="609.91"/>
    <s v="NI"/>
    <n v="1"/>
    <n v="1254"/>
    <n v="1081"/>
    <n v="0.5"/>
    <n v="540.5"/>
  </r>
  <r>
    <x v="17"/>
    <s v="THIAGO TORRES"/>
    <n v="26"/>
    <n v="36"/>
    <d v="1899-12-31T23:59:00"/>
    <s v="EMA.TORRESN@GMAIL.COM"/>
    <x v="3"/>
    <n v="1080.8440000000001"/>
    <n v="0"/>
    <n v="1163.79"/>
    <n v="0"/>
    <n v="609.91"/>
    <s v="NI"/>
    <n v="1"/>
    <n v="1254"/>
    <n v="1081"/>
    <n v="0.5"/>
    <n v="540.5"/>
  </r>
  <r>
    <x v="17"/>
    <s v="EIDA TORRES QUIROZ"/>
    <n v="31"/>
    <n v="36"/>
    <d v="1899-12-31T06:00:00"/>
    <s v="ERIGUTIERREZ23@GMAIL.COM"/>
    <x v="0"/>
    <n v="1080.9123999999999"/>
    <n v="2.5"/>
    <n v="1163.79"/>
    <n v="1.9580666999707901"/>
    <n v="1158.8800000000001"/>
    <s v="AD"/>
    <n v="1"/>
    <n v="1281"/>
    <n v="1108"/>
    <n v="0"/>
    <n v="1108"/>
  </r>
  <r>
    <x v="17"/>
    <s v="EIDA TORRES QUIROZ"/>
    <n v="31"/>
    <n v="36"/>
    <d v="1899-12-31T06:00:00"/>
    <s v="MIKELOVIL@HOTMAIL.COM"/>
    <x v="0"/>
    <n v="1080.9123999999999"/>
    <n v="2.5"/>
    <n v="1163.79"/>
    <n v="1.9580666999707901"/>
    <n v="1158.8800000000001"/>
    <s v="AD"/>
    <n v="1"/>
    <n v="1281"/>
    <n v="1108"/>
    <n v="0"/>
    <n v="1108"/>
  </r>
  <r>
    <x v="17"/>
    <s v="ERIKA ARIANA GUTIERREZ TORRES"/>
    <n v="30"/>
    <n v="36"/>
    <d v="1899-12-31T06:00:00"/>
    <s v="ERIGUTIERREZ23@GMAIL.COM"/>
    <x v="0"/>
    <n v="1080.9306999999999"/>
    <n v="2.5"/>
    <n v="1163.79"/>
    <n v="1.9580666999707901"/>
    <n v="1158.8800000000001"/>
    <s v="AD"/>
    <n v="1"/>
    <n v="1281"/>
    <n v="1108"/>
    <n v="0"/>
    <n v="1108"/>
  </r>
  <r>
    <x v="17"/>
    <s v="ERIKA ARIANA GUTIERREZ TORRES"/>
    <n v="30"/>
    <n v="36"/>
    <d v="1899-12-31T06:00:00"/>
    <s v="MIKELOVIL@HOTMAIL.COM"/>
    <x v="0"/>
    <n v="1080.9306999999999"/>
    <n v="2.5"/>
    <n v="1163.79"/>
    <n v="1.9580666999707901"/>
    <n v="1158.8800000000001"/>
    <s v="AD"/>
    <n v="1"/>
    <n v="1281"/>
    <n v="1108"/>
    <n v="0"/>
    <n v="1108"/>
  </r>
  <r>
    <x v="17"/>
    <s v="MIGUEL ANGEL VILLAGRAN AGUILAR"/>
    <n v="2"/>
    <n v="36"/>
    <d v="1899-12-31T06:00:00"/>
    <s v="ERIGUTIERREZ23@GMAIL.COM"/>
    <x v="0"/>
    <n v="1081.5663999999999"/>
    <n v="2.5"/>
    <n v="1163.79"/>
    <n v="1.9580666999707901"/>
    <n v="1158.8800000000001"/>
    <s v="AD"/>
    <n v="1"/>
    <n v="1282"/>
    <n v="1109"/>
    <n v="0"/>
    <n v="1109"/>
  </r>
  <r>
    <x v="17"/>
    <s v="MIGUEL ANGEL VILLAGRAN AGUILAR"/>
    <n v="2"/>
    <n v="36"/>
    <d v="1899-12-31T06:00:00"/>
    <s v="MIKELOVIL@HOTMAIL.COM"/>
    <x v="0"/>
    <n v="1081.5663999999999"/>
    <n v="2.5"/>
    <n v="1163.79"/>
    <n v="1.9580666999707901"/>
    <n v="1158.8800000000001"/>
    <s v="AD"/>
    <n v="1"/>
    <n v="1282"/>
    <n v="1109"/>
    <n v="0"/>
    <n v="1109"/>
  </r>
  <r>
    <x v="17"/>
    <s v="SANTIAGO VILLAGRAN GUTIERREZ"/>
    <n v="3"/>
    <n v="36"/>
    <d v="1899-12-31T06:00:00"/>
    <s v="ERIGUTIERREZ23@GMAIL.COM"/>
    <x v="0"/>
    <n v="1081.5482999999999"/>
    <n v="2.5"/>
    <n v="1163.79"/>
    <n v="1.9580666999707901"/>
    <n v="1158.8800000000001"/>
    <s v="AD"/>
    <n v="1"/>
    <n v="1282"/>
    <n v="1109"/>
    <n v="0"/>
    <n v="1109"/>
  </r>
  <r>
    <x v="17"/>
    <s v="SANTIAGO VILLAGRAN GUTIERREZ"/>
    <n v="3"/>
    <n v="36"/>
    <d v="1899-12-31T06:00:00"/>
    <s v="MIKELOVIL@HOTMAIL.COM"/>
    <x v="0"/>
    <n v="1081.5482999999999"/>
    <n v="2.5"/>
    <n v="1163.79"/>
    <n v="1.9580666999707901"/>
    <n v="1158.8800000000001"/>
    <s v="AD"/>
    <n v="1"/>
    <n v="1282"/>
    <n v="1109"/>
    <n v="0"/>
    <n v="1109"/>
  </r>
  <r>
    <x v="17"/>
    <s v="LUIS SALAZAR"/>
    <n v="19"/>
    <n v="36"/>
    <d v="1899-12-31T06:00:00"/>
    <s v="luis.salazar@ejemplo.com"/>
    <x v="2"/>
    <n v="1081.2483"/>
    <n v="7"/>
    <n v="1163.79"/>
    <n v="5.4825867599182097"/>
    <n v="1219.83"/>
    <s v="AD"/>
    <n v="1"/>
    <n v="1330"/>
    <n v="1157"/>
    <n v="0"/>
    <n v="1157"/>
  </r>
  <r>
    <x v="17"/>
    <s v="MARIA BORQUEZ"/>
    <n v="20"/>
    <n v="36"/>
    <d v="1899-12-31T06:00:00"/>
    <s v="maria.borquez@ejemplo.com"/>
    <x v="2"/>
    <n v="1081.2302999999999"/>
    <n v="7"/>
    <n v="1163.79"/>
    <n v="5.4825867599182097"/>
    <n v="1219.83"/>
    <s v="AD"/>
    <n v="1"/>
    <n v="1330"/>
    <n v="1157"/>
    <n v="0"/>
    <n v="1157"/>
  </r>
  <r>
    <x v="17"/>
    <s v="DIFERENCIA DE TARIFA SERGIO HERNANDEZ UGALDE"/>
    <n v="19"/>
    <n v="36"/>
    <d v="1899-12-31T23:30:00"/>
    <s v="diferencia.de.tarifa.sergio.hernandez.ugalde@ejemplo.com"/>
    <x v="1"/>
    <n v="1081.0890999999999"/>
    <n v="10"/>
    <n v="1163.79"/>
    <n v="7.8322667998831603"/>
    <n v="609.91"/>
    <s v="NI"/>
    <n v="1"/>
    <n v="1362"/>
    <n v="1189"/>
    <n v="0.5"/>
    <n v="594.5"/>
  </r>
  <r>
    <x v="17"/>
    <s v="SEBASTIAN GARCIA VELASCO"/>
    <n v="36"/>
    <n v="36"/>
    <d v="1899-12-31T23:59:00"/>
    <s v="SEBASTIAN.GARCIA@TRASVAL.COM"/>
    <x v="0"/>
    <n v="1080.5924"/>
    <n v="2.5"/>
    <n v="1163.79"/>
    <n v="1.9580666999707901"/>
    <n v="1158.8800000000001"/>
    <s v="AD"/>
    <n v="1"/>
    <n v="1281"/>
    <n v="1108"/>
    <n v="0"/>
    <n v="1108"/>
  </r>
  <r>
    <x v="17"/>
    <s v="JOSÃ‰ LUIS ESPINOSA"/>
    <n v="17"/>
    <n v="36"/>
    <d v="1899-12-31T23:10:00"/>
    <s v="IFTS_2108@HOTMAIL.COM"/>
    <x v="0"/>
    <n v="1081.0714"/>
    <n v="2.5"/>
    <n v="1163.79"/>
    <n v="1.9580666999707901"/>
    <n v="1158.8800000000001"/>
    <s v="AD"/>
    <n v="1"/>
    <n v="1281"/>
    <n v="1108"/>
    <n v="0"/>
    <n v="1108"/>
  </r>
  <r>
    <x v="17"/>
    <s v="MARCO ANTONIO DE LA CRUZ QUINTANA"/>
    <n v="1"/>
    <n v="36"/>
    <d v="1899-12-31T02:00:00"/>
    <s v="SALVADOR.ZAVALETA.AL@GMAIL.COM"/>
    <x v="0"/>
    <n v="1081.5900999999999"/>
    <n v="2.5"/>
    <n v="1163.79"/>
    <n v="1.9580666999707901"/>
    <n v="1158.8800000000001"/>
    <s v="AD"/>
    <n v="1"/>
    <n v="1282"/>
    <n v="1109"/>
    <n v="0"/>
    <n v="1109"/>
  </r>
  <r>
    <x v="17"/>
    <s v="IGNACIO FUENTES"/>
    <n v="27"/>
    <n v="36"/>
    <d v="1899-12-31T23:10:00"/>
    <s v="IFTS_2108@HOTMAIL.COM"/>
    <x v="0"/>
    <n v="1080.7592"/>
    <n v="2.5"/>
    <n v="1163.79"/>
    <n v="1.9580666999707901"/>
    <n v="1158.8800000000001"/>
    <s v="AD"/>
    <n v="1"/>
    <n v="1281"/>
    <n v="1108"/>
    <n v="0"/>
    <n v="1108"/>
  </r>
  <r>
    <x v="17"/>
    <s v="FRANCISCO GABRIEL MEDINA"/>
    <n v="36"/>
    <n v="36"/>
    <d v="1899-12-31T23:59:00"/>
    <s v="FCOMEDINA@SEVIME.COM"/>
    <x v="3"/>
    <n v="1080.6632999999999"/>
    <n v="0"/>
    <n v="1163.79"/>
    <n v="0"/>
    <n v="1158.8800000000001"/>
    <s v="AD"/>
    <n v="1"/>
    <n v="1254"/>
    <n v="1081"/>
    <n v="0"/>
    <n v="1081"/>
  </r>
  <r>
    <x v="17"/>
    <s v="ARMANDO SANCHEZ"/>
    <n v="18"/>
    <n v="36"/>
    <d v="1899-12-31T23:30:00"/>
    <s v="armando.sanchez@ejemplo.com"/>
    <x v="3"/>
    <n v="1081.1188999999999"/>
    <n v="0"/>
    <n v="1163.79"/>
    <n v="0"/>
    <n v="1158.8800000000001"/>
    <s v="AD"/>
    <n v="1"/>
    <n v="1254"/>
    <n v="1081"/>
    <n v="0"/>
    <n v="1081"/>
  </r>
  <r>
    <x v="17"/>
    <s v="ROBERTO ALVAREZ"/>
    <n v="13"/>
    <n v="36"/>
    <d v="1899-12-31T23:30:00"/>
    <s v="roberto.alvarez@ejemplo.com"/>
    <x v="2"/>
    <n v="1081.1298999999999"/>
    <n v="7"/>
    <n v="1163.79"/>
    <n v="5.4825867599182097"/>
    <n v="1219.83"/>
    <s v="AD"/>
    <n v="1"/>
    <n v="1330"/>
    <n v="1157"/>
    <n v="0"/>
    <n v="1157"/>
  </r>
  <r>
    <x v="17"/>
    <s v="ALEJANDRO BEDOLLA SEGURA SEGURA"/>
    <n v="21"/>
    <n v="36"/>
    <d v="1899-12-31T23:59:00"/>
    <s v="CONTABILIDAD@MARMISTANGELO.COM"/>
    <x v="3"/>
    <n v="1081.0650000000001"/>
    <n v="0"/>
    <n v="1163.79"/>
    <n v="0"/>
    <n v="1158.8800000000001"/>
    <s v="AD"/>
    <n v="1"/>
    <n v="1254"/>
    <n v="1081"/>
    <n v="0"/>
    <n v="1081"/>
  </r>
  <r>
    <x v="17"/>
    <s v="ALEJANDRO BEDOLLA SEGURA SEGURA"/>
    <n v="21"/>
    <n v="36"/>
    <d v="1899-12-31T23:59:00"/>
    <s v="CONTABILIDAD@MARMISTANGELO.COM"/>
    <x v="3"/>
    <n v="1081.0650000000001"/>
    <n v="0"/>
    <n v="1163.79"/>
    <n v="0"/>
    <n v="1158.8800000000001"/>
    <s v="AD"/>
    <n v="1"/>
    <n v="1254"/>
    <n v="1081"/>
    <n v="0"/>
    <n v="1081"/>
  </r>
  <r>
    <x v="17"/>
    <s v="LUIS AXEL GARCIA CONSTANTINO"/>
    <n v="24"/>
    <n v="36"/>
    <d v="1899-12-31T23:59:00"/>
    <s v="CONTABILIDAD@MARMISTANGELO.COM"/>
    <x v="3"/>
    <n v="1080.8783000000001"/>
    <n v="0"/>
    <n v="1163.79"/>
    <n v="0"/>
    <n v="1158.8800000000001"/>
    <s v="AD"/>
    <n v="1"/>
    <n v="1254"/>
    <n v="1081"/>
    <n v="0"/>
    <n v="1081"/>
  </r>
  <r>
    <x v="17"/>
    <s v="LUIS AXEL GARCIA CONSTANTINO"/>
    <n v="24"/>
    <n v="36"/>
    <d v="1899-12-31T23:59:00"/>
    <s v="CONTABILIDAD@MARMISTANGELO.COM"/>
    <x v="3"/>
    <n v="1080.8783000000001"/>
    <n v="0"/>
    <n v="1163.79"/>
    <n v="0"/>
    <n v="1158.8800000000001"/>
    <s v="AD"/>
    <n v="1"/>
    <n v="1254"/>
    <n v="1081"/>
    <n v="0"/>
    <n v="1081"/>
  </r>
  <r>
    <x v="17"/>
    <s v="MAYRA YAZMIN LOPEZ"/>
    <n v="1"/>
    <n v="36"/>
    <d v="1899-12-31T02:00:00"/>
    <s v="mayra.yazmin.lopez@ejemplo.com"/>
    <x v="0"/>
    <n v="1081.5839000000001"/>
    <n v="2.5"/>
    <n v="1163.79"/>
    <n v="1.9580666999707901"/>
    <n v="1158.8800000000001"/>
    <s v="AD"/>
    <n v="1"/>
    <n v="1282"/>
    <n v="1109"/>
    <n v="0"/>
    <n v="1109"/>
  </r>
  <r>
    <x v="17"/>
    <s v="MARIANA PÃ‰REZ"/>
    <n v="17"/>
    <n v="36"/>
    <d v="1899-12-31T23:30:00"/>
    <s v="VLZ.MARIANA@HOTMAIL.COM"/>
    <x v="3"/>
    <n v="1081.1359"/>
    <n v="0"/>
    <n v="1163.79"/>
    <n v="0"/>
    <n v="1158.8800000000001"/>
    <s v="AD"/>
    <n v="1"/>
    <n v="1254"/>
    <n v="1081"/>
    <n v="0"/>
    <n v="1081"/>
  </r>
  <r>
    <x v="17"/>
    <s v="ARMIDA RIVAS LOPEZ"/>
    <n v="1"/>
    <n v="36"/>
    <d v="1899-12-31T23:30:00"/>
    <s v="GONZALEZRIVASPAOLA@GMAIL.COM"/>
    <x v="3"/>
    <n v="1081.4236000000001"/>
    <n v="0"/>
    <n v="1163.79"/>
    <n v="0"/>
    <n v="1158.8800000000001"/>
    <s v="AD"/>
    <n v="1"/>
    <n v="1254"/>
    <n v="1081"/>
    <n v="0"/>
    <n v="1081"/>
  </r>
  <r>
    <x v="17"/>
    <s v="OSCAR QUIROGA"/>
    <n v="2"/>
    <n v="36"/>
    <d v="1899-12-31T23:30:00"/>
    <s v="oscar.quiroga@ejemplo.com"/>
    <x v="5"/>
    <n v="1081.393"/>
    <n v="8.5"/>
    <n v="1163.79"/>
    <n v="6.6574267799006801"/>
    <n v="1219.83"/>
    <s v="AD"/>
    <n v="1"/>
    <n v="1346"/>
    <n v="1173"/>
    <n v="0"/>
    <n v="1173"/>
  </r>
  <r>
    <x v="17"/>
    <s v="MARCELA ESTRADA"/>
    <n v="3"/>
    <n v="36"/>
    <d v="1899-12-31T23:30:00"/>
    <s v="marcela.estrada@ejemplo.com"/>
    <x v="5"/>
    <n v="1081.3751999999999"/>
    <n v="8.5"/>
    <n v="1163.79"/>
    <n v="6.6574267799006801"/>
    <n v="1219.83"/>
    <s v="AD"/>
    <n v="1"/>
    <n v="1346"/>
    <n v="1173"/>
    <n v="0"/>
    <n v="1173"/>
  </r>
  <r>
    <x v="17"/>
    <s v="BERNARDO ALEJANDRO ESTRADA SAMANIEGO"/>
    <n v="13"/>
    <n v="36"/>
    <d v="1899-12-31T23:59:00"/>
    <s v="ALESSSSS0207@GMAIL.COM"/>
    <x v="3"/>
    <n v="1081.2076"/>
    <n v="0"/>
    <n v="1163.79"/>
    <n v="0"/>
    <n v="1158.8800000000001"/>
    <s v="AD"/>
    <n v="1"/>
    <n v="1254"/>
    <n v="1081"/>
    <n v="0"/>
    <n v="1081"/>
  </r>
  <r>
    <x v="17"/>
    <s v="DIEGO DE JESUS HERNANDEZ JIMENEZ"/>
    <n v="2"/>
    <n v="36"/>
    <d v="1899-12-31T23:59:00"/>
    <s v="DIEGODEJESUSHJ@GMAIL.COM"/>
    <x v="3"/>
    <n v="1081.4049"/>
    <n v="0"/>
    <n v="1163.79"/>
    <n v="0"/>
    <n v="1158.8800000000001"/>
    <s v="AD"/>
    <n v="1"/>
    <n v="1254"/>
    <n v="1081"/>
    <n v="0"/>
    <n v="1081"/>
  </r>
  <r>
    <x v="17"/>
    <s v="EDGAR OMAR GARCÃA SANCHEZ"/>
    <n v="21"/>
    <n v="36"/>
    <d v="1899-12-31T23:59:00"/>
    <s v="edgar.omar.garcÃ­a.sanchez@ejemplo.com"/>
    <x v="4"/>
    <n v="1080.9971"/>
    <n v="5"/>
    <n v="1163.79"/>
    <n v="3.9161333999415802"/>
    <n v="609.91"/>
    <s v="IN"/>
    <n v="1"/>
    <n v="1308"/>
    <n v="1135"/>
    <n v="0.5"/>
    <n v="567.5"/>
  </r>
  <r>
    <x v="17"/>
    <s v="CHRISTOPHER VALLEJO"/>
    <n v="29"/>
    <n v="36"/>
    <d v="1899-12-31T23:30:00"/>
    <s v="CHRISVALLEJO429@GMAIL.COM"/>
    <x v="2"/>
    <n v="1080.7860000000001"/>
    <n v="7"/>
    <n v="1163.79"/>
    <n v="5.4825867599182097"/>
    <n v="1158.8800000000001"/>
    <s v="AD"/>
    <n v="1"/>
    <n v="1329"/>
    <n v="1156"/>
    <n v="0"/>
    <n v="1156"/>
  </r>
  <r>
    <x v="17"/>
    <s v="JORGE INFANTE ROJANO"/>
    <n v="32"/>
    <n v="36"/>
    <d v="1899-12-31T23:59:00"/>
    <s v="MSANTIAGO@SINTRALOGISTICS.COM"/>
    <x v="3"/>
    <n v="1080.7322999999999"/>
    <n v="0"/>
    <n v="1163.79"/>
    <n v="0"/>
    <n v="1158.8800000000001"/>
    <s v="AD"/>
    <n v="1"/>
    <n v="1254"/>
    <n v="1081"/>
    <n v="0"/>
    <n v="1081"/>
  </r>
  <r>
    <x v="17"/>
    <s v="IVAN ARTURO MAGDALENO TAMAYO"/>
    <n v="21"/>
    <n v="36"/>
    <d v="1899-12-31T02:00:00"/>
    <s v="IAMTAMAYO01@GMAIL.COM"/>
    <x v="3"/>
    <n v="1081.2275"/>
    <n v="0"/>
    <n v="1163.79"/>
    <n v="0"/>
    <n v="1158.8800000000001"/>
    <s v="AD"/>
    <n v="1"/>
    <n v="1254"/>
    <n v="1081"/>
    <n v="0"/>
    <n v="1081"/>
  </r>
  <r>
    <x v="17"/>
    <s v="OFELIA  TRUJILLO ESQUEDA"/>
    <n v="32"/>
    <n v="36"/>
    <d v="1899-12-31T23:30:00"/>
    <s v="ofelia..trujillo.esqueda@ejemplo.com"/>
    <x v="1"/>
    <n v="1080.7335"/>
    <n v="10"/>
    <n v="1163.79"/>
    <n v="7.8322667998831603"/>
    <n v="609.91"/>
    <s v="NI"/>
    <n v="1"/>
    <n v="1362"/>
    <n v="1189"/>
    <n v="0.5"/>
    <n v="594.5"/>
  </r>
  <r>
    <x v="17"/>
    <s v="JUAN FRANCISCO GARCIA TRUJILLO"/>
    <n v="30"/>
    <n v="36"/>
    <d v="1899-12-31T23:30:00"/>
    <s v="juan.francisco.garcia.trujillo@ejemplo.com"/>
    <x v="5"/>
    <n v="1080.7692999999999"/>
    <n v="8.5"/>
    <n v="1163.79"/>
    <n v="6.6574267799006801"/>
    <n v="1219.83"/>
    <s v="AD"/>
    <n v="1"/>
    <n v="1346"/>
    <n v="1173"/>
    <n v="0"/>
    <n v="1173"/>
  </r>
  <r>
    <x v="17"/>
    <s v="LUZ MARIA ROJAS CARDENAS"/>
    <n v="31"/>
    <n v="36"/>
    <d v="1899-12-31T23:30:00"/>
    <s v="luz.maria.rojas.cardenas@ejemplo.com"/>
    <x v="5"/>
    <n v="1080.7511999999999"/>
    <n v="8.5"/>
    <n v="1163.79"/>
    <n v="6.6574267799006801"/>
    <n v="1219.83"/>
    <s v="AD"/>
    <n v="1"/>
    <n v="1346"/>
    <n v="1173"/>
    <n v="0"/>
    <n v="1173"/>
  </r>
  <r>
    <x v="17"/>
    <s v="ELSA YADIRA VARGAS GONZÃLEZ"/>
    <n v="29"/>
    <n v="36"/>
    <d v="1899-12-31T11:00:00"/>
    <s v="IIHDAY.VGP@HOTMAIL.COM"/>
    <x v="0"/>
    <n v="1080.9467999999999"/>
    <n v="2.5"/>
    <n v="1163.79"/>
    <n v="1.9580666999707901"/>
    <n v="1158.8800000000001"/>
    <s v="AD"/>
    <n v="1"/>
    <n v="1281"/>
    <n v="1108"/>
    <n v="0"/>
    <n v="1108"/>
  </r>
  <r>
    <x v="17"/>
    <s v="FRANCISCO GERARDO RIOS VILLAGRAN"/>
    <n v="25"/>
    <n v="36"/>
    <d v="1899-12-31T06:00:00"/>
    <s v="FRANRIOS_58@HOTMAIL.COM"/>
    <x v="0"/>
    <n v="1081.0165"/>
    <n v="2.5"/>
    <n v="1163.79"/>
    <n v="1.9580666999707901"/>
    <n v="1158.8800000000001"/>
    <s v="AD"/>
    <n v="1"/>
    <n v="1281"/>
    <n v="1108"/>
    <n v="0"/>
    <n v="1108"/>
  </r>
  <r>
    <x v="17"/>
    <s v="JOSE MIGUEL VELAZQUEZ"/>
    <n v="4"/>
    <n v="36"/>
    <d v="1899-12-31T23:30:00"/>
    <s v="jose.miguel.velazquez@ejemplo.com"/>
    <x v="5"/>
    <n v="1081.2372"/>
    <n v="8.5"/>
    <n v="1163.79"/>
    <n v="6.6574267799006801"/>
    <n v="1219.83"/>
    <s v="AD"/>
    <n v="1"/>
    <n v="1346"/>
    <n v="1173"/>
    <n v="0"/>
    <n v="1173"/>
  </r>
  <r>
    <x v="17"/>
    <s v="ALMA BRAVO"/>
    <n v="25"/>
    <n v="36"/>
    <d v="1899-12-31T23:10:00"/>
    <s v="alma.bravo@ejemplo.com"/>
    <x v="1"/>
    <n v="1080.8586"/>
    <n v="10"/>
    <n v="1163.79"/>
    <n v="7.8322667998831603"/>
    <n v="609.91"/>
    <s v="NI"/>
    <n v="1"/>
    <n v="1362"/>
    <n v="1189"/>
    <n v="0.5"/>
    <n v="594.5"/>
  </r>
  <r>
    <x v="17"/>
    <s v="EVANGELINA   MARTINEZ  RODRIGUEZ"/>
    <n v="22"/>
    <n v="36"/>
    <d v="1899-12-31T23:10:00"/>
    <s v="evangelina...martinez..rodriguez@ejemplo.com"/>
    <x v="4"/>
    <n v="1080.9127000000001"/>
    <n v="5"/>
    <n v="1163.79"/>
    <n v="3.9161333999415802"/>
    <n v="609.91"/>
    <s v="IN"/>
    <n v="1"/>
    <n v="1308"/>
    <n v="1135"/>
    <n v="0.5"/>
    <n v="567.5"/>
  </r>
  <r>
    <x v="17"/>
    <s v="JESUS QUEZADA"/>
    <n v="9"/>
    <n v="36"/>
    <d v="1899-12-31T23:30:00"/>
    <s v="jesus.quezada@ejemplo.com"/>
    <x v="4"/>
    <n v="1081.2648999999999"/>
    <n v="5"/>
    <n v="1163.79"/>
    <n v="3.9161333999415802"/>
    <n v="609.91"/>
    <s v="IN"/>
    <n v="1"/>
    <n v="1308"/>
    <n v="1135"/>
    <n v="0.5"/>
    <n v="567.5"/>
  </r>
  <r>
    <x v="17"/>
    <s v="LUIS DAVID SALINAS"/>
    <n v="20"/>
    <n v="36"/>
    <d v="1899-12-31T23:30:00"/>
    <s v="luis.david.salinas@ejemplo.com"/>
    <x v="5"/>
    <n v="1081.0671"/>
    <n v="8.5"/>
    <n v="1163.79"/>
    <n v="6.6574267799006801"/>
    <n v="1219.83"/>
    <s v="AD"/>
    <n v="1"/>
    <n v="1346"/>
    <n v="1173"/>
    <n v="0"/>
    <n v="1173"/>
  </r>
  <r>
    <x v="17"/>
    <s v="JUAN CAMACHO"/>
    <n v="15"/>
    <n v="36"/>
    <d v="1899-12-31T23:30:00"/>
    <s v="juan.camacho@ejemplo.com"/>
    <x v="5"/>
    <n v="1079.1256000000001"/>
    <n v="8.5"/>
    <n v="1163.79"/>
    <n v="6.6574267799006801"/>
    <n v="1219.83"/>
    <s v="AD"/>
    <n v="1"/>
    <n v="1344"/>
    <n v="1171"/>
    <n v="0"/>
    <n v="1171"/>
  </r>
  <r>
    <x v="17"/>
    <s v="ULISES OSEGUEDA DE CV"/>
    <n v="7"/>
    <n v="36"/>
    <d v="1899-12-31T23:59:00"/>
    <s v="DIPAFRESA@HOTMAIL.COM"/>
    <x v="2"/>
    <n v="1081.2472"/>
    <n v="7"/>
    <n v="1163.79"/>
    <n v="5.4825867599182097"/>
    <n v="1158.8800000000001"/>
    <s v="AD"/>
    <n v="1"/>
    <n v="1330"/>
    <n v="1157"/>
    <n v="0"/>
    <n v="1157"/>
  </r>
  <r>
    <x v="17"/>
    <s v="ANDRES MENDOZA MARTÃNEZ"/>
    <n v="23"/>
    <n v="36"/>
    <d v="1899-12-31T23:30:00"/>
    <s v="CREDITOYCOBRANZA@GRUPOEDM.COM.MX"/>
    <x v="3"/>
    <n v="1080.8931"/>
    <n v="0"/>
    <n v="1163.79"/>
    <n v="0"/>
    <n v="1158.8800000000001"/>
    <s v="AD"/>
    <n v="1"/>
    <n v="1254"/>
    <n v="1081"/>
    <n v="0"/>
    <n v="1081"/>
  </r>
  <r>
    <x v="17"/>
    <s v="ANDRES MENDOZA MARTÃNEZ"/>
    <n v="23"/>
    <n v="36"/>
    <d v="1899-12-31T23:30:00"/>
    <s v="CREDITOYCOBRANZA@GRUPOEDM.COM.MX"/>
    <x v="3"/>
    <n v="1080.8931"/>
    <n v="0"/>
    <n v="1163.79"/>
    <n v="0"/>
    <n v="1158.8800000000001"/>
    <s v="AD"/>
    <n v="1"/>
    <n v="1254"/>
    <n v="1081"/>
    <n v="0"/>
    <n v="1081"/>
  </r>
  <r>
    <x v="17"/>
    <s v="ERIC EDGARDO GONZALEZ MIRANDA"/>
    <n v="22"/>
    <n v="36"/>
    <d v="1899-12-31T23:30:00"/>
    <s v="CREDITOYCOBRANZA@GRUPOEDM.COM.MX"/>
    <x v="3"/>
    <n v="1080.9113"/>
    <n v="0"/>
    <n v="1163.79"/>
    <n v="0"/>
    <n v="1158.8800000000001"/>
    <s v="AD"/>
    <n v="1"/>
    <n v="1254"/>
    <n v="1081"/>
    <n v="0"/>
    <n v="1081"/>
  </r>
  <r>
    <x v="17"/>
    <s v="ERIC EDGARDO GONZALEZ MIRANDA"/>
    <n v="22"/>
    <n v="36"/>
    <d v="1899-12-31T23:30:00"/>
    <s v="CREDITOYCOBRANZA@GRUPOEDM.COM.MX"/>
    <x v="3"/>
    <n v="1080.9113"/>
    <n v="0"/>
    <n v="1163.79"/>
    <n v="0"/>
    <n v="1158.8800000000001"/>
    <s v="AD"/>
    <n v="1"/>
    <n v="1254"/>
    <n v="1081"/>
    <n v="0"/>
    <n v="1081"/>
  </r>
  <r>
    <x v="17"/>
    <s v="JUAN CAMACHO"/>
    <n v="15"/>
    <n v="36"/>
    <d v="1899-12-31T23:30:00"/>
    <s v="juan.camacho@ejemplo.com"/>
    <x v="5"/>
    <n v="1081.1570999999999"/>
    <n v="8.5"/>
    <n v="1163.79"/>
    <n v="6.6574267799006801"/>
    <n v="1219.83"/>
    <s v="AD"/>
    <n v="1"/>
    <n v="1346"/>
    <n v="1173"/>
    <n v="0"/>
    <n v="1173"/>
  </r>
  <r>
    <x v="17"/>
    <s v="FERNANDO   URBINA   CASTILLO"/>
    <n v="5"/>
    <n v="36"/>
    <d v="1899-12-31T23:30:00"/>
    <s v="fernando...urbina...castillo@ejemplo.com"/>
    <x v="3"/>
    <n v="1081.3371999999999"/>
    <n v="0"/>
    <n v="1163.79"/>
    <n v="0"/>
    <n v="975.86"/>
    <s v="PE"/>
    <n v="1"/>
    <n v="1254"/>
    <n v="1081"/>
    <n v="0"/>
    <n v="1081"/>
  </r>
  <r>
    <x v="17"/>
    <s v="ROGELIO REYES MARTINEZ"/>
    <n v="12"/>
    <n v="36"/>
    <d v="1899-12-31T23:59:00"/>
    <s v="ONOFFROGELIO@OUTLOOK.COM"/>
    <x v="3"/>
    <n v="1081.2225000000001"/>
    <n v="0"/>
    <n v="1163.79"/>
    <n v="0"/>
    <n v="1158.8800000000001"/>
    <s v="AD"/>
    <n v="1"/>
    <n v="1254"/>
    <n v="1081"/>
    <n v="0"/>
    <n v="1081"/>
  </r>
  <r>
    <x v="17"/>
    <s v="OBDULIO  SALAS   VARGAS"/>
    <n v="14"/>
    <n v="36"/>
    <d v="1899-12-31T23:30:00"/>
    <s v="obdulio..salas...vargas@ejemplo.com"/>
    <x v="3"/>
    <n v="1081.1747"/>
    <n v="0"/>
    <n v="1163.79"/>
    <n v="0"/>
    <n v="975.86"/>
    <s v="PE"/>
    <n v="1"/>
    <n v="1254"/>
    <n v="1081"/>
    <n v="0"/>
    <n v="1081"/>
  </r>
  <r>
    <x v="17"/>
    <s v="CHARITO ANDREA GONZALEZ PEREZ"/>
    <n v="6"/>
    <n v="36"/>
    <d v="1899-12-31T06:00:00"/>
    <s v="OBESURG@YAHOO.COM.MX"/>
    <x v="0"/>
    <n v="1081.4938999999999"/>
    <n v="2.5"/>
    <n v="1163.79"/>
    <n v="1.9580666999707901"/>
    <n v="1158.8800000000001"/>
    <s v="AD"/>
    <n v="1"/>
    <n v="1282"/>
    <n v="1109"/>
    <n v="0"/>
    <n v="1109"/>
  </r>
  <r>
    <x v="17"/>
    <s v="CHARITO ANDREA GONZALEZ PEREZ"/>
    <n v="6"/>
    <n v="36"/>
    <d v="1899-12-31T06:00:00"/>
    <s v="OBESURG@YAHOO.COM.MX"/>
    <x v="0"/>
    <n v="1081.4938999999999"/>
    <n v="2.5"/>
    <n v="1163.79"/>
    <n v="1.9580666999707901"/>
    <n v="1158.8800000000001"/>
    <s v="AD"/>
    <n v="1"/>
    <n v="1282"/>
    <n v="1109"/>
    <n v="0"/>
    <n v="1109"/>
  </r>
  <r>
    <x v="17"/>
    <s v="JOSE CASTANEDA CRUZ"/>
    <n v="5"/>
    <n v="36"/>
    <d v="1899-12-31T06:00:00"/>
    <s v="OBESURG@YAHOO.COM.MX"/>
    <x v="0"/>
    <n v="1081.5118"/>
    <n v="2.5"/>
    <n v="1163.79"/>
    <n v="1.9580666999707901"/>
    <n v="1158.8800000000001"/>
    <s v="AD"/>
    <n v="1"/>
    <n v="1282"/>
    <n v="1109"/>
    <n v="0"/>
    <n v="1109"/>
  </r>
  <r>
    <x v="17"/>
    <s v="JOSE CASTANEDA CRUZ"/>
    <n v="5"/>
    <n v="36"/>
    <d v="1899-12-31T06:00:00"/>
    <s v="OBESURG@YAHOO.COM.MX"/>
    <x v="0"/>
    <n v="1081.5118"/>
    <n v="2.5"/>
    <n v="1163.79"/>
    <n v="1.9580666999707901"/>
    <n v="1158.8800000000001"/>
    <s v="AD"/>
    <n v="1"/>
    <n v="1282"/>
    <n v="1109"/>
    <n v="0"/>
    <n v="1109"/>
  </r>
  <r>
    <x v="17"/>
    <s v="JOSE    MORENO"/>
    <n v="33"/>
    <n v="36"/>
    <d v="1899-12-31T23:59:00"/>
    <s v="jose....moreno@ejemplo.com"/>
    <x v="5"/>
    <n v="1080.7144000000001"/>
    <n v="8.5"/>
    <n v="1163.79"/>
    <n v="6.6574267799006801"/>
    <n v="1219.83"/>
    <s v="AD"/>
    <n v="1"/>
    <n v="1345"/>
    <n v="1173"/>
    <n v="0"/>
    <n v="1173"/>
  </r>
  <r>
    <x v="17"/>
    <s v="ESTEBAN FONG"/>
    <n v="6"/>
    <n v="36"/>
    <d v="1899-12-31T23:59:00"/>
    <s v="esteban.fong@ejemplo.com"/>
    <x v="5"/>
    <n v="1081.3186000000001"/>
    <n v="8.5"/>
    <n v="1163.79"/>
    <n v="6.6574267799006801"/>
    <n v="1219.83"/>
    <s v="AD"/>
    <n v="1"/>
    <n v="1346"/>
    <n v="1173"/>
    <n v="0"/>
    <n v="1173"/>
  </r>
  <r>
    <x v="18"/>
    <s v="FLABIO LLAMAS"/>
    <n v="32"/>
    <n v="36"/>
    <d v="1899-12-31T02:00:00"/>
    <s v="flabio.llamas@ejemplo.com"/>
    <x v="2"/>
    <n v="1080.8823"/>
    <n v="7"/>
    <n v="1163.79"/>
    <n v="5.4825867599182097"/>
    <n v="1219.83"/>
    <s v="AD"/>
    <n v="1"/>
    <n v="1329"/>
    <n v="1157"/>
    <n v="0"/>
    <n v="1157"/>
  </r>
  <r>
    <x v="18"/>
    <s v="JOSE MANUEL CARDONA"/>
    <n v="6"/>
    <n v="36"/>
    <d v="1899-12-31T02:00:00"/>
    <s v="jose.manuel.cardona@ejemplo.com"/>
    <x v="2"/>
    <n v="1081.4825000000001"/>
    <n v="7"/>
    <n v="1163.79"/>
    <n v="5.4825867599182097"/>
    <n v="1219.83"/>
    <s v="AD"/>
    <n v="1"/>
    <n v="1330"/>
    <n v="1157"/>
    <n v="0"/>
    <n v="1157"/>
  </r>
  <r>
    <x v="18"/>
    <s v="GERARDO MEJIA"/>
    <n v="35"/>
    <n v="36"/>
    <d v="1899-12-31T02:00:00"/>
    <s v="gerardo.mejia@ejemplo.com"/>
    <x v="2"/>
    <n v="1080.8279"/>
    <n v="7"/>
    <n v="1163.79"/>
    <n v="5.4825867599182097"/>
    <n v="1219.83"/>
    <s v="AD"/>
    <n v="1"/>
    <n v="1329"/>
    <n v="1156"/>
    <n v="0"/>
    <n v="1156"/>
  </r>
  <r>
    <x v="18"/>
    <s v="RUBEN VARGAS"/>
    <n v="7"/>
    <n v="36"/>
    <d v="1899-12-31T02:00:00"/>
    <s v="ruben.vargas@ejemplo.com"/>
    <x v="4"/>
    <n v="1081.4635000000001"/>
    <n v="5"/>
    <n v="1163.79"/>
    <n v="3.9161333999415802"/>
    <n v="609.91"/>
    <s v="IN"/>
    <n v="1"/>
    <n v="1309"/>
    <n v="1136"/>
    <n v="0.5"/>
    <n v="568"/>
  </r>
  <r>
    <x v="18"/>
    <s v="BENJAMIN MATEO VARGAS"/>
    <n v="8"/>
    <n v="36"/>
    <d v="1899-12-31T02:00:00"/>
    <s v="benjamin.mateo.vargas@ejemplo.com"/>
    <x v="1"/>
    <n v="1081.4454000000001"/>
    <n v="10"/>
    <n v="1163.79"/>
    <n v="7.8322667998831603"/>
    <n v="609.91"/>
    <s v="NI"/>
    <n v="1"/>
    <n v="1363"/>
    <n v="1190"/>
    <n v="0.5"/>
    <n v="595"/>
  </r>
  <r>
    <x v="18"/>
    <s v="KARLA VARGAS"/>
    <n v="9"/>
    <n v="36"/>
    <d v="1899-12-31T02:00:00"/>
    <s v="karla.vargas@ejemplo.com"/>
    <x v="2"/>
    <n v="1081.4276"/>
    <n v="7"/>
    <n v="1163.79"/>
    <n v="5.4825867599182097"/>
    <n v="1219.83"/>
    <s v="AD"/>
    <n v="1"/>
    <n v="1330"/>
    <n v="1157"/>
    <n v="0"/>
    <n v="1157"/>
  </r>
  <r>
    <x v="18"/>
    <s v="MANUEL OJEDA"/>
    <n v="10"/>
    <n v="36"/>
    <d v="1899-12-31T02:00:00"/>
    <s v="manuel.ojeda@ejemplo.com"/>
    <x v="2"/>
    <n v="1081.4096999999999"/>
    <n v="7"/>
    <n v="1163.79"/>
    <n v="5.4825867599182097"/>
    <n v="1219.83"/>
    <s v="AD"/>
    <n v="1"/>
    <n v="1330"/>
    <n v="1157"/>
    <n v="0"/>
    <n v="1157"/>
  </r>
  <r>
    <x v="18"/>
    <s v="ISMAEL VILLAGOMEZ TELLEZ"/>
    <n v="31"/>
    <n v="36"/>
    <d v="1899-12-31T02:00:00"/>
    <s v="ismael.villagomez.tellez@ejemplo.com"/>
    <x v="5"/>
    <n v="1080.8995"/>
    <n v="8.5"/>
    <n v="1163.79"/>
    <n v="6.6574267799006801"/>
    <n v="1219.83"/>
    <s v="AD"/>
    <n v="1"/>
    <n v="1346"/>
    <n v="1173"/>
    <n v="0"/>
    <n v="1173"/>
  </r>
  <r>
    <x v="18"/>
    <s v="RENATA LOPEZ"/>
    <n v="23"/>
    <n v="36"/>
    <d v="1899-12-31T02:00:00"/>
    <s v="renata.lopez@ejemplo.com"/>
    <x v="2"/>
    <n v="1081.0435"/>
    <n v="7"/>
    <n v="1163.79"/>
    <n v="5.4825867599182097"/>
    <n v="1219.83"/>
    <s v="AD"/>
    <n v="1"/>
    <n v="1330"/>
    <n v="1157"/>
    <n v="0"/>
    <n v="1157"/>
  </r>
  <r>
    <x v="18"/>
    <s v="JOSE LUIS LOPEZ"/>
    <n v="33"/>
    <n v="36"/>
    <d v="1899-12-31T02:00:00"/>
    <s v="jose.luis.lopez@ejemplo.com"/>
    <x v="2"/>
    <n v="1080.8635999999999"/>
    <n v="7"/>
    <n v="1163.79"/>
    <n v="5.4825867599182097"/>
    <n v="1219.83"/>
    <s v="AD"/>
    <n v="1"/>
    <n v="1329"/>
    <n v="1157"/>
    <n v="0"/>
    <n v="1157"/>
  </r>
  <r>
    <x v="18"/>
    <s v="JOSÃ‰ EDUARDO OLVERA OROCIO"/>
    <n v="16"/>
    <n v="36"/>
    <d v="1899-12-31T02:00:00"/>
    <s v="VIC.BERBEL18@GMAIL.COM"/>
    <x v="3"/>
    <n v="1081.3151"/>
    <n v="0"/>
    <n v="1163.79"/>
    <n v="0"/>
    <n v="1158.8800000000001"/>
    <s v="AD"/>
    <n v="1"/>
    <n v="1254"/>
    <n v="1081"/>
    <n v="0"/>
    <n v="1081"/>
  </r>
  <r>
    <x v="18"/>
    <s v="CAROLINA ZUNIGA"/>
    <n v="4"/>
    <n v="36"/>
    <d v="1899-12-31T02:00:00"/>
    <s v="MUSSYPOCKET@GMAIL.COM"/>
    <x v="3"/>
    <n v="1081.3982000000001"/>
    <n v="0"/>
    <n v="1163.79"/>
    <n v="0"/>
    <n v="1158.8800000000001"/>
    <s v="AD"/>
    <n v="1"/>
    <n v="1254"/>
    <n v="1081"/>
    <n v="0"/>
    <n v="1081"/>
  </r>
  <r>
    <x v="18"/>
    <s v="PATRICIA LOPEZ HERNANDEZ"/>
    <n v="24"/>
    <n v="36"/>
    <d v="1899-12-31T11:00:00"/>
    <s v="ALEJANDRO.FLORESLOPEZ1995@GMAIL.COM"/>
    <x v="0"/>
    <n v="1081.0343"/>
    <n v="2.5"/>
    <n v="1163.79"/>
    <n v="1.9580666999707901"/>
    <n v="1158.8800000000001"/>
    <s v="AD"/>
    <n v="1"/>
    <n v="1281"/>
    <n v="1108"/>
    <n v="0"/>
    <n v="1108"/>
  </r>
  <r>
    <x v="18"/>
    <s v="WALTER BLANCO MÃRQUEZ"/>
    <n v="8"/>
    <n v="36"/>
    <d v="1899-12-31T11:00:00"/>
    <s v="WALTHA_RIUS@YAHOO.COM"/>
    <x v="2"/>
    <n v="1081.4536000000001"/>
    <n v="7"/>
    <n v="1163.79"/>
    <n v="5.4825867599182097"/>
    <n v="1158.8800000000001"/>
    <s v="AD"/>
    <n v="1"/>
    <n v="1330"/>
    <n v="1157"/>
    <n v="0"/>
    <n v="1157"/>
  </r>
  <r>
    <x v="18"/>
    <s v="JUAN RAMÃ“N GONZÃLEZ BARBOSA"/>
    <n v="35"/>
    <n v="36"/>
    <d v="1899-12-31T23:30:00"/>
    <s v="JUANRAMONGONZALEZ090@GMAIL.COM"/>
    <x v="3"/>
    <n v="1080.6066000000001"/>
    <n v="0"/>
    <n v="1163.79"/>
    <n v="0"/>
    <n v="1158.8800000000001"/>
    <s v="AD"/>
    <n v="1"/>
    <n v="1254"/>
    <n v="1081"/>
    <n v="0"/>
    <n v="1081"/>
  </r>
  <r>
    <x v="18"/>
    <s v="MARIA  ANGELINA  JARAMILLO  AGUIRRE"/>
    <n v="4"/>
    <n v="36"/>
    <d v="1899-12-31T06:00:00"/>
    <s v="maria..angelina..jaramillo..aguirre@ejemplo.com"/>
    <x v="4"/>
    <n v="1081.3823"/>
    <n v="5"/>
    <n v="1163.79"/>
    <n v="3.9161333999415802"/>
    <n v="609.91"/>
    <s v="IN"/>
    <n v="1"/>
    <n v="1308"/>
    <n v="1135"/>
    <n v="0.5"/>
    <n v="567.5"/>
  </r>
  <r>
    <x v="18"/>
    <s v="THOMAS PAYNE"/>
    <n v="15"/>
    <n v="36"/>
    <d v="1899-12-31T06:00:00"/>
    <s v="TSPAYNE81@GMAIL.COM"/>
    <x v="2"/>
    <n v="1081.3148000000001"/>
    <n v="7"/>
    <n v="1163.79"/>
    <n v="5.4825867599182097"/>
    <n v="1219.83"/>
    <s v="AD"/>
    <n v="1"/>
    <n v="1330"/>
    <n v="1157"/>
    <n v="0"/>
    <n v="1157"/>
  </r>
  <r>
    <x v="18"/>
    <s v="EDUARDO CAMPOS"/>
    <n v="13"/>
    <n v="36"/>
    <d v="1899-12-31T06:00:00"/>
    <s v="eduardo.campos@ejemplo.com"/>
    <x v="5"/>
    <n v="1081.3506"/>
    <n v="8.5"/>
    <n v="1163.79"/>
    <n v="6.6574267799006801"/>
    <n v="1219.83"/>
    <s v="AD"/>
    <n v="1"/>
    <n v="1346"/>
    <n v="1173"/>
    <n v="0"/>
    <n v="1173"/>
  </r>
  <r>
    <x v="18"/>
    <s v="CUAUHTEMOC GARCIA"/>
    <n v="35"/>
    <n v="36"/>
    <d v="1899-12-31T06:00:00"/>
    <s v="cuauhtemoc.garcia@ejemplo.com"/>
    <x v="5"/>
    <n v="1080.8241"/>
    <n v="8.5"/>
    <n v="1163.79"/>
    <n v="6.6574267799006801"/>
    <n v="609.91"/>
    <s v="NI"/>
    <n v="1"/>
    <n v="1346"/>
    <n v="1173"/>
    <n v="0.5"/>
    <n v="586.5"/>
  </r>
  <r>
    <x v="18"/>
    <s v="LUIS ENRIQUE ALCAZAR PADILLA"/>
    <n v="33"/>
    <n v="36"/>
    <d v="1899-12-31T11:00:00"/>
    <s v="luis.enrique.alcazar.padilla@ejemplo.com"/>
    <x v="5"/>
    <n v="1080.8615"/>
    <n v="8.5"/>
    <n v="1163.79"/>
    <n v="6.6574267799006801"/>
    <n v="1097.8399999999999"/>
    <s v="AD"/>
    <n v="1"/>
    <n v="1346"/>
    <n v="1173"/>
    <n v="0"/>
    <n v="1173"/>
  </r>
  <r>
    <x v="18"/>
    <s v="ADRIANA SANTOS DE LA TORRE"/>
    <n v="34"/>
    <n v="36"/>
    <d v="1899-12-31T11:00:00"/>
    <s v="adriana.santos.de.la.torre@ejemplo.com"/>
    <x v="5"/>
    <n v="1080.8434"/>
    <n v="8.5"/>
    <n v="1163.79"/>
    <n v="6.6574267799006801"/>
    <n v="1097.8399999999999"/>
    <s v="AD"/>
    <n v="1"/>
    <n v="1346"/>
    <n v="1173"/>
    <n v="0"/>
    <n v="1173"/>
  </r>
  <r>
    <x v="18"/>
    <s v="LUIS DANIEL GONZÃLEZ GONZÃLEZ"/>
    <n v="3"/>
    <n v="36"/>
    <d v="1899-12-31T11:00:00"/>
    <s v="JPABLO_GLEZ@HOTMAIL.COM"/>
    <x v="5"/>
    <n v="1081.5238999999999"/>
    <n v="8.5"/>
    <n v="1163.79"/>
    <n v="6.6574267799006801"/>
    <n v="1219.83"/>
    <s v="AD"/>
    <n v="1"/>
    <n v="1346"/>
    <n v="1173"/>
    <n v="0"/>
    <n v="1173"/>
  </r>
  <r>
    <x v="18"/>
    <s v="YARELIS  SEIJAS"/>
    <n v="9"/>
    <n v="36"/>
    <d v="1899-12-31T11:00:00"/>
    <s v="yarelis..seijas@ejemplo.com"/>
    <x v="5"/>
    <n v="1081.4160999999999"/>
    <n v="8.5"/>
    <n v="1163.79"/>
    <n v="6.6574267799006801"/>
    <n v="1219.83"/>
    <s v="AD"/>
    <n v="1"/>
    <n v="1346"/>
    <n v="1173"/>
    <n v="0"/>
    <n v="1173"/>
  </r>
  <r>
    <x v="18"/>
    <s v="JORGE HERNANDEZ"/>
    <n v="16"/>
    <n v="36"/>
    <d v="1899-12-31T23:30:00"/>
    <s v="jorge.hernandez@ejemplo.com"/>
    <x v="5"/>
    <n v="1081.0579"/>
    <n v="8.5"/>
    <n v="1163.79"/>
    <n v="6.6574267799006801"/>
    <n v="609.91"/>
    <s v="IN"/>
    <n v="1"/>
    <n v="1346"/>
    <n v="1173"/>
    <n v="0.5"/>
    <n v="586.5"/>
  </r>
  <r>
    <x v="18"/>
    <s v="ADA SAMARIO"/>
    <n v="7"/>
    <n v="36"/>
    <d v="1899-12-31T23:30:00"/>
    <s v="ADA.SAMARIO.S@GMAIL.COM"/>
    <x v="0"/>
    <n v="1081.2316000000001"/>
    <n v="2.5"/>
    <n v="1163.79"/>
    <n v="1.9580666999707901"/>
    <n v="1158.8800000000001"/>
    <s v="AD"/>
    <n v="1"/>
    <n v="1281"/>
    <n v="1108"/>
    <n v="0"/>
    <n v="1108"/>
  </r>
  <r>
    <x v="18"/>
    <s v="EZEQUIEL LUNA LOPEZ"/>
    <n v="12"/>
    <n v="36"/>
    <d v="1899-12-31T06:00:00"/>
    <s v="LUNALOPEZ9371@GMAIL.COM"/>
    <x v="0"/>
    <n v="1081.3701000000001"/>
    <n v="2.5"/>
    <n v="1163.79"/>
    <n v="1.9580666999707901"/>
    <n v="1158.8800000000001"/>
    <s v="AD"/>
    <n v="1"/>
    <n v="1281"/>
    <n v="1108"/>
    <n v="0"/>
    <n v="1108"/>
  </r>
  <r>
    <x v="18"/>
    <s v="EZEQUIEL LUNA LOPEZ"/>
    <n v="12"/>
    <n v="36"/>
    <d v="1899-12-31T06:00:00"/>
    <s v="LUNALOPEZ9371@GMAIL.COM"/>
    <x v="0"/>
    <n v="1081.3701000000001"/>
    <n v="2.5"/>
    <n v="1163.79"/>
    <n v="1.9580666999707901"/>
    <n v="1158.8800000000001"/>
    <s v="AD"/>
    <n v="1"/>
    <n v="1281"/>
    <n v="1108"/>
    <n v="0"/>
    <n v="1108"/>
  </r>
  <r>
    <x v="18"/>
    <s v="GUADALUPE LOPEZ ARMENDARIZ"/>
    <n v="11"/>
    <n v="36"/>
    <d v="1899-12-31T06:00:00"/>
    <s v="LUNALOPEZ9371@GMAIL.COM"/>
    <x v="0"/>
    <n v="1081.3882000000001"/>
    <n v="2.5"/>
    <n v="1163.79"/>
    <n v="1.9580666999707901"/>
    <n v="1158.8800000000001"/>
    <s v="AD"/>
    <n v="1"/>
    <n v="1281"/>
    <n v="1108"/>
    <n v="0"/>
    <n v="1108"/>
  </r>
  <r>
    <x v="18"/>
    <s v="GUADALUPE LOPEZ ARMENDARIZ"/>
    <n v="11"/>
    <n v="36"/>
    <d v="1899-12-31T06:00:00"/>
    <s v="LUNALOPEZ9371@GMAIL.COM"/>
    <x v="0"/>
    <n v="1081.3882000000001"/>
    <n v="2.5"/>
    <n v="1163.79"/>
    <n v="1.9580666999707901"/>
    <n v="1158.8800000000001"/>
    <s v="AD"/>
    <n v="1"/>
    <n v="1281"/>
    <n v="1108"/>
    <n v="0"/>
    <n v="1108"/>
  </r>
  <r>
    <x v="18"/>
    <s v="RAYMUNDO GONZÃLEZ LÃ“PEZ"/>
    <n v="24"/>
    <n v="36"/>
    <d v="1899-12-31T23:59:00"/>
    <s v="CREDITOYCOBRANZA@GRUPOEDM.COM.MX"/>
    <x v="3"/>
    <n v="1080.7971"/>
    <n v="0"/>
    <n v="1163.79"/>
    <n v="0"/>
    <n v="1158.8800000000001"/>
    <s v="AD"/>
    <n v="1"/>
    <n v="1254"/>
    <n v="1081"/>
    <n v="0"/>
    <n v="1081"/>
  </r>
  <r>
    <x v="18"/>
    <s v="JERONIMO SANCHEZ CRUZ"/>
    <n v="13"/>
    <n v="36"/>
    <d v="1899-12-31T23:59:00"/>
    <s v="FACTURASRAMSA3@GMAIL.COM"/>
    <x v="4"/>
    <n v="1081.1274000000001"/>
    <n v="5"/>
    <n v="1163.79"/>
    <n v="3.9161333999415802"/>
    <n v="609.91"/>
    <s v="IN"/>
    <n v="1"/>
    <n v="1308"/>
    <n v="1135"/>
    <n v="0.5"/>
    <n v="567.5"/>
  </r>
  <r>
    <x v="18"/>
    <s v="ISMAEL GARCIA SOLACHE"/>
    <n v="7"/>
    <n v="36"/>
    <d v="1899-12-31T23:30:00"/>
    <s v="MTG210921@GMAIL.COM"/>
    <x v="3"/>
    <n v="1081.2347"/>
    <n v="0"/>
    <n v="1163.79"/>
    <n v="0"/>
    <n v="1158.8800000000001"/>
    <s v="AD"/>
    <n v="1"/>
    <n v="1254"/>
    <n v="1081"/>
    <n v="0"/>
    <n v="1081"/>
  </r>
  <r>
    <x v="18"/>
    <s v="ALICIA CUBILLOS ROSAS"/>
    <n v="5"/>
    <n v="36"/>
    <d v="1899-12-31T23:59:00"/>
    <s v="JENNY.VELASCO@FAWPIRAMIDES.COM"/>
    <x v="2"/>
    <n v="1081.2705000000001"/>
    <n v="7"/>
    <n v="1163.79"/>
    <n v="5.4825867599182097"/>
    <n v="1158.8800000000001"/>
    <s v="AD"/>
    <n v="1"/>
    <n v="1330"/>
    <n v="1157"/>
    <n v="0"/>
    <n v="1157"/>
  </r>
  <r>
    <x v="18"/>
    <s v="ALICIA CUBILLOS ROSAS"/>
    <n v="5"/>
    <n v="36"/>
    <d v="1899-12-31T23:59:00"/>
    <s v="JENNY.VELASCO@FAWPIRAMIDES.COM"/>
    <x v="2"/>
    <n v="1081.2705000000001"/>
    <n v="7"/>
    <n v="1163.79"/>
    <n v="5.4825867599182097"/>
    <n v="1158.8800000000001"/>
    <s v="AD"/>
    <n v="1"/>
    <n v="1330"/>
    <n v="1157"/>
    <n v="0"/>
    <n v="1157"/>
  </r>
  <r>
    <x v="18"/>
    <s v="ALICIA CUBILLOS ROSAS"/>
    <n v="5"/>
    <n v="36"/>
    <d v="1899-12-31T23:59:00"/>
    <s v="JENNY.VELASCO@FAWPIRAMIDES.COM"/>
    <x v="2"/>
    <n v="1081.2705000000001"/>
    <n v="7"/>
    <n v="1163.79"/>
    <n v="5.4825867599182097"/>
    <n v="1158.8800000000001"/>
    <s v="AD"/>
    <n v="1"/>
    <n v="1330"/>
    <n v="1157"/>
    <n v="0"/>
    <n v="1157"/>
  </r>
  <r>
    <x v="18"/>
    <s v="ANGELICA CATALINA VALDES CARRASCO"/>
    <n v="3"/>
    <n v="36"/>
    <d v="1899-12-31T23:59:00"/>
    <s v="JENNY.VELASCO@FAWPIRAMIDES.COM"/>
    <x v="2"/>
    <n v="1081.3064999999999"/>
    <n v="7"/>
    <n v="1163.79"/>
    <n v="5.4825867599182097"/>
    <n v="1158.8800000000001"/>
    <s v="AD"/>
    <n v="1"/>
    <n v="1330"/>
    <n v="1157"/>
    <n v="0"/>
    <n v="1157"/>
  </r>
  <r>
    <x v="18"/>
    <s v="ANGELICA CATALINA VALDES CARRASCO"/>
    <n v="3"/>
    <n v="36"/>
    <d v="1899-12-31T23:59:00"/>
    <s v="JENNY.VELASCO@FAWPIRAMIDES.COM"/>
    <x v="2"/>
    <n v="1081.3064999999999"/>
    <n v="7"/>
    <n v="1163.79"/>
    <n v="5.4825867599182097"/>
    <n v="1158.8800000000001"/>
    <s v="AD"/>
    <n v="1"/>
    <n v="1330"/>
    <n v="1157"/>
    <n v="0"/>
    <n v="1157"/>
  </r>
  <r>
    <x v="18"/>
    <s v="ANGELICA CATALINA VALDES CARRASCO"/>
    <n v="3"/>
    <n v="36"/>
    <d v="1899-12-31T23:59:00"/>
    <s v="JENNY.VELASCO@FAWPIRAMIDES.COM"/>
    <x v="2"/>
    <n v="1081.3064999999999"/>
    <n v="7"/>
    <n v="1163.79"/>
    <n v="5.4825867599182097"/>
    <n v="1158.8800000000001"/>
    <s v="AD"/>
    <n v="1"/>
    <n v="1330"/>
    <n v="1157"/>
    <n v="0"/>
    <n v="1157"/>
  </r>
  <r>
    <x v="18"/>
    <s v="JUANA VELASCO HERNANDEZ"/>
    <n v="6"/>
    <n v="36"/>
    <d v="1899-12-31T23:59:00"/>
    <s v="JENNY.VELASCO@FAWPIRAMIDES.COM"/>
    <x v="2"/>
    <n v="1081.2527"/>
    <n v="7"/>
    <n v="1163.79"/>
    <n v="5.4825867599182097"/>
    <n v="1158.8800000000001"/>
    <s v="AD"/>
    <n v="1"/>
    <n v="1330"/>
    <n v="1157"/>
    <n v="0"/>
    <n v="1157"/>
  </r>
  <r>
    <x v="18"/>
    <s v="JUANA VELASCO HERNANDEZ"/>
    <n v="6"/>
    <n v="36"/>
    <d v="1899-12-31T23:59:00"/>
    <s v="JENNY.VELASCO@FAWPIRAMIDES.COM"/>
    <x v="2"/>
    <n v="1081.2527"/>
    <n v="7"/>
    <n v="1163.79"/>
    <n v="5.4825867599182097"/>
    <n v="1158.8800000000001"/>
    <s v="AD"/>
    <n v="1"/>
    <n v="1330"/>
    <n v="1157"/>
    <n v="0"/>
    <n v="1157"/>
  </r>
  <r>
    <x v="18"/>
    <s v="JUANA VELASCO HERNANDEZ"/>
    <n v="6"/>
    <n v="36"/>
    <d v="1899-12-31T23:59:00"/>
    <s v="JENNY.VELASCO@FAWPIRAMIDES.COM"/>
    <x v="2"/>
    <n v="1081.2527"/>
    <n v="7"/>
    <n v="1163.79"/>
    <n v="5.4825867599182097"/>
    <n v="1158.8800000000001"/>
    <s v="AD"/>
    <n v="1"/>
    <n v="1330"/>
    <n v="1157"/>
    <n v="0"/>
    <n v="1157"/>
  </r>
  <r>
    <x v="18"/>
    <s v="DARON ISAAC PACHECO GUTIERREZ"/>
    <n v="7"/>
    <n v="36"/>
    <d v="1899-12-31T06:00:00"/>
    <s v="ERIGUTIERREZ23@GMAIL.COM"/>
    <x v="0"/>
    <n v="1081.4591"/>
    <n v="2.5"/>
    <n v="1163.79"/>
    <n v="1.9580666999707901"/>
    <n v="1158.8800000000001"/>
    <s v="AD"/>
    <n v="1"/>
    <n v="1282"/>
    <n v="1108"/>
    <n v="0"/>
    <n v="1108"/>
  </r>
  <r>
    <x v="18"/>
    <s v="SILVIA AMANDA HERNANDEZ SERRATO"/>
    <n v="21"/>
    <n v="36"/>
    <d v="1899-12-31T23:30:00"/>
    <s v="DISCARLOS@HOTMAIL.COM"/>
    <x v="3"/>
    <n v="1080.9829"/>
    <n v="0"/>
    <n v="1163.79"/>
    <n v="0"/>
    <n v="1158.8800000000001"/>
    <s v="AD"/>
    <n v="1"/>
    <n v="1254"/>
    <n v="1081"/>
    <n v="0"/>
    <n v="1081"/>
  </r>
  <r>
    <x v="18"/>
    <s v="ALBERTO ANDRADE RAMIREZ"/>
    <n v="21"/>
    <n v="36"/>
    <d v="1899-12-31T23:30:00"/>
    <s v="ALBERTOANDRADER@GMAIL.COM"/>
    <x v="2"/>
    <n v="1080.9780000000001"/>
    <n v="7"/>
    <n v="1163.79"/>
    <n v="5.4825867599182097"/>
    <n v="1158.8800000000001"/>
    <s v="AD"/>
    <n v="1"/>
    <n v="1330"/>
    <n v="1157"/>
    <n v="0"/>
    <n v="1157"/>
  </r>
  <r>
    <x v="18"/>
    <s v="ALBERTO ANDRADE RAMIREZ"/>
    <n v="21"/>
    <n v="36"/>
    <d v="1899-12-31T23:30:00"/>
    <s v="ALBERTOANDRADER@GMAIL.COM"/>
    <x v="2"/>
    <n v="1080.9780000000001"/>
    <n v="7"/>
    <n v="1163.79"/>
    <n v="5.4825867599182097"/>
    <n v="1158.8800000000001"/>
    <s v="AD"/>
    <n v="1"/>
    <n v="1330"/>
    <n v="1157"/>
    <n v="0"/>
    <n v="1157"/>
  </r>
  <r>
    <x v="18"/>
    <s v="BENITO VALLEJO ORTEGA"/>
    <n v="18"/>
    <n v="36"/>
    <d v="1899-12-31T23:30:00"/>
    <s v="ALBERTOANDRADER@GMAIL.COM"/>
    <x v="2"/>
    <n v="1081.0322000000001"/>
    <n v="7"/>
    <n v="1163.79"/>
    <n v="5.4825867599182097"/>
    <n v="1158.8800000000001"/>
    <s v="AD"/>
    <n v="1"/>
    <n v="1330"/>
    <n v="1157"/>
    <n v="0"/>
    <n v="1157"/>
  </r>
  <r>
    <x v="18"/>
    <s v="BENITO VALLEJO ORTEGA"/>
    <n v="18"/>
    <n v="36"/>
    <d v="1899-12-31T23:30:00"/>
    <s v="ALBERTOANDRADER@GMAIL.COM"/>
    <x v="2"/>
    <n v="1081.0322000000001"/>
    <n v="7"/>
    <n v="1163.79"/>
    <n v="5.4825867599182097"/>
    <n v="1158.8800000000001"/>
    <s v="AD"/>
    <n v="1"/>
    <n v="1330"/>
    <n v="1157"/>
    <n v="0"/>
    <n v="1157"/>
  </r>
  <r>
    <x v="18"/>
    <s v="TOMAS HUERTA"/>
    <n v="17"/>
    <n v="36"/>
    <d v="1899-12-31T23:59:00"/>
    <s v="tomas.huerta@ejemplo.com"/>
    <x v="5"/>
    <n v="1081.0443"/>
    <n v="8.5"/>
    <n v="1163.79"/>
    <n v="6.6574267799006801"/>
    <n v="1219.83"/>
    <s v="AD"/>
    <n v="1"/>
    <n v="1346"/>
    <n v="1173"/>
    <n v="0"/>
    <n v="1173"/>
  </r>
  <r>
    <x v="18"/>
    <s v="DIEGO ALEJANDRO CAZARES CORONA"/>
    <n v="1"/>
    <n v="36"/>
    <d v="1899-12-31T23:59:00"/>
    <s v="ADIEGOCAZARES1@OUTLOOK.COM"/>
    <x v="0"/>
    <n v="1081.3368"/>
    <n v="2.5"/>
    <n v="1163.79"/>
    <n v="1.9580666999707901"/>
    <n v="1158.8800000000001"/>
    <s v="AD"/>
    <n v="1"/>
    <n v="1281"/>
    <n v="1108"/>
    <n v="0"/>
    <n v="1108"/>
  </r>
  <r>
    <x v="18"/>
    <s v="FIDEL SANCHEZ JIMENEZ"/>
    <n v="22"/>
    <n v="36"/>
    <d v="1899-12-31T23:59:00"/>
    <s v="FISAJIGESTORIA@HOTMAIL.COM"/>
    <x v="3"/>
    <n v="1080.8315"/>
    <n v="0"/>
    <n v="1163.79"/>
    <n v="0"/>
    <n v="1158.8800000000001"/>
    <s v="AD"/>
    <n v="1"/>
    <n v="1254"/>
    <n v="1081"/>
    <n v="0"/>
    <n v="1081"/>
  </r>
  <r>
    <x v="18"/>
    <s v="BRIAN RAYMUNDO HERNANDEZ DIAZ"/>
    <n v="36"/>
    <n v="36"/>
    <d v="1899-12-31T23:59:00"/>
    <s v="BRIANRAYMUNDOHERNANDEZDIAZ@GMAIL.COM"/>
    <x v="2"/>
    <n v="1080.5800999999999"/>
    <n v="7"/>
    <n v="1163.79"/>
    <n v="5.4825867599182097"/>
    <n v="1158.8800000000001"/>
    <s v="AD"/>
    <n v="1"/>
    <n v="1329"/>
    <n v="1156"/>
    <n v="0"/>
    <n v="1156"/>
  </r>
  <r>
    <x v="18"/>
    <s v="JESSICA RUBI MORENO CHE"/>
    <n v="26"/>
    <n v="36"/>
    <d v="1899-12-31T23:10:00"/>
    <s v="ING.CHEMICAL_JESSE@HOTMAIL.COM"/>
    <x v="3"/>
    <n v="1080.7596000000001"/>
    <n v="0"/>
    <n v="1163.79"/>
    <n v="0"/>
    <n v="1158.8800000000001"/>
    <s v="AD"/>
    <n v="1"/>
    <n v="1254"/>
    <n v="1081"/>
    <n v="0"/>
    <n v="1081"/>
  </r>
  <r>
    <x v="18"/>
    <s v="LAURA MONTSERRAT ALCANTAR MARTINEZ"/>
    <n v="14"/>
    <n v="36"/>
    <d v="1899-12-31T23:10:00"/>
    <s v="PICHON270893@GMAIL.COM"/>
    <x v="0"/>
    <n v="1081.1071999999999"/>
    <n v="2.5"/>
    <n v="1163.79"/>
    <n v="1.9580666999707901"/>
    <n v="1158.8800000000001"/>
    <s v="AD"/>
    <n v="1"/>
    <n v="1281"/>
    <n v="1108"/>
    <n v="0"/>
    <n v="1108"/>
  </r>
  <r>
    <x v="18"/>
    <s v="GABRIEL SORDO SANCHEZ"/>
    <n v="14"/>
    <n v="36"/>
    <d v="1899-12-31T23:59:00"/>
    <s v="GABRIELSORDO@GMAIL.COM"/>
    <x v="3"/>
    <n v="1081.1071999999999"/>
    <n v="0"/>
    <n v="1163.79"/>
    <n v="0"/>
    <n v="1158.8800000000001"/>
    <s v="AD"/>
    <n v="1"/>
    <n v="1254"/>
    <n v="1081"/>
    <n v="0"/>
    <n v="1081"/>
  </r>
  <r>
    <x v="18"/>
    <s v="GABRIEL SORDO SANCHEZ"/>
    <n v="14"/>
    <n v="36"/>
    <d v="1899-12-31T23:59:00"/>
    <s v="GABRIELSORDO@GMAIL.COM"/>
    <x v="3"/>
    <n v="1081.1071999999999"/>
    <n v="0"/>
    <n v="1163.79"/>
    <n v="0"/>
    <n v="1158.8800000000001"/>
    <s v="AD"/>
    <n v="1"/>
    <n v="1254"/>
    <n v="1081"/>
    <n v="0"/>
    <n v="1081"/>
  </r>
  <r>
    <x v="18"/>
    <s v="KARLA PEIMBERT CABRERA"/>
    <n v="15"/>
    <n v="36"/>
    <d v="1899-12-31T23:59:00"/>
    <s v="GABRIELSORDO@GMAIL.COM"/>
    <x v="3"/>
    <n v="1081.0890999999999"/>
    <n v="0"/>
    <n v="1163.79"/>
    <n v="0"/>
    <n v="1158.8800000000001"/>
    <s v="AD"/>
    <n v="1"/>
    <n v="1254"/>
    <n v="1081"/>
    <n v="0"/>
    <n v="1081"/>
  </r>
  <r>
    <x v="18"/>
    <s v="KARLA PEIMBERT CABRERA"/>
    <n v="15"/>
    <n v="36"/>
    <d v="1899-12-31T23:59:00"/>
    <s v="GABRIELSORDO@GMAIL.COM"/>
    <x v="3"/>
    <n v="1081.0890999999999"/>
    <n v="0"/>
    <n v="1163.79"/>
    <n v="0"/>
    <n v="1158.8800000000001"/>
    <s v="AD"/>
    <n v="1"/>
    <n v="1254"/>
    <n v="1081"/>
    <n v="0"/>
    <n v="1081"/>
  </r>
  <r>
    <x v="18"/>
    <s v="BLANCA VERENICE VELÃZQUEZ ARTERO"/>
    <n v="23"/>
    <n v="36"/>
    <d v="1899-12-31T23:59:00"/>
    <s v="VERENICEVELA@GMAIL.COM"/>
    <x v="2"/>
    <n v="1080.8126"/>
    <n v="7"/>
    <n v="1163.79"/>
    <n v="5.4825867599182097"/>
    <n v="1158.8800000000001"/>
    <s v="AD"/>
    <n v="1"/>
    <n v="1329"/>
    <n v="1156"/>
    <n v="0"/>
    <n v="1156"/>
  </r>
  <r>
    <x v="18"/>
    <s v="VICTOR TOVAR RAMIREZ"/>
    <n v="35"/>
    <n v="36"/>
    <d v="1899-12-31T23:10:00"/>
    <s v="victor.tovar.ramirez@ejemplo.com"/>
    <x v="4"/>
    <n v="1080.6017999999999"/>
    <n v="5"/>
    <n v="1163.79"/>
    <n v="3.9161333999415802"/>
    <n v="609.91"/>
    <s v="IN"/>
    <n v="1"/>
    <n v="1308"/>
    <n v="1135"/>
    <n v="0.5"/>
    <n v="567.5"/>
  </r>
  <r>
    <x v="18"/>
    <s v="FERNANDO RAMIREZ"/>
    <n v="13"/>
    <n v="36"/>
    <d v="1899-12-31T02:00:00"/>
    <s v="BOLETOSYHOSPEDAJE@JID.COM.MX"/>
    <x v="0"/>
    <n v="1081.3516999999999"/>
    <n v="2.5"/>
    <n v="1163.79"/>
    <n v="1.9580666999707901"/>
    <n v="1158.8800000000001"/>
    <s v="AD"/>
    <n v="1"/>
    <n v="1281"/>
    <n v="1108"/>
    <n v="0"/>
    <n v="1108"/>
  </r>
  <r>
    <x v="18"/>
    <s v="CARLOS ALBERTO BELTRÃN HERNÃNDEZ"/>
    <n v="18"/>
    <n v="36"/>
    <d v="1899-12-31T23:59:00"/>
    <s v="BELTRANC@LIVE.COM.MX"/>
    <x v="3"/>
    <n v="1081.0353"/>
    <n v="0"/>
    <n v="1163.79"/>
    <n v="0"/>
    <n v="1158.8800000000001"/>
    <s v="AD"/>
    <n v="1"/>
    <n v="1254"/>
    <n v="1081"/>
    <n v="0"/>
    <n v="1081"/>
  </r>
  <r>
    <x v="18"/>
    <s v="MARIO DAVID RUIZ  CABELLO"/>
    <n v="36"/>
    <n v="36"/>
    <d v="1899-12-31T06:00:00"/>
    <s v="mario.david.ruiz..cabello@ejemplo.com"/>
    <x v="2"/>
    <n v="1080.8036999999999"/>
    <n v="7"/>
    <n v="1163.79"/>
    <n v="5.4825867599182097"/>
    <n v="1219.83"/>
    <s v="AD"/>
    <n v="1"/>
    <n v="1329"/>
    <n v="1156"/>
    <n v="0"/>
    <n v="1156"/>
  </r>
  <r>
    <x v="18"/>
    <s v="ATZHIRE ALINNE VAZQUEZ SOLIS"/>
    <n v="4"/>
    <n v="36"/>
    <d v="1899-12-31T02:00:00"/>
    <s v="SOLIS.ALINNE@GMAIL.COM"/>
    <x v="0"/>
    <n v="1081.3809000000001"/>
    <n v="2.5"/>
    <n v="1163.79"/>
    <n v="1.9580666999707901"/>
    <n v="1158.8800000000001"/>
    <s v="AD"/>
    <n v="1"/>
    <n v="1281"/>
    <n v="1108"/>
    <n v="0"/>
    <n v="1108"/>
  </r>
  <r>
    <x v="18"/>
    <s v="ANDRÃ‰S FUENTES FUENTES"/>
    <n v="27"/>
    <n v="36"/>
    <d v="1899-12-31T02:00:00"/>
    <s v="FELIXMORALES0538@GMAIL.COM"/>
    <x v="0"/>
    <n v="1080.9675"/>
    <n v="2.5"/>
    <n v="1163.79"/>
    <n v="1.9580666999707901"/>
    <n v="1158.8800000000001"/>
    <s v="AD"/>
    <n v="1"/>
    <n v="1281"/>
    <n v="1108"/>
    <n v="0"/>
    <n v="1108"/>
  </r>
  <r>
    <x v="18"/>
    <s v="ANDRÃ‰S FUENTES FUENTES"/>
    <n v="27"/>
    <n v="36"/>
    <d v="1899-12-31T02:00:00"/>
    <s v="FELIXMORALES0538@GMAIL.COM"/>
    <x v="0"/>
    <n v="1080.9675"/>
    <n v="2.5"/>
    <n v="1163.79"/>
    <n v="1.9580666999707901"/>
    <n v="1158.8800000000001"/>
    <s v="AD"/>
    <n v="1"/>
    <n v="1281"/>
    <n v="1108"/>
    <n v="0"/>
    <n v="1108"/>
  </r>
  <r>
    <x v="18"/>
    <s v="ANDRÃ‰S FUENTES FUENTES"/>
    <n v="27"/>
    <n v="36"/>
    <d v="1899-12-31T02:00:00"/>
    <s v="FELIXMORALES0538@GMAIL.COM"/>
    <x v="0"/>
    <n v="1080.9675"/>
    <n v="2.5"/>
    <n v="1163.79"/>
    <n v="1.9580666999707901"/>
    <n v="1158.8800000000001"/>
    <s v="AD"/>
    <n v="1"/>
    <n v="1281"/>
    <n v="1108"/>
    <n v="0"/>
    <n v="1108"/>
  </r>
  <r>
    <x v="18"/>
    <s v="BLANCA BERENICE AGUAYO CHAVES"/>
    <n v="25"/>
    <n v="36"/>
    <d v="1899-12-31T02:00:00"/>
    <s v="FELIXMORALES0538@GMAIL.COM"/>
    <x v="0"/>
    <n v="1081.0033000000001"/>
    <n v="2.5"/>
    <n v="1163.79"/>
    <n v="1.9580666999707901"/>
    <n v="1158.8800000000001"/>
    <s v="AD"/>
    <n v="1"/>
    <n v="1281"/>
    <n v="1108"/>
    <n v="0"/>
    <n v="1108"/>
  </r>
  <r>
    <x v="18"/>
    <s v="BLANCA BERENICE AGUAYO CHAVES"/>
    <n v="25"/>
    <n v="36"/>
    <d v="1899-12-31T02:00:00"/>
    <s v="FELIXMORALES0538@GMAIL.COM"/>
    <x v="0"/>
    <n v="1081.0033000000001"/>
    <n v="2.5"/>
    <n v="1163.79"/>
    <n v="1.9580666999707901"/>
    <n v="1158.8800000000001"/>
    <s v="AD"/>
    <n v="1"/>
    <n v="1281"/>
    <n v="1108"/>
    <n v="0"/>
    <n v="1108"/>
  </r>
  <r>
    <x v="18"/>
    <s v="BLANCA BERENICE AGUAYO CHAVES"/>
    <n v="25"/>
    <n v="36"/>
    <d v="1899-12-31T02:00:00"/>
    <s v="FELIXMORALES0538@GMAIL.COM"/>
    <x v="0"/>
    <n v="1081.0033000000001"/>
    <n v="2.5"/>
    <n v="1163.79"/>
    <n v="1.9580666999707901"/>
    <n v="1158.8800000000001"/>
    <s v="AD"/>
    <n v="1"/>
    <n v="1281"/>
    <n v="1108"/>
    <n v="0"/>
    <n v="1108"/>
  </r>
  <r>
    <x v="18"/>
    <s v="MAXIM GAEL AGUAYO CHAVES"/>
    <n v="26"/>
    <n v="36"/>
    <d v="1899-12-31T02:00:00"/>
    <s v="FELIXMORALES0538@GMAIL.COM"/>
    <x v="0"/>
    <n v="1080.9855"/>
    <n v="2.5"/>
    <n v="1163.79"/>
    <n v="1.9580666999707901"/>
    <n v="609.91"/>
    <s v="NI"/>
    <n v="1"/>
    <n v="1281"/>
    <n v="1108"/>
    <n v="0.5"/>
    <n v="554"/>
  </r>
  <r>
    <x v="18"/>
    <s v="MAXIM GAEL AGUAYO CHAVES"/>
    <n v="26"/>
    <n v="36"/>
    <d v="1899-12-31T02:00:00"/>
    <s v="FELIXMORALES0538@GMAIL.COM"/>
    <x v="0"/>
    <n v="1080.9855"/>
    <n v="2.5"/>
    <n v="1163.79"/>
    <n v="1.9580666999707901"/>
    <n v="609.91"/>
    <s v="NI"/>
    <n v="1"/>
    <n v="1281"/>
    <n v="1108"/>
    <n v="0.5"/>
    <n v="554"/>
  </r>
  <r>
    <x v="18"/>
    <s v="MAXIM GAEL AGUAYO CHAVES"/>
    <n v="26"/>
    <n v="36"/>
    <d v="1899-12-31T02:00:00"/>
    <s v="FELIXMORALES0538@GMAIL.COM"/>
    <x v="0"/>
    <n v="1080.9855"/>
    <n v="2.5"/>
    <n v="1163.79"/>
    <n v="1.9580666999707901"/>
    <n v="609.91"/>
    <s v="NI"/>
    <n v="1"/>
    <n v="1281"/>
    <n v="1108"/>
    <n v="0.5"/>
    <n v="554"/>
  </r>
  <r>
    <x v="18"/>
    <s v="ALONSO RAMOS GALLEGOS"/>
    <n v="7"/>
    <n v="36"/>
    <d v="1899-12-31T11:00:00"/>
    <s v="GABRIELA.PEREZ@MTQMEXICO.COM"/>
    <x v="0"/>
    <n v="1081.4550999999999"/>
    <n v="2.5"/>
    <n v="1163.79"/>
    <n v="1.9580666999707901"/>
    <n v="1158.8800000000001"/>
    <s v="AD"/>
    <n v="1"/>
    <n v="1282"/>
    <n v="1108"/>
    <n v="0"/>
    <n v="1108"/>
  </r>
  <r>
    <x v="18"/>
    <s v="DAVID VILLEGAS GUEVARA"/>
    <n v="25"/>
    <n v="36"/>
    <d v="1899-12-31T23:59:00"/>
    <s v="DAVID.VILLEGAS@CONDUITLIFE.MX"/>
    <x v="3"/>
    <n v="1080.777"/>
    <n v="0"/>
    <n v="1163.79"/>
    <n v="0"/>
    <n v="1158.8800000000001"/>
    <s v="AD"/>
    <n v="1"/>
    <n v="1254"/>
    <n v="1081"/>
    <n v="0"/>
    <n v="1081"/>
  </r>
  <r>
    <x v="18"/>
    <s v="PEDRO ESBER JIM??NEZ CH??VEZ"/>
    <n v="30"/>
    <n v="36"/>
    <d v="1899-12-31T23:30:00"/>
    <s v="RESERVAS@VIAJOMUCHO.COM.MX"/>
    <x v="2"/>
    <n v="1080.6864"/>
    <n v="7"/>
    <n v="1163.79"/>
    <n v="5.4825867599182097"/>
    <n v="1219.83"/>
    <s v="AD"/>
    <n v="1"/>
    <n v="1329"/>
    <n v="1156"/>
    <n v="0"/>
    <n v="1156"/>
  </r>
  <r>
    <x v="18"/>
    <s v="LUIS GILBERTO GABRIEL ZARCO"/>
    <n v="35"/>
    <n v="36"/>
    <d v="1899-12-31T02:00:00"/>
    <s v="LG.GABRIEL.ZARCO@GMAIL.COM"/>
    <x v="0"/>
    <n v="1080.8230000000001"/>
    <n v="2.5"/>
    <n v="1163.79"/>
    <n v="1.9580666999707901"/>
    <n v="1158.8800000000001"/>
    <s v="AD"/>
    <n v="1"/>
    <n v="1281"/>
    <n v="1108"/>
    <n v="0"/>
    <n v="1108"/>
  </r>
  <r>
    <x v="18"/>
    <s v="FRANCISCO JAVIER MUNGUIA HUIZAR"/>
    <n v="4"/>
    <n v="36"/>
    <d v="1899-12-31T23:30:00"/>
    <s v="PACO112009@HOTMAIL.COM"/>
    <x v="3"/>
    <n v="1081.1536000000001"/>
    <n v="0"/>
    <n v="1163.79"/>
    <n v="0"/>
    <n v="1158.8800000000001"/>
    <s v="AD"/>
    <n v="1"/>
    <n v="1254"/>
    <n v="1081"/>
    <n v="0"/>
    <n v="1081"/>
  </r>
  <r>
    <x v="18"/>
    <s v="RIGOBERTO VILLALOBOS PIMENTEL"/>
    <n v="2"/>
    <n v="36"/>
    <d v="1899-12-31T23:30:00"/>
    <s v="rigoberto.villalobos.pimentel@ejemplo.com"/>
    <x v="4"/>
    <n v="1080.6115"/>
    <n v="5"/>
    <n v="1163.79"/>
    <n v="3.9161333999415802"/>
    <n v="609.91"/>
    <s v="IN"/>
    <n v="1"/>
    <n v="1308"/>
    <n v="1135"/>
    <n v="0.5"/>
    <n v="567.5"/>
  </r>
  <r>
    <x v="18"/>
    <s v="CLEOTILDE FLORES RUBIO"/>
    <n v="3"/>
    <n v="36"/>
    <d v="1899-12-31T23:30:00"/>
    <s v="cleotilde.flores.rubio@ejemplo.com"/>
    <x v="4"/>
    <n v="1080.5934999999999"/>
    <n v="5"/>
    <n v="1163.79"/>
    <n v="3.9161333999415802"/>
    <n v="609.91"/>
    <s v="IN"/>
    <n v="1"/>
    <n v="1308"/>
    <n v="1135"/>
    <n v="0.5"/>
    <n v="567.5"/>
  </r>
  <r>
    <x v="18"/>
    <s v="PEIYU CHEN"/>
    <n v="33"/>
    <n v="36"/>
    <d v="1899-12-31T23:30:00"/>
    <s v="FLAWLESS_TALENTED-82CMH6LN@M.PFORWARD.NET"/>
    <x v="2"/>
    <n v="1080.6321"/>
    <n v="7"/>
    <n v="1163.79"/>
    <n v="5.4825867599182097"/>
    <n v="1219.83"/>
    <s v="AD"/>
    <n v="1"/>
    <n v="1329"/>
    <n v="1156"/>
    <n v="0"/>
    <n v="1156"/>
  </r>
  <r>
    <x v="18"/>
    <s v="PEIYU CHEN"/>
    <n v="33"/>
    <n v="36"/>
    <d v="1899-12-31T23:30:00"/>
    <s v="FLAWLESS_TALENTED-82CMH6LN@M.PFORWARD.NET"/>
    <x v="2"/>
    <n v="1080.6321"/>
    <n v="7"/>
    <n v="1163.79"/>
    <n v="5.4825867599182097"/>
    <n v="1219.83"/>
    <s v="AD"/>
    <n v="1"/>
    <n v="1329"/>
    <n v="1156"/>
    <n v="0"/>
    <n v="1156"/>
  </r>
  <r>
    <x v="18"/>
    <s v="XIANG GE"/>
    <n v="34"/>
    <n v="36"/>
    <d v="1899-12-31T23:30:00"/>
    <s v="FLAWLESS_TALENTED-82CMH6LN@M.PFORWARD.NET"/>
    <x v="2"/>
    <n v="1080.6143"/>
    <n v="7"/>
    <n v="1163.79"/>
    <n v="5.4825867599182097"/>
    <n v="1219.83"/>
    <s v="AD"/>
    <n v="1"/>
    <n v="1329"/>
    <n v="1156"/>
    <n v="0"/>
    <n v="1156"/>
  </r>
  <r>
    <x v="18"/>
    <s v="XIANG GE"/>
    <n v="34"/>
    <n v="36"/>
    <d v="1899-12-31T23:30:00"/>
    <s v="FLAWLESS_TALENTED-82CMH6LN@M.PFORWARD.NET"/>
    <x v="2"/>
    <n v="1080.6143"/>
    <n v="7"/>
    <n v="1163.79"/>
    <n v="5.4825867599182097"/>
    <n v="1219.83"/>
    <s v="AD"/>
    <n v="1"/>
    <n v="1329"/>
    <n v="1156"/>
    <n v="0"/>
    <n v="1156"/>
  </r>
  <r>
    <x v="18"/>
    <s v="MARIO ALBERTO ZEPEDA  VEGA"/>
    <n v="27"/>
    <n v="36"/>
    <d v="1899-12-31T23:59:00"/>
    <s v="mario.alberto.zepeda..vega@ejemplo.com"/>
    <x v="5"/>
    <n v="1080.7401"/>
    <n v="8.5"/>
    <n v="1163.79"/>
    <n v="6.6574267799006801"/>
    <n v="1219.83"/>
    <s v="AD"/>
    <n v="1"/>
    <n v="1346"/>
    <n v="1173"/>
    <n v="0"/>
    <n v="1173"/>
  </r>
  <r>
    <x v="18"/>
    <s v="ANGEL EDUARDO ROSAS ROSALES"/>
    <n v="32"/>
    <n v="36"/>
    <d v="1899-12-31T02:00:00"/>
    <s v="SANABRIA.EF@GMAIL.COM"/>
    <x v="2"/>
    <n v="1080.8761"/>
    <n v="7"/>
    <n v="1163.79"/>
    <n v="5.4825867599182097"/>
    <n v="1158.8800000000001"/>
    <s v="AD"/>
    <n v="1"/>
    <n v="1329"/>
    <n v="1157"/>
    <n v="0"/>
    <n v="1157"/>
  </r>
  <r>
    <x v="18"/>
    <s v="ANGEL EDUARDO ROSAS ROSALES"/>
    <n v="32"/>
    <n v="36"/>
    <d v="1899-12-31T02:00:00"/>
    <s v="SANABRIA.EF@GMAIL.COM"/>
    <x v="2"/>
    <n v="1080.8761"/>
    <n v="7"/>
    <n v="1163.79"/>
    <n v="5.4825867599182097"/>
    <n v="1158.8800000000001"/>
    <s v="AD"/>
    <n v="1"/>
    <n v="1329"/>
    <n v="1157"/>
    <n v="0"/>
    <n v="1157"/>
  </r>
  <r>
    <x v="18"/>
    <s v="ANGEL EDUARDO ROSAS ROSALES"/>
    <n v="32"/>
    <n v="36"/>
    <d v="1899-12-31T02:00:00"/>
    <s v="SANABRIA.EF@GMAIL.COM"/>
    <x v="2"/>
    <n v="1080.8761"/>
    <n v="7"/>
    <n v="1163.79"/>
    <n v="5.4825867599182097"/>
    <n v="1158.8800000000001"/>
    <s v="AD"/>
    <n v="1"/>
    <n v="1329"/>
    <n v="1157"/>
    <n v="0"/>
    <n v="1157"/>
  </r>
  <r>
    <x v="18"/>
    <s v="JOSE RICARDO DE LA CRUZ FONSECA"/>
    <n v="33"/>
    <n v="36"/>
    <d v="1899-12-31T02:00:00"/>
    <s v="SANABRIA.EF@GMAIL.COM"/>
    <x v="2"/>
    <n v="1080.8579999999999"/>
    <n v="7"/>
    <n v="1163.79"/>
    <n v="5.4825867599182097"/>
    <n v="1158.8800000000001"/>
    <s v="AD"/>
    <n v="1"/>
    <n v="1329"/>
    <n v="1157"/>
    <n v="0"/>
    <n v="1157"/>
  </r>
  <r>
    <x v="18"/>
    <s v="JOSE RICARDO DE LA CRUZ FONSECA"/>
    <n v="33"/>
    <n v="36"/>
    <d v="1899-12-31T02:00:00"/>
    <s v="SANABRIA.EF@GMAIL.COM"/>
    <x v="2"/>
    <n v="1080.8579999999999"/>
    <n v="7"/>
    <n v="1163.79"/>
    <n v="5.4825867599182097"/>
    <n v="1158.8800000000001"/>
    <s v="AD"/>
    <n v="1"/>
    <n v="1329"/>
    <n v="1157"/>
    <n v="0"/>
    <n v="1157"/>
  </r>
  <r>
    <x v="18"/>
    <s v="JOSE RICARDO DE LA CRUZ FONSECA"/>
    <n v="33"/>
    <n v="36"/>
    <d v="1899-12-31T02:00:00"/>
    <s v="SANABRIA.EF@GMAIL.COM"/>
    <x v="2"/>
    <n v="1080.8579999999999"/>
    <n v="7"/>
    <n v="1163.79"/>
    <n v="5.4825867599182097"/>
    <n v="1158.8800000000001"/>
    <s v="AD"/>
    <n v="1"/>
    <n v="1329"/>
    <n v="1157"/>
    <n v="0"/>
    <n v="1157"/>
  </r>
  <r>
    <x v="18"/>
    <s v="JULIO EMMANUEL SANABRIA SANCHEZ"/>
    <n v="30"/>
    <n v="36"/>
    <d v="1899-12-31T02:00:00"/>
    <s v="SANABRIA.EF@GMAIL.COM"/>
    <x v="2"/>
    <n v="1080.9119000000001"/>
    <n v="7"/>
    <n v="1163.79"/>
    <n v="5.4825867599182097"/>
    <n v="1158.8800000000001"/>
    <s v="AD"/>
    <n v="1"/>
    <n v="1330"/>
    <n v="1157"/>
    <n v="0"/>
    <n v="1157"/>
  </r>
  <r>
    <x v="18"/>
    <s v="JULIO EMMANUEL SANABRIA SANCHEZ"/>
    <n v="30"/>
    <n v="36"/>
    <d v="1899-12-31T02:00:00"/>
    <s v="SANABRIA.EF@GMAIL.COM"/>
    <x v="2"/>
    <n v="1080.9119000000001"/>
    <n v="7"/>
    <n v="1163.79"/>
    <n v="5.4825867599182097"/>
    <n v="1158.8800000000001"/>
    <s v="AD"/>
    <n v="1"/>
    <n v="1330"/>
    <n v="1157"/>
    <n v="0"/>
    <n v="1157"/>
  </r>
  <r>
    <x v="18"/>
    <s v="JULIO EMMANUEL SANABRIA SANCHEZ"/>
    <n v="30"/>
    <n v="36"/>
    <d v="1899-12-31T02:00:00"/>
    <s v="SANABRIA.EF@GMAIL.COM"/>
    <x v="2"/>
    <n v="1080.9119000000001"/>
    <n v="7"/>
    <n v="1163.79"/>
    <n v="5.4825867599182097"/>
    <n v="1158.8800000000001"/>
    <s v="AD"/>
    <n v="1"/>
    <n v="1330"/>
    <n v="1157"/>
    <n v="0"/>
    <n v="1157"/>
  </r>
  <r>
    <x v="18"/>
    <s v="ERNESTO ACEVEDO ORNELAS"/>
    <n v="36"/>
    <n v="36"/>
    <d v="1899-12-31T23:30:00"/>
    <s v="ERNESTOAO2001@HOTMAIL.COM"/>
    <x v="3"/>
    <n v="1080.5775000000001"/>
    <n v="0"/>
    <n v="1163.79"/>
    <n v="0"/>
    <n v="1158.8800000000001"/>
    <s v="AD"/>
    <n v="1"/>
    <n v="1253"/>
    <n v="1081"/>
    <n v="0"/>
    <n v="1081"/>
  </r>
  <r>
    <x v="18"/>
    <s v="LAURA ACEVEDO ORNELAS"/>
    <n v="28"/>
    <n v="36"/>
    <d v="1899-12-31T23:30:00"/>
    <s v="ERNESTOAO2001@HOTMAIL.COM"/>
    <x v="3"/>
    <n v="1080.7216000000001"/>
    <n v="0"/>
    <n v="1163.79"/>
    <n v="0"/>
    <n v="1158.8800000000001"/>
    <s v="AD"/>
    <n v="1"/>
    <n v="1254"/>
    <n v="1081"/>
    <n v="0"/>
    <n v="1081"/>
  </r>
  <r>
    <x v="18"/>
    <s v="VICTOR ACEVEDO ORNELAS"/>
    <n v="29"/>
    <n v="36"/>
    <d v="1899-12-31T23:30:00"/>
    <s v="ERNESTOAO2001@HOTMAIL.COM"/>
    <x v="3"/>
    <n v="1080.7034000000001"/>
    <n v="0"/>
    <n v="1163.79"/>
    <n v="0"/>
    <n v="1158.8800000000001"/>
    <s v="AD"/>
    <n v="1"/>
    <n v="1254"/>
    <n v="1081"/>
    <n v="0"/>
    <n v="1081"/>
  </r>
  <r>
    <x v="18"/>
    <s v="GABRIEL FUENTES FUENTES"/>
    <n v="17"/>
    <n v="36"/>
    <d v="1899-12-31T23:30:00"/>
    <s v="GFUENTES@SOMAQ.COM.MX"/>
    <x v="3"/>
    <n v="1081.0515"/>
    <n v="0"/>
    <n v="1163.79"/>
    <n v="0"/>
    <n v="1158.8800000000001"/>
    <s v="AD"/>
    <n v="1"/>
    <n v="1254"/>
    <n v="1081"/>
    <n v="0"/>
    <n v="1081"/>
  </r>
  <r>
    <x v="18"/>
    <s v="ADLIH NAYELI SÃNCHEZ JUÃREZ"/>
    <n v="19"/>
    <n v="36"/>
    <d v="1899-12-31T23:59:00"/>
    <s v="NAYELISANCHEZ8122@GMAIL.COM"/>
    <x v="3"/>
    <n v="1081.0155999999999"/>
    <n v="0"/>
    <n v="1163.79"/>
    <n v="0"/>
    <n v="1158.8800000000001"/>
    <s v="AD"/>
    <n v="1"/>
    <n v="1254"/>
    <n v="1081"/>
    <n v="0"/>
    <n v="1081"/>
  </r>
  <r>
    <x v="18"/>
    <s v="FRIDA CONTRERAS JUAREZ"/>
    <n v="20"/>
    <n v="36"/>
    <d v="1899-12-31T23:59:00"/>
    <s v="NAYELISANCHEZ8122@GMAIL.COM"/>
    <x v="3"/>
    <n v="1080.9978000000001"/>
    <n v="0"/>
    <n v="1163.79"/>
    <n v="0"/>
    <n v="1158.8800000000001"/>
    <s v="AD"/>
    <n v="1"/>
    <n v="1254"/>
    <n v="1081"/>
    <n v="0"/>
    <n v="1081"/>
  </r>
  <r>
    <x v="18"/>
    <s v="DIEGO ARMANDO GAYTAN BARRERA"/>
    <n v="32"/>
    <n v="36"/>
    <d v="1899-12-31T23:59:00"/>
    <s v="MSANTIAGO@SINTRALOGISTICS.COM"/>
    <x v="3"/>
    <n v="1080.6495"/>
    <n v="0"/>
    <n v="1163.79"/>
    <n v="0"/>
    <n v="1158.8800000000001"/>
    <s v="AD"/>
    <n v="1"/>
    <n v="1254"/>
    <n v="1081"/>
    <n v="0"/>
    <n v="1081"/>
  </r>
  <r>
    <x v="18"/>
    <s v="MARGARITA LOPEZ VILLEGAS"/>
    <n v="16"/>
    <n v="36"/>
    <d v="1899-12-31T23:30:00"/>
    <s v="margarita.lopez.villegas@ejemplo.com"/>
    <x v="4"/>
    <n v="1081.0603000000001"/>
    <n v="5"/>
    <n v="1163.79"/>
    <n v="3.9161333999415802"/>
    <n v="609.91"/>
    <s v="IN"/>
    <n v="1"/>
    <n v="1308"/>
    <n v="1135"/>
    <n v="0.5"/>
    <n v="567.5"/>
  </r>
  <r>
    <x v="18"/>
    <s v="VICTORIA JIMENEZ"/>
    <n v="10"/>
    <n v="36"/>
    <d v="1899-12-31T23:30:00"/>
    <s v="ETNPASES@GMAIL.COM"/>
    <x v="2"/>
    <n v="1079.1318000000001"/>
    <n v="7"/>
    <n v="1163.79"/>
    <n v="5.4825867599182097"/>
    <n v="1219.83"/>
    <s v="AD"/>
    <n v="1"/>
    <n v="1327"/>
    <n v="1155"/>
    <n v="0"/>
    <n v="1155"/>
  </r>
  <r>
    <x v="18"/>
    <s v="VICENTE CASTRO"/>
    <n v="18"/>
    <n v="36"/>
    <d v="1899-12-31T02:00:00"/>
    <s v="TR4NC318@GMAIL.COM"/>
    <x v="5"/>
    <n v="1081.2584999999999"/>
    <n v="8.5"/>
    <n v="1163.79"/>
    <n v="6.6574267799006801"/>
    <n v="1158.8800000000001"/>
    <s v="AD"/>
    <n v="1"/>
    <n v="1346"/>
    <n v="1173"/>
    <n v="0"/>
    <n v="1173"/>
  </r>
  <r>
    <x v="18"/>
    <s v="HÃ‰CTOR PÃ‰REZ GARCÃA"/>
    <n v="21"/>
    <n v="36"/>
    <d v="1899-12-31T23:59:00"/>
    <s v="HEKTORKA12@GMAIL.COM"/>
    <x v="2"/>
    <n v="1080.9727"/>
    <n v="7"/>
    <n v="1163.79"/>
    <n v="5.4825867599182097"/>
    <n v="1158.8800000000001"/>
    <s v="AD"/>
    <n v="1"/>
    <n v="1330"/>
    <n v="1157"/>
    <n v="0"/>
    <n v="1157"/>
  </r>
  <r>
    <x v="18"/>
    <s v="GERMAN BRACAMONTES"/>
    <n v="5"/>
    <n v="36"/>
    <d v="1899-12-31T23:30:00"/>
    <s v="YERMSBRACAMONTES@GMAIL.COM"/>
    <x v="3"/>
    <n v="1081.2643"/>
    <n v="0"/>
    <n v="1163.79"/>
    <n v="0"/>
    <n v="1158.8800000000001"/>
    <s v="AD"/>
    <n v="1"/>
    <n v="1254"/>
    <n v="1081"/>
    <n v="0"/>
    <n v="1081"/>
  </r>
  <r>
    <x v="18"/>
    <s v="GERMAN BRACAMONTES"/>
    <n v="5"/>
    <n v="36"/>
    <d v="1899-12-31T23:30:00"/>
    <s v="INFO.LINGOT@GMAIL.COM"/>
    <x v="3"/>
    <n v="1081.2643"/>
    <n v="0"/>
    <n v="1163.79"/>
    <n v="0"/>
    <n v="1158.8800000000001"/>
    <s v="AD"/>
    <n v="1"/>
    <n v="1254"/>
    <n v="1081"/>
    <n v="0"/>
    <n v="1081"/>
  </r>
  <r>
    <x v="18"/>
    <s v="MARÃA DE LA PAZ DIAZ"/>
    <n v="6"/>
    <n v="36"/>
    <d v="1899-12-31T23:30:00"/>
    <s v="YERMSBRACAMONTES@GMAIL.COM"/>
    <x v="3"/>
    <n v="1081.2462"/>
    <n v="0"/>
    <n v="1163.79"/>
    <n v="0"/>
    <n v="1158.8800000000001"/>
    <s v="AD"/>
    <n v="1"/>
    <n v="1254"/>
    <n v="1081"/>
    <n v="0"/>
    <n v="1081"/>
  </r>
  <r>
    <x v="18"/>
    <s v="MARÃA DE LA PAZ DIAZ"/>
    <n v="6"/>
    <n v="36"/>
    <d v="1899-12-31T23:30:00"/>
    <s v="INFO.LINGOT@GMAIL.COM"/>
    <x v="3"/>
    <n v="1081.2462"/>
    <n v="0"/>
    <n v="1163.79"/>
    <n v="0"/>
    <n v="1158.8800000000001"/>
    <s v="AD"/>
    <n v="1"/>
    <n v="1254"/>
    <n v="1081"/>
    <n v="0"/>
    <n v="1081"/>
  </r>
  <r>
    <x v="18"/>
    <s v="ALFRED PEYROT EYSSAUTIER"/>
    <n v="10"/>
    <n v="36"/>
    <d v="1899-12-31T02:00:00"/>
    <s v="APEYROTE@GMAIL.COM"/>
    <x v="0"/>
    <n v="1081.4011"/>
    <n v="2.5"/>
    <n v="1163.79"/>
    <n v="1.9580666999707901"/>
    <n v="1158.8800000000001"/>
    <s v="AD"/>
    <n v="1"/>
    <n v="1281"/>
    <n v="1108"/>
    <n v="0"/>
    <n v="1108"/>
  </r>
  <r>
    <x v="18"/>
    <s v="ALFRED PEYROT EYSSAUTIER"/>
    <n v="10"/>
    <n v="36"/>
    <d v="1899-12-31T02:00:00"/>
    <s v="APEYROTE@GMAIL.COM"/>
    <x v="0"/>
    <n v="1081.4011"/>
    <n v="2.5"/>
    <n v="1163.79"/>
    <n v="1.9580666999707901"/>
    <n v="1158.8800000000001"/>
    <s v="AD"/>
    <n v="1"/>
    <n v="1281"/>
    <n v="1108"/>
    <n v="0"/>
    <n v="1108"/>
  </r>
  <r>
    <x v="18"/>
    <s v="CARLOS EDUARDO REYES JIMENEZ"/>
    <n v="7"/>
    <n v="36"/>
    <d v="1899-12-31T02:00:00"/>
    <s v="APEYROTE@GMAIL.COM"/>
    <x v="0"/>
    <n v="1081.4548"/>
    <n v="2.5"/>
    <n v="1163.79"/>
    <n v="1.9580666999707901"/>
    <n v="1158.8800000000001"/>
    <s v="AD"/>
    <n v="1"/>
    <n v="1282"/>
    <n v="1108"/>
    <n v="0"/>
    <n v="1108"/>
  </r>
  <r>
    <x v="18"/>
    <s v="CARLOS EDUARDO REYES JIMENEZ"/>
    <n v="7"/>
    <n v="36"/>
    <d v="1899-12-31T02:00:00"/>
    <s v="APEYROTE@GMAIL.COM"/>
    <x v="0"/>
    <n v="1081.4548"/>
    <n v="2.5"/>
    <n v="1163.79"/>
    <n v="1.9580666999707901"/>
    <n v="1158.8800000000001"/>
    <s v="AD"/>
    <n v="1"/>
    <n v="1282"/>
    <n v="1108"/>
    <n v="0"/>
    <n v="1108"/>
  </r>
  <r>
    <x v="18"/>
    <s v="MIGUEL ANGEL LÃZARO RUIZ"/>
    <n v="16"/>
    <n v="36"/>
    <d v="1899-12-31T23:59:00"/>
    <s v="MIGUELLAZARO48@GMAIL.COM"/>
    <x v="2"/>
    <n v="1081.0617999999999"/>
    <n v="7"/>
    <n v="1163.79"/>
    <n v="5.4825867599182097"/>
    <n v="1158.8800000000001"/>
    <s v="AD"/>
    <n v="1"/>
    <n v="1330"/>
    <n v="1157"/>
    <n v="0"/>
    <n v="1157"/>
  </r>
  <r>
    <x v="18"/>
    <s v="ISABEL RIVERA"/>
    <n v="31"/>
    <n v="36"/>
    <d v="1899-12-31T23:30:00"/>
    <s v="JULIO@HANGTEN.COM.MX"/>
    <x v="0"/>
    <n v="1080.6594"/>
    <n v="2.5"/>
    <n v="1163.79"/>
    <n v="1.9580666999707901"/>
    <n v="1158.8800000000001"/>
    <s v="AD"/>
    <n v="1"/>
    <n v="1281"/>
    <n v="1108"/>
    <n v="0"/>
    <n v="1108"/>
  </r>
  <r>
    <x v="18"/>
    <s v="JULIETA GONZALEZ"/>
    <n v="30"/>
    <n v="36"/>
    <d v="1899-12-31T23:30:00"/>
    <s v="JULIO@HANGTEN.COM.MX"/>
    <x v="0"/>
    <n v="1080.6775"/>
    <n v="2.5"/>
    <n v="1163.79"/>
    <n v="1.9580666999707901"/>
    <n v="609.91"/>
    <s v="NI"/>
    <n v="1"/>
    <n v="1281"/>
    <n v="1108"/>
    <n v="0.5"/>
    <n v="554"/>
  </r>
  <r>
    <x v="18"/>
    <s v="JUAN CARLOS SERRANO MAYÃ‰N"/>
    <n v="32"/>
    <n v="36"/>
    <d v="1899-12-31T23:30:00"/>
    <s v="VENTAS503@MASISA.COM.MX"/>
    <x v="2"/>
    <n v="1080.6415"/>
    <n v="7"/>
    <n v="1163.79"/>
    <n v="5.4825867599182097"/>
    <n v="1158.8800000000001"/>
    <s v="AD"/>
    <n v="1"/>
    <n v="1329"/>
    <n v="1156"/>
    <n v="0"/>
    <n v="1156"/>
  </r>
  <r>
    <x v="18"/>
    <s v="GABRIELA MURILLO CANO"/>
    <n v="11"/>
    <n v="36"/>
    <d v="1899-12-31T23:59:00"/>
    <s v="GABYMURILLO.MX@GMAIL.COM"/>
    <x v="3"/>
    <n v="1081.1564000000001"/>
    <n v="0"/>
    <n v="1163.79"/>
    <n v="0"/>
    <n v="1158.8800000000001"/>
    <s v="AD"/>
    <n v="1"/>
    <n v="1254"/>
    <n v="1081"/>
    <n v="0"/>
    <n v="1081"/>
  </r>
  <r>
    <x v="18"/>
    <s v="IVÃN ENRIQUE VALDESPINO MARTÃNEZ"/>
    <n v="29"/>
    <n v="36"/>
    <d v="1899-12-31T23:59:00"/>
    <s v="ROBPEDROZARIVEIRA@GMAIL.COM"/>
    <x v="3"/>
    <n v="1080.7002"/>
    <n v="0"/>
    <n v="1163.79"/>
    <n v="0"/>
    <n v="1158.8800000000001"/>
    <s v="AD"/>
    <n v="1"/>
    <n v="1254"/>
    <n v="1081"/>
    <n v="0"/>
    <n v="1081"/>
  </r>
  <r>
    <x v="18"/>
    <s v="CECILIO BADILLO GARCIA"/>
    <n v="10"/>
    <n v="36"/>
    <d v="1899-12-31T06:00:00"/>
    <s v="CBADILLO77.G@GMAIL.COM"/>
    <x v="0"/>
    <n v="1081.3988999999999"/>
    <n v="2.5"/>
    <n v="1163.79"/>
    <n v="1.9580666999707901"/>
    <n v="1158.8800000000001"/>
    <s v="AD"/>
    <n v="1"/>
    <n v="1281"/>
    <n v="1108"/>
    <n v="0"/>
    <n v="1108"/>
  </r>
  <r>
    <x v="18"/>
    <s v="HUMBERTO VARGAS"/>
    <n v="24"/>
    <n v="36"/>
    <d v="1899-12-31T23:30:00"/>
    <s v="humberto.vargas@ejemplo.com"/>
    <x v="5"/>
    <n v="1080.7963999999999"/>
    <n v="8.5"/>
    <n v="1163.79"/>
    <n v="6.6574267799006801"/>
    <n v="1219.83"/>
    <s v="AD"/>
    <n v="1"/>
    <n v="1346"/>
    <n v="1173"/>
    <n v="0"/>
    <n v="1173"/>
  </r>
  <r>
    <x v="18"/>
    <s v="RODRIGO BARRERA"/>
    <n v="18"/>
    <n v="36"/>
    <d v="1899-12-31T23:30:00"/>
    <s v="rodrigo.barrera@ejemplo.com"/>
    <x v="5"/>
    <n v="1081.0225"/>
    <n v="8.5"/>
    <n v="1163.79"/>
    <n v="6.6574267799006801"/>
    <n v="1219.83"/>
    <s v="AD"/>
    <n v="1"/>
    <n v="1346"/>
    <n v="1173"/>
    <n v="0"/>
    <n v="1173"/>
  </r>
  <r>
    <x v="18"/>
    <s v="LAURA KARINA VERA"/>
    <n v="27"/>
    <n v="36"/>
    <d v="1899-12-31T23:30:00"/>
    <s v="laura.karina.vera@ejemplo.com"/>
    <x v="5"/>
    <n v="1080.742"/>
    <n v="8.5"/>
    <n v="1163.79"/>
    <n v="6.6574267799006801"/>
    <n v="1219.83"/>
    <s v="AD"/>
    <n v="1"/>
    <n v="1346"/>
    <n v="1173"/>
    <n v="0"/>
    <n v="1173"/>
  </r>
  <r>
    <x v="18"/>
    <s v="JOSE MIGUEL ESCOBEDO BARAJAS"/>
    <n v="21"/>
    <n v="36"/>
    <d v="1899-12-31T23:59:00"/>
    <s v="jose.miguel.escobedo.barajas@ejemplo.com"/>
    <x v="4"/>
    <n v="1080.9684999999999"/>
    <n v="5"/>
    <n v="1163.79"/>
    <n v="3.9161333999415802"/>
    <n v="609.91"/>
    <s v="IN"/>
    <n v="1"/>
    <n v="1308"/>
    <n v="1135"/>
    <n v="0.5"/>
    <n v="567.5"/>
  </r>
  <r>
    <x v="18"/>
    <s v="CLAUDIA REYES"/>
    <n v="12"/>
    <n v="36"/>
    <d v="1899-12-31T23:59:00"/>
    <s v="claudia.reyes@ejemplo.com"/>
    <x v="5"/>
    <n v="1081.1304"/>
    <n v="8.5"/>
    <n v="1163.79"/>
    <n v="6.6574267799006801"/>
    <n v="1219.83"/>
    <s v="AD"/>
    <n v="1"/>
    <n v="1346"/>
    <n v="1173"/>
    <n v="0"/>
    <n v="1173"/>
  </r>
  <r>
    <x v="18"/>
    <s v="CARLOS ALBERTO GONZÃLEZ"/>
    <n v="33"/>
    <n v="36"/>
    <d v="1899-12-31T23:59:00"/>
    <s v="CARLOSGNZLZSLS@OUTLOOK.COM"/>
    <x v="3"/>
    <n v="1080.6276"/>
    <n v="0"/>
    <n v="1163.79"/>
    <n v="0"/>
    <n v="1158.8800000000001"/>
    <s v="AD"/>
    <n v="1"/>
    <n v="1254"/>
    <n v="1081"/>
    <n v="0"/>
    <n v="1081"/>
  </r>
  <r>
    <x v="18"/>
    <s v="MARIA OLIVIA LOPEZ ZARATE"/>
    <n v="31"/>
    <n v="36"/>
    <d v="1899-12-31T23:30:00"/>
    <s v="maria.olivia.lopez.zarate@ejemplo.com"/>
    <x v="1"/>
    <n v="1080.67"/>
    <n v="10"/>
    <n v="1163.79"/>
    <n v="7.8322667998831603"/>
    <n v="609.91"/>
    <s v="NI"/>
    <n v="1"/>
    <n v="1362"/>
    <n v="1189"/>
    <n v="0.5"/>
    <n v="594.5"/>
  </r>
  <r>
    <x v="18"/>
    <s v="IVAN PACHECO"/>
    <n v="26"/>
    <n v="36"/>
    <d v="1899-12-31T23:59:00"/>
    <s v="ivan.pacheco@ejemplo.com"/>
    <x v="5"/>
    <n v="1080.76"/>
    <n v="8.5"/>
    <n v="1163.79"/>
    <n v="6.6574267799006801"/>
    <n v="1219.83"/>
    <s v="AD"/>
    <n v="1"/>
    <n v="1346"/>
    <n v="1173"/>
    <n v="0"/>
    <n v="1173"/>
  </r>
  <r>
    <x v="18"/>
    <s v="JARED RODRIGUEZ"/>
    <n v="28"/>
    <n v="36"/>
    <d v="1899-12-31T23:59:00"/>
    <s v="jared.rodriguez@ejemplo.com"/>
    <x v="5"/>
    <n v="1080.7240999999999"/>
    <n v="8.5"/>
    <n v="1163.79"/>
    <n v="6.6574267799006801"/>
    <n v="1219.83"/>
    <s v="AD"/>
    <n v="1"/>
    <n v="1346"/>
    <n v="1173"/>
    <n v="0"/>
    <n v="1173"/>
  </r>
  <r>
    <x v="18"/>
    <s v="JAVIER BOYZO MORALES"/>
    <n v="11"/>
    <n v="36"/>
    <d v="1899-12-31T02:00:00"/>
    <s v="JAVIERBOYZO@HOTMAIL.COM"/>
    <x v="2"/>
    <n v="1081.3823"/>
    <n v="7"/>
    <n v="1163.79"/>
    <n v="5.4825867599182097"/>
    <n v="1158.8800000000001"/>
    <s v="AD"/>
    <n v="1"/>
    <n v="1330"/>
    <n v="1157"/>
    <n v="0"/>
    <n v="1157"/>
  </r>
  <r>
    <x v="18"/>
    <s v="JAVIER BOYZO MORALES"/>
    <n v="11"/>
    <n v="36"/>
    <d v="1899-12-31T02:00:00"/>
    <s v="JAVIERBOYZO@HOTMAIL.COM"/>
    <x v="2"/>
    <n v="1081.3823"/>
    <n v="7"/>
    <n v="1163.79"/>
    <n v="5.4825867599182097"/>
    <n v="1158.8800000000001"/>
    <s v="AD"/>
    <n v="1"/>
    <n v="1330"/>
    <n v="1157"/>
    <n v="0"/>
    <n v="1157"/>
  </r>
  <r>
    <x v="18"/>
    <s v="OWEN BOYZO"/>
    <n v="12"/>
    <n v="36"/>
    <d v="1899-12-31T02:00:00"/>
    <s v="JAVIERBOYZO@HOTMAIL.COM"/>
    <x v="2"/>
    <n v="1081.3641"/>
    <n v="7"/>
    <n v="1163.79"/>
    <n v="5.4825867599182097"/>
    <n v="1158.8800000000001"/>
    <s v="AD"/>
    <n v="1"/>
    <n v="1330"/>
    <n v="1157"/>
    <n v="0"/>
    <n v="1157"/>
  </r>
  <r>
    <x v="18"/>
    <s v="OWEN BOYZO"/>
    <n v="12"/>
    <n v="36"/>
    <d v="1899-12-31T02:00:00"/>
    <s v="JAVIERBOYZO@HOTMAIL.COM"/>
    <x v="2"/>
    <n v="1081.3641"/>
    <n v="7"/>
    <n v="1163.79"/>
    <n v="5.4825867599182097"/>
    <n v="1158.8800000000001"/>
    <s v="AD"/>
    <n v="1"/>
    <n v="1330"/>
    <n v="1157"/>
    <n v="0"/>
    <n v="1157"/>
  </r>
  <r>
    <x v="19"/>
    <s v="JOSUE FERNANDEZ"/>
    <n v="3"/>
    <n v="36"/>
    <d v="1899-12-31T02:00:00"/>
    <s v="josue.fernandez@ejemplo.com"/>
    <x v="2"/>
    <n v="1081.5127"/>
    <n v="7"/>
    <n v="1163.79"/>
    <n v="5.4825867599182097"/>
    <n v="1219.83"/>
    <s v="AD"/>
    <n v="1"/>
    <n v="1330"/>
    <n v="1157"/>
    <n v="0"/>
    <n v="1157"/>
  </r>
  <r>
    <x v="19"/>
    <s v="NATALIA AGUILAR CARDENAS"/>
    <n v="19"/>
    <n v="36"/>
    <d v="1899-12-31T02:00:00"/>
    <s v="natalia.aguilar.cardenas@ejemplo.com"/>
    <x v="2"/>
    <n v="1081.2249999999999"/>
    <n v="7"/>
    <n v="1163.79"/>
    <n v="5.4825867599182097"/>
    <n v="1219.83"/>
    <s v="AD"/>
    <n v="1"/>
    <n v="1330"/>
    <n v="1157"/>
    <n v="0"/>
    <n v="1157"/>
  </r>
  <r>
    <x v="19"/>
    <s v="GAEL ISAAC AGUILAR"/>
    <n v="20"/>
    <n v="36"/>
    <d v="1899-12-31T02:00:00"/>
    <s v="gael.isaac.aguilar@ejemplo.com"/>
    <x v="2"/>
    <n v="1081.2068999999999"/>
    <n v="7"/>
    <n v="1163.79"/>
    <n v="5.4825867599182097"/>
    <n v="1219.83"/>
    <s v="AD"/>
    <n v="1"/>
    <n v="1330"/>
    <n v="1157"/>
    <n v="0"/>
    <n v="1157"/>
  </r>
  <r>
    <x v="19"/>
    <s v="VERONICA CARDENAS"/>
    <n v="22"/>
    <n v="36"/>
    <d v="1899-12-31T02:00:00"/>
    <s v="veronica.cardenas@ejemplo.com"/>
    <x v="2"/>
    <n v="1081.0385000000001"/>
    <n v="7"/>
    <n v="1163.79"/>
    <n v="5.4825867599182097"/>
    <n v="1219.83"/>
    <s v="AD"/>
    <n v="1"/>
    <n v="1330"/>
    <n v="1157"/>
    <n v="0"/>
    <n v="1157"/>
  </r>
  <r>
    <x v="19"/>
    <s v="MARIA GUADALUPE CARDENAS"/>
    <n v="23"/>
    <n v="36"/>
    <d v="1899-12-31T02:00:00"/>
    <s v="maria.guadalupe.cardenas@ejemplo.com"/>
    <x v="2"/>
    <n v="1081.0205000000001"/>
    <n v="7"/>
    <n v="1163.79"/>
    <n v="5.4825867599182097"/>
    <n v="1219.83"/>
    <s v="AD"/>
    <n v="1"/>
    <n v="1330"/>
    <n v="1157"/>
    <n v="0"/>
    <n v="1157"/>
  </r>
  <r>
    <x v="19"/>
    <s v="JERICO DAVID LOPEZ"/>
    <n v="5"/>
    <n v="36"/>
    <d v="1899-12-31T02:00:00"/>
    <s v="jerico.david.lopez@ejemplo.com"/>
    <x v="2"/>
    <n v="1081.4757999999999"/>
    <n v="7"/>
    <n v="1163.79"/>
    <n v="5.4825867599182097"/>
    <n v="1219.83"/>
    <s v="AD"/>
    <n v="1"/>
    <n v="1330"/>
    <n v="1157"/>
    <n v="0"/>
    <n v="1157"/>
  </r>
  <r>
    <x v="19"/>
    <s v="ANDREA MAGAÃ‘A"/>
    <n v="9"/>
    <n v="36"/>
    <d v="1899-12-31T02:00:00"/>
    <s v="andrea.magaÃ±a@ejemplo.com"/>
    <x v="3"/>
    <n v="1081.4164000000001"/>
    <n v="0"/>
    <n v="1163.79"/>
    <n v="0"/>
    <n v="1158.8800000000001"/>
    <s v="AD"/>
    <n v="1"/>
    <n v="1254"/>
    <n v="1081"/>
    <n v="0"/>
    <n v="1081"/>
  </r>
  <r>
    <x v="19"/>
    <s v="ANTONIO LOPEZ NUÃ‘EZ"/>
    <n v="35"/>
    <n v="36"/>
    <d v="1899-12-31T06:00:00"/>
    <s v="antonio.lopez.nuÃ±ez@ejemplo.com"/>
    <x v="5"/>
    <n v="1080.8030000000001"/>
    <n v="8.5"/>
    <n v="1163.79"/>
    <n v="6.6574267799006801"/>
    <n v="1219.83"/>
    <s v="AD"/>
    <n v="1"/>
    <n v="1346"/>
    <n v="1173"/>
    <n v="0"/>
    <n v="1173"/>
  </r>
  <r>
    <x v="19"/>
    <s v="OMAR ALEJANDRO MARTINEZ SEGUNDO"/>
    <n v="4"/>
    <n v="36"/>
    <d v="1899-12-31T11:00:00"/>
    <s v="omar.alejandro.martinez.segundo@ejemplo.com"/>
    <x v="3"/>
    <n v="1081.3638000000001"/>
    <n v="0"/>
    <n v="1163.79"/>
    <n v="0"/>
    <n v="1158.8800000000001"/>
    <s v="AD"/>
    <n v="1"/>
    <n v="1254"/>
    <n v="1081"/>
    <n v="0"/>
    <n v="1081"/>
  </r>
  <r>
    <x v="19"/>
    <s v="OSCAR NAVA RODRIGUEZ"/>
    <n v="34"/>
    <n v="36"/>
    <d v="1899-12-31T23:59:00"/>
    <s v="oscar.nava.rodriguez@ejemplo.com"/>
    <x v="3"/>
    <n v="1080.597"/>
    <n v="0"/>
    <n v="1163.79"/>
    <n v="0"/>
    <n v="1158.8800000000001"/>
    <s v="AD"/>
    <n v="1"/>
    <n v="1253"/>
    <n v="1081"/>
    <n v="0"/>
    <n v="1081"/>
  </r>
  <r>
    <x v="19"/>
    <s v="JOEL RIVERA RIVERA"/>
    <n v="10"/>
    <n v="36"/>
    <d v="1899-12-31T11:00:00"/>
    <s v="joel.rivera.rivera@ejemplo.com"/>
    <x v="5"/>
    <n v="1081.3755000000001"/>
    <n v="8.5"/>
    <n v="1163.79"/>
    <n v="6.6574267799006801"/>
    <n v="1219.83"/>
    <s v="AD"/>
    <n v="1"/>
    <n v="1346"/>
    <n v="1173"/>
    <n v="0"/>
    <n v="1173"/>
  </r>
  <r>
    <x v="19"/>
    <s v="OSCAR ALLENDE GOMEZ"/>
    <n v="12"/>
    <n v="36"/>
    <d v="1899-12-31T23:59:00"/>
    <s v="oscar.allende.gomez@ejemplo.com"/>
    <x v="3"/>
    <n v="1081.125"/>
    <n v="0"/>
    <n v="1163.79"/>
    <n v="0"/>
    <n v="1158.8800000000001"/>
    <s v="AD"/>
    <n v="1"/>
    <n v="1254"/>
    <n v="1081"/>
    <n v="0"/>
    <n v="1081"/>
  </r>
  <r>
    <x v="19"/>
    <s v="VICTOR DANIEL GONZALEZ VIDEZ"/>
    <n v="27"/>
    <n v="36"/>
    <d v="1899-12-31T11:00:00"/>
    <s v="victor.daniel.gonzalez.videz@ejemplo.com"/>
    <x v="3"/>
    <n v="1080.9471000000001"/>
    <n v="0"/>
    <n v="1163.79"/>
    <n v="0"/>
    <n v="975.86"/>
    <s v="PE"/>
    <n v="1"/>
    <n v="1254"/>
    <n v="1081"/>
    <n v="0"/>
    <n v="1081"/>
  </r>
  <r>
    <x v="19"/>
    <s v="RAMON REBOLLEDO"/>
    <n v="36"/>
    <n v="36"/>
    <d v="1899-12-31T11:00:00"/>
    <s v="ramon.rebolledo@ejemplo.com"/>
    <x v="5"/>
    <n v="1080.7853"/>
    <n v="8.5"/>
    <n v="1163.79"/>
    <n v="6.6574267799006801"/>
    <n v="1219.83"/>
    <s v="AD"/>
    <n v="1"/>
    <n v="1346"/>
    <n v="1173"/>
    <n v="0"/>
    <n v="1173"/>
  </r>
  <r>
    <x v="19"/>
    <s v="PAULINA LLAMAS CASILLAS"/>
    <n v="13"/>
    <n v="36"/>
    <d v="1899-12-31T23:59:00"/>
    <s v="paulina.llamas.casillas@ejemplo.com"/>
    <x v="3"/>
    <n v="1081.1061999999999"/>
    <n v="0"/>
    <n v="1163.79"/>
    <n v="0"/>
    <n v="1158.8800000000001"/>
    <s v="AD"/>
    <n v="1"/>
    <n v="1254"/>
    <n v="1081"/>
    <n v="0"/>
    <n v="1081"/>
  </r>
  <r>
    <x v="19"/>
    <s v="ARTURO CHAVEZ"/>
    <n v="30"/>
    <n v="36"/>
    <d v="1899-12-31T11:00:00"/>
    <s v="arturo.chavez@ejemplo.com"/>
    <x v="5"/>
    <n v="1080.8932"/>
    <n v="8.5"/>
    <n v="1163.79"/>
    <n v="6.6574267799006801"/>
    <n v="1219.83"/>
    <s v="AD"/>
    <n v="1"/>
    <n v="1346"/>
    <n v="1173"/>
    <n v="0"/>
    <n v="1173"/>
  </r>
  <r>
    <x v="19"/>
    <s v="MOISES PENHOS"/>
    <n v="24"/>
    <n v="36"/>
    <d v="1899-12-31T11:00:00"/>
    <s v="moises.penhos@ejemplo.com"/>
    <x v="5"/>
    <n v="1081.0012999999999"/>
    <n v="8.5"/>
    <n v="1163.79"/>
    <n v="6.6574267799006801"/>
    <n v="1219.83"/>
    <s v="AD"/>
    <n v="1"/>
    <n v="1346"/>
    <n v="1173"/>
    <n v="0"/>
    <n v="1173"/>
  </r>
  <r>
    <x v="19"/>
    <s v="ADRIANA ARMENTA RAMIREZ"/>
    <n v="18"/>
    <n v="36"/>
    <d v="1899-12-31T11:00:00"/>
    <s v="adriana.armenta.ramirez@ejemplo.com"/>
    <x v="4"/>
    <n v="1081.2308"/>
    <n v="5"/>
    <n v="1163.79"/>
    <n v="3.9161333999415802"/>
    <n v="609.91"/>
    <s v="IN"/>
    <n v="1"/>
    <n v="1308"/>
    <n v="1135"/>
    <n v="0.5"/>
    <n v="56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A3:E23" firstHeaderRow="0" firstDataRow="1" firstDataCol="1"/>
  <pivotFields count="18"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t="default"/>
      </items>
    </pivotField>
    <pivotField showAll="0"/>
    <pivotField showAll="0"/>
    <pivotField showAll="0"/>
    <pivotField numFmtId="22" showAll="0"/>
    <pivotField showAll="0"/>
    <pivotField showAll="0">
      <items count="7">
        <item x="0"/>
        <item x="5"/>
        <item x="4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# Boletos" fld="13" baseField="0" baseItem="0"/>
    <dataField name="$ Venta real" fld="11" baseField="0" baseItem="0"/>
    <dataField name="$ Venta dinámica Integra" fld="15" baseField="0" baseItem="0"/>
    <dataField name="$ Venta dinámica" fld="17" baseField="0" baseItem="0"/>
  </dataFields>
  <formats count="9">
    <format dxfId="8">
      <pivotArea collapsedLevelsAreSubtotals="1" fieldPosition="0">
        <references count="1">
          <reference field="0" count="0"/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2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0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R2311" totalsRowShown="0">
  <autoFilter ref="A1:R2311"/>
  <tableColumns count="18">
    <tableColumn id="1" name="FECHA_OPERACION" dataDxfId="10"/>
    <tableColumn id="2" name="NOMBRE_PASAJERO"/>
    <tableColumn id="3" name="NUM_ASIENTO"/>
    <tableColumn id="4" name="CAPACIDAD_ASIENTOS_TRAMO"/>
    <tableColumn id="5" name="HORA_SALIDA_CORRIDA" dataDxfId="9"/>
    <tableColumn id="6" name="EMAIL"/>
    <tableColumn id="7" name="Cluster"/>
    <tableColumn id="8" name="TARIFA DINAMICA"/>
    <tableColumn id="9" name="%_Tarifa Personalizada"/>
    <tableColumn id="10" name="TARIFA_BASE_TRAMO"/>
    <tableColumn id="11" name="Delta_Q"/>
    <tableColumn id="12" name="VENTA_TOTAL"/>
    <tableColumn id="13" name="TIPO_PASAJERO"/>
    <tableColumn id="14" name="BOLETOS_VEND"/>
    <tableColumn id="15" name="Precio final con IVA"/>
    <tableColumn id="16" name="Precio final sin IVA"/>
    <tableColumn id="17" name="Descuento"/>
    <tableColumn id="18" name="Precio a consumi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11"/>
  <sheetViews>
    <sheetView topLeftCell="I1" workbookViewId="0">
      <pane ySplit="1" topLeftCell="A2" activePane="bottomLeft" state="frozen"/>
      <selection pane="bottomLeft" sqref="A1:A1048576"/>
    </sheetView>
  </sheetViews>
  <sheetFormatPr baseColWidth="10" defaultRowHeight="14" x14ac:dyDescent="0.3"/>
  <cols>
    <col min="1" max="1" width="19.5" style="5" bestFit="1" customWidth="1"/>
    <col min="2" max="2" width="20.09765625" customWidth="1"/>
    <col min="3" max="3" width="15.5" customWidth="1"/>
    <col min="4" max="4" width="29.5" customWidth="1"/>
    <col min="5" max="5" width="23.5" customWidth="1"/>
    <col min="8" max="8" width="18.09765625" customWidth="1"/>
    <col min="9" max="9" width="22.3984375" customWidth="1"/>
    <col min="10" max="10" width="21.3984375" customWidth="1"/>
    <col min="12" max="12" width="15" customWidth="1"/>
    <col min="13" max="13" width="16.5" customWidth="1"/>
    <col min="14" max="14" width="16.296875" customWidth="1"/>
    <col min="15" max="15" width="19.19921875" customWidth="1"/>
    <col min="16" max="16" width="18.59765625" customWidth="1"/>
    <col min="17" max="17" width="11.796875" customWidth="1"/>
    <col min="18" max="18" width="20" customWidth="1"/>
  </cols>
  <sheetData>
    <row r="1" spans="1:18" x14ac:dyDescent="0.3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5">
        <v>45954</v>
      </c>
      <c r="B2" t="s">
        <v>18</v>
      </c>
      <c r="C2">
        <v>10</v>
      </c>
      <c r="D2">
        <v>36</v>
      </c>
      <c r="E2" s="1">
        <v>1.0833333333333333</v>
      </c>
      <c r="F2" t="s">
        <v>19</v>
      </c>
      <c r="G2">
        <v>0</v>
      </c>
      <c r="H2">
        <v>1081.4202</v>
      </c>
      <c r="I2">
        <v>2.5</v>
      </c>
      <c r="J2">
        <v>1163.79</v>
      </c>
      <c r="K2">
        <v>1.9580666999707901</v>
      </c>
      <c r="L2">
        <v>609.91</v>
      </c>
      <c r="M2" t="s">
        <v>20</v>
      </c>
      <c r="N2">
        <v>1</v>
      </c>
      <c r="O2">
        <v>1281</v>
      </c>
      <c r="P2">
        <v>1108</v>
      </c>
      <c r="Q2">
        <v>0.5</v>
      </c>
      <c r="R2">
        <v>554</v>
      </c>
    </row>
    <row r="3" spans="1:18" x14ac:dyDescent="0.3">
      <c r="A3" s="5">
        <v>45954</v>
      </c>
      <c r="B3" t="s">
        <v>21</v>
      </c>
      <c r="C3">
        <v>8</v>
      </c>
      <c r="D3">
        <v>36</v>
      </c>
      <c r="E3" s="1">
        <v>1.0833333333333333</v>
      </c>
      <c r="F3" t="s">
        <v>22</v>
      </c>
      <c r="G3">
        <v>3</v>
      </c>
      <c r="H3">
        <v>1081.4553000000001</v>
      </c>
      <c r="I3">
        <v>10</v>
      </c>
      <c r="J3">
        <v>1163.79</v>
      </c>
      <c r="K3">
        <v>7.8322667998831603</v>
      </c>
      <c r="L3">
        <v>609.91</v>
      </c>
      <c r="M3" t="s">
        <v>20</v>
      </c>
      <c r="N3">
        <v>1</v>
      </c>
      <c r="O3">
        <v>1363</v>
      </c>
      <c r="P3">
        <v>1190</v>
      </c>
      <c r="Q3">
        <v>0.5</v>
      </c>
      <c r="R3">
        <v>595</v>
      </c>
    </row>
    <row r="4" spans="1:18" x14ac:dyDescent="0.3">
      <c r="A4" s="5">
        <v>45954</v>
      </c>
      <c r="B4" t="s">
        <v>23</v>
      </c>
      <c r="C4">
        <v>9</v>
      </c>
      <c r="D4">
        <v>36</v>
      </c>
      <c r="E4" s="1">
        <v>1.0833333333333333</v>
      </c>
      <c r="F4" t="s">
        <v>24</v>
      </c>
      <c r="G4">
        <v>3</v>
      </c>
      <c r="H4">
        <v>1081.4374</v>
      </c>
      <c r="I4">
        <v>10</v>
      </c>
      <c r="J4">
        <v>1163.79</v>
      </c>
      <c r="K4">
        <v>7.8322667998831603</v>
      </c>
      <c r="L4">
        <v>609.91</v>
      </c>
      <c r="M4" t="s">
        <v>20</v>
      </c>
      <c r="N4">
        <v>1</v>
      </c>
      <c r="O4">
        <v>1363</v>
      </c>
      <c r="P4">
        <v>1190</v>
      </c>
      <c r="Q4">
        <v>0.5</v>
      </c>
      <c r="R4">
        <v>595</v>
      </c>
    </row>
    <row r="5" spans="1:18" x14ac:dyDescent="0.3">
      <c r="A5" s="5">
        <v>45954</v>
      </c>
      <c r="B5" t="s">
        <v>25</v>
      </c>
      <c r="C5">
        <v>11</v>
      </c>
      <c r="D5">
        <v>36</v>
      </c>
      <c r="E5" s="1">
        <v>1.0833333333333333</v>
      </c>
      <c r="F5" t="s">
        <v>26</v>
      </c>
      <c r="G5">
        <v>4</v>
      </c>
      <c r="H5">
        <v>1081.4014999999999</v>
      </c>
      <c r="I5">
        <v>7</v>
      </c>
      <c r="J5">
        <v>1163.79</v>
      </c>
      <c r="K5">
        <v>5.4825867599182097</v>
      </c>
      <c r="L5">
        <v>1219.83</v>
      </c>
      <c r="M5" t="s">
        <v>27</v>
      </c>
      <c r="N5">
        <v>1</v>
      </c>
      <c r="O5">
        <v>1330</v>
      </c>
      <c r="P5">
        <v>1157</v>
      </c>
      <c r="Q5">
        <v>0</v>
      </c>
      <c r="R5">
        <v>1157</v>
      </c>
    </row>
    <row r="6" spans="1:18" x14ac:dyDescent="0.3">
      <c r="A6" s="5">
        <v>45954</v>
      </c>
      <c r="B6" t="s">
        <v>28</v>
      </c>
      <c r="C6">
        <v>12</v>
      </c>
      <c r="D6">
        <v>36</v>
      </c>
      <c r="E6" s="1">
        <v>1.0833333333333333</v>
      </c>
      <c r="F6" t="s">
        <v>29</v>
      </c>
      <c r="G6">
        <v>4</v>
      </c>
      <c r="H6">
        <v>1081.3833999999999</v>
      </c>
      <c r="I6">
        <v>7</v>
      </c>
      <c r="J6">
        <v>1163.79</v>
      </c>
      <c r="K6">
        <v>5.4825867599182097</v>
      </c>
      <c r="L6">
        <v>1219.83</v>
      </c>
      <c r="M6" t="s">
        <v>27</v>
      </c>
      <c r="N6">
        <v>1</v>
      </c>
      <c r="O6">
        <v>1330</v>
      </c>
      <c r="P6">
        <v>1157</v>
      </c>
      <c r="Q6">
        <v>0</v>
      </c>
      <c r="R6">
        <v>1157</v>
      </c>
    </row>
    <row r="7" spans="1:18" x14ac:dyDescent="0.3">
      <c r="A7" s="5">
        <v>45954</v>
      </c>
      <c r="B7" t="s">
        <v>30</v>
      </c>
      <c r="C7">
        <v>22</v>
      </c>
      <c r="D7">
        <v>36</v>
      </c>
      <c r="E7" s="1">
        <v>1.0833333333333333</v>
      </c>
      <c r="F7" t="s">
        <v>31</v>
      </c>
      <c r="G7">
        <v>4</v>
      </c>
      <c r="H7">
        <v>1081.0712000000001</v>
      </c>
      <c r="I7">
        <v>7</v>
      </c>
      <c r="J7">
        <v>1163.79</v>
      </c>
      <c r="K7">
        <v>5.4825867599182097</v>
      </c>
      <c r="L7">
        <v>1219.83</v>
      </c>
      <c r="M7" t="s">
        <v>27</v>
      </c>
      <c r="N7">
        <v>1</v>
      </c>
      <c r="O7">
        <v>1330</v>
      </c>
      <c r="P7">
        <v>1157</v>
      </c>
      <c r="Q7">
        <v>0</v>
      </c>
      <c r="R7">
        <v>1157</v>
      </c>
    </row>
    <row r="8" spans="1:18" x14ac:dyDescent="0.3">
      <c r="A8" s="5">
        <v>45954</v>
      </c>
      <c r="B8" t="s">
        <v>32</v>
      </c>
      <c r="C8">
        <v>23</v>
      </c>
      <c r="D8">
        <v>36</v>
      </c>
      <c r="E8" s="1">
        <v>1.0833333333333333</v>
      </c>
      <c r="F8" t="s">
        <v>33</v>
      </c>
      <c r="G8">
        <v>4</v>
      </c>
      <c r="H8">
        <v>1081.0531000000001</v>
      </c>
      <c r="I8">
        <v>7</v>
      </c>
      <c r="J8">
        <v>1163.79</v>
      </c>
      <c r="K8">
        <v>5.4825867599182097</v>
      </c>
      <c r="L8">
        <v>1219.83</v>
      </c>
      <c r="M8" t="s">
        <v>27</v>
      </c>
      <c r="N8">
        <v>1</v>
      </c>
      <c r="O8">
        <v>1330</v>
      </c>
      <c r="P8">
        <v>1157</v>
      </c>
      <c r="Q8">
        <v>0</v>
      </c>
      <c r="R8">
        <v>1157</v>
      </c>
    </row>
    <row r="9" spans="1:18" x14ac:dyDescent="0.3">
      <c r="A9" s="5">
        <v>45954</v>
      </c>
      <c r="B9" t="s">
        <v>34</v>
      </c>
      <c r="C9">
        <v>25</v>
      </c>
      <c r="D9">
        <v>36</v>
      </c>
      <c r="E9" s="1">
        <v>1.0833333333333333</v>
      </c>
      <c r="F9" t="s">
        <v>35</v>
      </c>
      <c r="G9">
        <v>4</v>
      </c>
      <c r="H9">
        <v>1081.0171</v>
      </c>
      <c r="I9">
        <v>7</v>
      </c>
      <c r="J9">
        <v>1163.79</v>
      </c>
      <c r="K9">
        <v>5.4825867599182097</v>
      </c>
      <c r="L9">
        <v>1219.83</v>
      </c>
      <c r="M9" t="s">
        <v>27</v>
      </c>
      <c r="N9">
        <v>1</v>
      </c>
      <c r="O9">
        <v>1330</v>
      </c>
      <c r="P9">
        <v>1157</v>
      </c>
      <c r="Q9">
        <v>0</v>
      </c>
      <c r="R9">
        <v>1157</v>
      </c>
    </row>
    <row r="10" spans="1:18" x14ac:dyDescent="0.3">
      <c r="A10" s="5">
        <v>45954</v>
      </c>
      <c r="B10" t="s">
        <v>36</v>
      </c>
      <c r="C10">
        <v>26</v>
      </c>
      <c r="D10">
        <v>36</v>
      </c>
      <c r="E10" s="1">
        <v>1.0833333333333333</v>
      </c>
      <c r="F10" t="s">
        <v>37</v>
      </c>
      <c r="G10">
        <v>4</v>
      </c>
      <c r="H10">
        <v>1080.9992999999999</v>
      </c>
      <c r="I10">
        <v>7</v>
      </c>
      <c r="J10">
        <v>1163.79</v>
      </c>
      <c r="K10">
        <v>5.4825867599182097</v>
      </c>
      <c r="L10">
        <v>1219.83</v>
      </c>
      <c r="M10" t="s">
        <v>27</v>
      </c>
      <c r="N10">
        <v>1</v>
      </c>
      <c r="O10">
        <v>1330</v>
      </c>
      <c r="P10">
        <v>1157</v>
      </c>
      <c r="Q10">
        <v>0</v>
      </c>
      <c r="R10">
        <v>1157</v>
      </c>
    </row>
    <row r="11" spans="1:18" x14ac:dyDescent="0.3">
      <c r="A11" s="5">
        <v>45954</v>
      </c>
      <c r="B11" t="s">
        <v>38</v>
      </c>
      <c r="C11">
        <v>28</v>
      </c>
      <c r="D11">
        <v>36</v>
      </c>
      <c r="E11" s="1">
        <v>1.0833333333333333</v>
      </c>
      <c r="F11" t="s">
        <v>39</v>
      </c>
      <c r="G11">
        <v>4</v>
      </c>
      <c r="H11">
        <v>1080.9632999999999</v>
      </c>
      <c r="I11">
        <v>7</v>
      </c>
      <c r="J11">
        <v>1163.79</v>
      </c>
      <c r="K11">
        <v>5.4825867599182097</v>
      </c>
      <c r="L11">
        <v>1219.83</v>
      </c>
      <c r="M11" t="s">
        <v>27</v>
      </c>
      <c r="N11">
        <v>1</v>
      </c>
      <c r="O11">
        <v>1330</v>
      </c>
      <c r="P11">
        <v>1157</v>
      </c>
      <c r="Q11">
        <v>0</v>
      </c>
      <c r="R11">
        <v>1157</v>
      </c>
    </row>
    <row r="12" spans="1:18" x14ac:dyDescent="0.3">
      <c r="A12" s="5">
        <v>45954</v>
      </c>
      <c r="B12" t="s">
        <v>40</v>
      </c>
      <c r="C12">
        <v>32</v>
      </c>
      <c r="D12">
        <v>36</v>
      </c>
      <c r="E12" s="1">
        <v>1.0833333333333333</v>
      </c>
      <c r="F12" t="s">
        <v>41</v>
      </c>
      <c r="G12">
        <v>4</v>
      </c>
      <c r="H12">
        <v>1080.8914</v>
      </c>
      <c r="I12">
        <v>7</v>
      </c>
      <c r="J12">
        <v>1163.79</v>
      </c>
      <c r="K12">
        <v>5.4825867599182097</v>
      </c>
      <c r="L12">
        <v>1219.83</v>
      </c>
      <c r="M12" t="s">
        <v>27</v>
      </c>
      <c r="N12">
        <v>1</v>
      </c>
      <c r="O12">
        <v>1329</v>
      </c>
      <c r="P12">
        <v>1157</v>
      </c>
      <c r="Q12">
        <v>0</v>
      </c>
      <c r="R12">
        <v>1157</v>
      </c>
    </row>
    <row r="13" spans="1:18" x14ac:dyDescent="0.3">
      <c r="A13" s="5">
        <v>45954</v>
      </c>
      <c r="B13" t="s">
        <v>42</v>
      </c>
      <c r="C13">
        <v>30</v>
      </c>
      <c r="D13">
        <v>36</v>
      </c>
      <c r="E13" s="1">
        <v>1.0833333333333333</v>
      </c>
      <c r="F13" t="s">
        <v>43</v>
      </c>
      <c r="G13">
        <v>0</v>
      </c>
      <c r="H13">
        <v>1080.9272000000001</v>
      </c>
      <c r="I13">
        <v>2.5</v>
      </c>
      <c r="J13">
        <v>1163.79</v>
      </c>
      <c r="K13">
        <v>1.9580666999707901</v>
      </c>
      <c r="L13">
        <v>975.86</v>
      </c>
      <c r="M13" t="s">
        <v>44</v>
      </c>
      <c r="N13">
        <v>1</v>
      </c>
      <c r="O13">
        <v>1281</v>
      </c>
      <c r="P13">
        <v>1108</v>
      </c>
      <c r="Q13">
        <v>0</v>
      </c>
      <c r="R13">
        <v>1108</v>
      </c>
    </row>
    <row r="14" spans="1:18" x14ac:dyDescent="0.3">
      <c r="A14" s="5">
        <v>45954</v>
      </c>
      <c r="B14" t="s">
        <v>45</v>
      </c>
      <c r="C14">
        <v>31</v>
      </c>
      <c r="D14">
        <v>36</v>
      </c>
      <c r="E14" s="1">
        <v>1.0833333333333333</v>
      </c>
      <c r="F14" t="s">
        <v>46</v>
      </c>
      <c r="G14">
        <v>0</v>
      </c>
      <c r="H14">
        <v>1080.9094</v>
      </c>
      <c r="I14">
        <v>2.5</v>
      </c>
      <c r="J14">
        <v>1163.79</v>
      </c>
      <c r="K14">
        <v>1.9580666999707901</v>
      </c>
      <c r="L14">
        <v>975.86</v>
      </c>
      <c r="M14" t="s">
        <v>44</v>
      </c>
      <c r="N14">
        <v>1</v>
      </c>
      <c r="O14">
        <v>1281</v>
      </c>
      <c r="P14">
        <v>1108</v>
      </c>
      <c r="Q14">
        <v>0</v>
      </c>
      <c r="R14">
        <v>1108</v>
      </c>
    </row>
    <row r="15" spans="1:18" x14ac:dyDescent="0.3">
      <c r="A15" s="5">
        <v>45954</v>
      </c>
      <c r="B15" t="s">
        <v>47</v>
      </c>
      <c r="C15">
        <v>27</v>
      </c>
      <c r="D15">
        <v>36</v>
      </c>
      <c r="E15" s="1">
        <v>1.0833333333333333</v>
      </c>
      <c r="F15" t="s">
        <v>48</v>
      </c>
      <c r="G15">
        <v>4</v>
      </c>
      <c r="H15">
        <v>1080.9811999999999</v>
      </c>
      <c r="I15">
        <v>7</v>
      </c>
      <c r="J15">
        <v>1163.79</v>
      </c>
      <c r="K15">
        <v>5.4825867599182097</v>
      </c>
      <c r="L15">
        <v>1219.83</v>
      </c>
      <c r="M15" t="s">
        <v>27</v>
      </c>
      <c r="N15">
        <v>1</v>
      </c>
      <c r="O15">
        <v>1330</v>
      </c>
      <c r="P15">
        <v>1157</v>
      </c>
      <c r="Q15">
        <v>0</v>
      </c>
      <c r="R15">
        <v>1157</v>
      </c>
    </row>
    <row r="16" spans="1:18" x14ac:dyDescent="0.3">
      <c r="A16" s="5">
        <v>45954</v>
      </c>
      <c r="B16" t="s">
        <v>49</v>
      </c>
      <c r="C16">
        <v>14</v>
      </c>
      <c r="D16">
        <v>36</v>
      </c>
      <c r="E16" s="1">
        <v>1.0833333333333333</v>
      </c>
      <c r="F16" t="s">
        <v>50</v>
      </c>
      <c r="G16">
        <v>4</v>
      </c>
      <c r="H16">
        <v>1081.3474000000001</v>
      </c>
      <c r="I16">
        <v>7</v>
      </c>
      <c r="J16">
        <v>1163.79</v>
      </c>
      <c r="K16">
        <v>5.4825867599182097</v>
      </c>
      <c r="L16">
        <v>1219.83</v>
      </c>
      <c r="M16" t="s">
        <v>27</v>
      </c>
      <c r="N16">
        <v>1</v>
      </c>
      <c r="O16">
        <v>1330</v>
      </c>
      <c r="P16">
        <v>1157</v>
      </c>
      <c r="Q16">
        <v>0</v>
      </c>
      <c r="R16">
        <v>1157</v>
      </c>
    </row>
    <row r="17" spans="1:18" x14ac:dyDescent="0.3">
      <c r="A17" s="5">
        <v>45954</v>
      </c>
      <c r="B17" t="s">
        <v>51</v>
      </c>
      <c r="C17">
        <v>29</v>
      </c>
      <c r="D17">
        <v>36</v>
      </c>
      <c r="E17" s="1">
        <v>1.0833333333333333</v>
      </c>
      <c r="F17" t="s">
        <v>52</v>
      </c>
      <c r="G17">
        <v>4</v>
      </c>
      <c r="H17">
        <v>1080.9453000000001</v>
      </c>
      <c r="I17">
        <v>7</v>
      </c>
      <c r="J17">
        <v>1163.79</v>
      </c>
      <c r="K17">
        <v>5.4825867599182097</v>
      </c>
      <c r="L17">
        <v>1219.83</v>
      </c>
      <c r="M17" t="s">
        <v>27</v>
      </c>
      <c r="N17">
        <v>1</v>
      </c>
      <c r="O17">
        <v>1330</v>
      </c>
      <c r="P17">
        <v>1157</v>
      </c>
      <c r="Q17">
        <v>0</v>
      </c>
      <c r="R17">
        <v>1157</v>
      </c>
    </row>
    <row r="18" spans="1:18" x14ac:dyDescent="0.3">
      <c r="A18" s="5">
        <v>45954</v>
      </c>
      <c r="B18" t="s">
        <v>53</v>
      </c>
      <c r="C18">
        <v>18</v>
      </c>
      <c r="D18">
        <v>36</v>
      </c>
      <c r="E18" s="1">
        <v>1.25</v>
      </c>
      <c r="F18" t="s">
        <v>54</v>
      </c>
      <c r="G18">
        <v>5</v>
      </c>
      <c r="H18">
        <v>1081.2722000000001</v>
      </c>
      <c r="I18">
        <v>0</v>
      </c>
      <c r="J18">
        <v>1163.79</v>
      </c>
      <c r="K18">
        <v>0</v>
      </c>
      <c r="L18">
        <v>975.86</v>
      </c>
      <c r="M18" t="s">
        <v>44</v>
      </c>
      <c r="N18">
        <v>1</v>
      </c>
      <c r="O18">
        <v>1254</v>
      </c>
      <c r="P18">
        <v>1081</v>
      </c>
      <c r="Q18">
        <v>0</v>
      </c>
      <c r="R18">
        <v>1081</v>
      </c>
    </row>
    <row r="19" spans="1:18" x14ac:dyDescent="0.3">
      <c r="A19" s="5">
        <v>45954</v>
      </c>
      <c r="B19" t="s">
        <v>55</v>
      </c>
      <c r="C19">
        <v>10</v>
      </c>
      <c r="D19">
        <v>36</v>
      </c>
      <c r="E19" s="1">
        <v>1.25</v>
      </c>
      <c r="F19" t="s">
        <v>56</v>
      </c>
      <c r="G19">
        <v>5</v>
      </c>
      <c r="H19">
        <v>1081.4268</v>
      </c>
      <c r="I19">
        <v>0</v>
      </c>
      <c r="J19">
        <v>1163.79</v>
      </c>
      <c r="K19">
        <v>0</v>
      </c>
      <c r="L19">
        <v>1158.79</v>
      </c>
      <c r="M19" t="s">
        <v>27</v>
      </c>
      <c r="N19">
        <v>1</v>
      </c>
      <c r="O19">
        <v>1254</v>
      </c>
      <c r="P19">
        <v>1081</v>
      </c>
      <c r="Q19">
        <v>0</v>
      </c>
      <c r="R19">
        <v>1081</v>
      </c>
    </row>
    <row r="20" spans="1:18" x14ac:dyDescent="0.3">
      <c r="A20" s="5">
        <v>45954</v>
      </c>
      <c r="B20" t="s">
        <v>55</v>
      </c>
      <c r="C20">
        <v>10</v>
      </c>
      <c r="D20">
        <v>36</v>
      </c>
      <c r="E20" s="1">
        <v>1.25</v>
      </c>
      <c r="F20" t="s">
        <v>56</v>
      </c>
      <c r="G20">
        <v>5</v>
      </c>
      <c r="H20">
        <v>1081.4268</v>
      </c>
      <c r="I20">
        <v>0</v>
      </c>
      <c r="J20">
        <v>1163.79</v>
      </c>
      <c r="K20">
        <v>0</v>
      </c>
      <c r="L20">
        <v>1158.79</v>
      </c>
      <c r="M20" t="s">
        <v>27</v>
      </c>
      <c r="N20">
        <v>1</v>
      </c>
      <c r="O20">
        <v>1254</v>
      </c>
      <c r="P20">
        <v>1081</v>
      </c>
      <c r="Q20">
        <v>0</v>
      </c>
      <c r="R20">
        <v>1081</v>
      </c>
    </row>
    <row r="21" spans="1:18" x14ac:dyDescent="0.3">
      <c r="A21" s="5">
        <v>45954</v>
      </c>
      <c r="B21" t="s">
        <v>57</v>
      </c>
      <c r="C21">
        <v>4</v>
      </c>
      <c r="D21">
        <v>36</v>
      </c>
      <c r="E21" s="1">
        <v>1.25</v>
      </c>
      <c r="F21" t="s">
        <v>56</v>
      </c>
      <c r="G21">
        <v>5</v>
      </c>
      <c r="H21">
        <v>1081.4021</v>
      </c>
      <c r="I21">
        <v>0</v>
      </c>
      <c r="J21">
        <v>1163.79</v>
      </c>
      <c r="K21">
        <v>0</v>
      </c>
      <c r="L21">
        <v>1158.79</v>
      </c>
      <c r="M21" t="s">
        <v>27</v>
      </c>
      <c r="N21">
        <v>1</v>
      </c>
      <c r="O21">
        <v>1254</v>
      </c>
      <c r="P21">
        <v>1081</v>
      </c>
      <c r="Q21">
        <v>0</v>
      </c>
      <c r="R21">
        <v>1081</v>
      </c>
    </row>
    <row r="22" spans="1:18" x14ac:dyDescent="0.3">
      <c r="A22" s="5">
        <v>45954</v>
      </c>
      <c r="B22" t="s">
        <v>57</v>
      </c>
      <c r="C22">
        <v>4</v>
      </c>
      <c r="D22">
        <v>36</v>
      </c>
      <c r="E22" s="1">
        <v>1.25</v>
      </c>
      <c r="F22" t="s">
        <v>56</v>
      </c>
      <c r="G22">
        <v>5</v>
      </c>
      <c r="H22">
        <v>1081.4021</v>
      </c>
      <c r="I22">
        <v>0</v>
      </c>
      <c r="J22">
        <v>1163.79</v>
      </c>
      <c r="K22">
        <v>0</v>
      </c>
      <c r="L22">
        <v>1158.79</v>
      </c>
      <c r="M22" t="s">
        <v>27</v>
      </c>
      <c r="N22">
        <v>1</v>
      </c>
      <c r="O22">
        <v>1254</v>
      </c>
      <c r="P22">
        <v>1081</v>
      </c>
      <c r="Q22">
        <v>0</v>
      </c>
      <c r="R22">
        <v>1081</v>
      </c>
    </row>
    <row r="23" spans="1:18" x14ac:dyDescent="0.3">
      <c r="A23" s="5">
        <v>45954</v>
      </c>
      <c r="B23" t="s">
        <v>58</v>
      </c>
      <c r="C23">
        <v>35</v>
      </c>
      <c r="D23">
        <v>36</v>
      </c>
      <c r="E23" s="1">
        <v>1.25</v>
      </c>
      <c r="F23" t="s">
        <v>59</v>
      </c>
      <c r="G23">
        <v>2</v>
      </c>
      <c r="H23">
        <v>1080.8324</v>
      </c>
      <c r="I23">
        <v>5</v>
      </c>
      <c r="J23">
        <v>1163.79</v>
      </c>
      <c r="K23">
        <v>3.9161333999415802</v>
      </c>
      <c r="L23">
        <v>601.29</v>
      </c>
      <c r="M23" t="s">
        <v>60</v>
      </c>
      <c r="N23">
        <v>1</v>
      </c>
      <c r="O23">
        <v>1308</v>
      </c>
      <c r="P23">
        <v>1135</v>
      </c>
      <c r="Q23">
        <v>0.5</v>
      </c>
      <c r="R23">
        <v>567.5</v>
      </c>
    </row>
    <row r="24" spans="1:18" x14ac:dyDescent="0.3">
      <c r="A24" s="5">
        <v>45954</v>
      </c>
      <c r="B24" t="s">
        <v>61</v>
      </c>
      <c r="C24">
        <v>16</v>
      </c>
      <c r="D24">
        <v>36</v>
      </c>
      <c r="E24" s="1">
        <v>1.25</v>
      </c>
      <c r="F24" t="s">
        <v>62</v>
      </c>
      <c r="G24">
        <v>5</v>
      </c>
      <c r="H24">
        <v>1081.3063</v>
      </c>
      <c r="I24">
        <v>0</v>
      </c>
      <c r="J24">
        <v>1163.79</v>
      </c>
      <c r="K24">
        <v>0</v>
      </c>
      <c r="L24">
        <v>975.86</v>
      </c>
      <c r="M24" t="s">
        <v>44</v>
      </c>
      <c r="N24">
        <v>1</v>
      </c>
      <c r="O24">
        <v>1254</v>
      </c>
      <c r="P24">
        <v>1081</v>
      </c>
      <c r="Q24">
        <v>0</v>
      </c>
      <c r="R24">
        <v>1081</v>
      </c>
    </row>
    <row r="25" spans="1:18" x14ac:dyDescent="0.3">
      <c r="A25" s="5">
        <v>45954</v>
      </c>
      <c r="B25" t="s">
        <v>63</v>
      </c>
      <c r="C25">
        <v>9</v>
      </c>
      <c r="D25">
        <v>36</v>
      </c>
      <c r="E25" s="1">
        <v>1.9652777777777777</v>
      </c>
      <c r="F25" t="s">
        <v>64</v>
      </c>
      <c r="G25">
        <v>3</v>
      </c>
      <c r="H25">
        <v>1081.2012</v>
      </c>
      <c r="I25">
        <v>10</v>
      </c>
      <c r="J25">
        <v>1163.79</v>
      </c>
      <c r="K25">
        <v>7.8322667998831603</v>
      </c>
      <c r="L25">
        <v>609.91</v>
      </c>
      <c r="M25" t="s">
        <v>20</v>
      </c>
      <c r="N25">
        <v>1</v>
      </c>
      <c r="O25">
        <v>1362</v>
      </c>
      <c r="P25">
        <v>1189</v>
      </c>
      <c r="Q25">
        <v>0.5</v>
      </c>
      <c r="R25">
        <v>594.5</v>
      </c>
    </row>
    <row r="26" spans="1:18" x14ac:dyDescent="0.3">
      <c r="A26" s="5">
        <v>45954</v>
      </c>
      <c r="B26" t="s">
        <v>65</v>
      </c>
      <c r="C26">
        <v>8</v>
      </c>
      <c r="D26">
        <v>36</v>
      </c>
      <c r="E26" s="1">
        <v>1.9652777777777777</v>
      </c>
      <c r="F26" t="s">
        <v>66</v>
      </c>
      <c r="G26">
        <v>1</v>
      </c>
      <c r="H26">
        <v>1081.2194</v>
      </c>
      <c r="I26">
        <v>8.5</v>
      </c>
      <c r="J26">
        <v>1163.79</v>
      </c>
      <c r="K26">
        <v>6.6574267799006801</v>
      </c>
      <c r="L26">
        <v>1219.83</v>
      </c>
      <c r="M26" t="s">
        <v>27</v>
      </c>
      <c r="N26">
        <v>1</v>
      </c>
      <c r="O26">
        <v>1346</v>
      </c>
      <c r="P26">
        <v>1173</v>
      </c>
      <c r="Q26">
        <v>0</v>
      </c>
      <c r="R26">
        <v>1173</v>
      </c>
    </row>
    <row r="27" spans="1:18" x14ac:dyDescent="0.3">
      <c r="A27" s="5">
        <v>45954</v>
      </c>
      <c r="B27" t="s">
        <v>67</v>
      </c>
      <c r="C27">
        <v>7</v>
      </c>
      <c r="D27">
        <v>36</v>
      </c>
      <c r="E27" s="1">
        <v>1.9791666666666665</v>
      </c>
      <c r="F27" t="s">
        <v>68</v>
      </c>
      <c r="G27">
        <v>4</v>
      </c>
      <c r="H27">
        <v>1081.1703</v>
      </c>
      <c r="I27">
        <v>7</v>
      </c>
      <c r="J27">
        <v>1163.79</v>
      </c>
      <c r="K27">
        <v>5.4825867599182097</v>
      </c>
      <c r="L27">
        <v>1202.5899999999999</v>
      </c>
      <c r="M27" t="s">
        <v>27</v>
      </c>
      <c r="N27">
        <v>1</v>
      </c>
      <c r="O27">
        <v>1330</v>
      </c>
      <c r="P27">
        <v>1157</v>
      </c>
      <c r="Q27">
        <v>0</v>
      </c>
      <c r="R27">
        <v>1157</v>
      </c>
    </row>
    <row r="28" spans="1:18" x14ac:dyDescent="0.3">
      <c r="A28" s="5">
        <v>45954</v>
      </c>
      <c r="B28" t="s">
        <v>69</v>
      </c>
      <c r="C28">
        <v>14</v>
      </c>
      <c r="D28">
        <v>36</v>
      </c>
      <c r="E28" s="1">
        <v>1.4583333333333333</v>
      </c>
      <c r="F28" t="s">
        <v>70</v>
      </c>
      <c r="G28">
        <v>1</v>
      </c>
      <c r="H28">
        <v>1081.3502000000001</v>
      </c>
      <c r="I28">
        <v>8.5</v>
      </c>
      <c r="J28">
        <v>1163.79</v>
      </c>
      <c r="K28">
        <v>6.6574267799006801</v>
      </c>
      <c r="L28">
        <v>1219.83</v>
      </c>
      <c r="M28" t="s">
        <v>27</v>
      </c>
      <c r="N28">
        <v>1</v>
      </c>
      <c r="O28">
        <v>1346</v>
      </c>
      <c r="P28">
        <v>1173</v>
      </c>
      <c r="Q28">
        <v>0</v>
      </c>
      <c r="R28">
        <v>1173</v>
      </c>
    </row>
    <row r="29" spans="1:18" x14ac:dyDescent="0.3">
      <c r="A29" s="5">
        <v>45954</v>
      </c>
      <c r="B29" t="s">
        <v>71</v>
      </c>
      <c r="C29">
        <v>15</v>
      </c>
      <c r="D29">
        <v>36</v>
      </c>
      <c r="E29" s="1">
        <v>1.4583333333333333</v>
      </c>
      <c r="F29" t="s">
        <v>72</v>
      </c>
      <c r="G29">
        <v>1</v>
      </c>
      <c r="H29">
        <v>1081.3322000000001</v>
      </c>
      <c r="I29">
        <v>8.5</v>
      </c>
      <c r="J29">
        <v>1163.79</v>
      </c>
      <c r="K29">
        <v>6.6574267799006801</v>
      </c>
      <c r="L29">
        <v>1219.83</v>
      </c>
      <c r="M29" t="s">
        <v>27</v>
      </c>
      <c r="N29">
        <v>1</v>
      </c>
      <c r="O29">
        <v>1346</v>
      </c>
      <c r="P29">
        <v>1173</v>
      </c>
      <c r="Q29">
        <v>0</v>
      </c>
      <c r="R29">
        <v>1173</v>
      </c>
    </row>
    <row r="30" spans="1:18" x14ac:dyDescent="0.3">
      <c r="A30" s="5">
        <v>45954</v>
      </c>
      <c r="B30" t="s">
        <v>73</v>
      </c>
      <c r="C30">
        <v>3</v>
      </c>
      <c r="D30">
        <v>36</v>
      </c>
      <c r="E30" s="1">
        <v>1.4583333333333333</v>
      </c>
      <c r="F30" t="s">
        <v>74</v>
      </c>
      <c r="G30">
        <v>1</v>
      </c>
      <c r="H30">
        <v>1081.5346999999999</v>
      </c>
      <c r="I30">
        <v>8.5</v>
      </c>
      <c r="J30">
        <v>1163.79</v>
      </c>
      <c r="K30">
        <v>6.6574267799006801</v>
      </c>
      <c r="L30">
        <v>1219.83</v>
      </c>
      <c r="M30" t="s">
        <v>27</v>
      </c>
      <c r="N30">
        <v>1</v>
      </c>
      <c r="O30">
        <v>1347</v>
      </c>
      <c r="P30">
        <v>1173</v>
      </c>
      <c r="Q30">
        <v>0</v>
      </c>
      <c r="R30">
        <v>1173</v>
      </c>
    </row>
    <row r="31" spans="1:18" x14ac:dyDescent="0.3">
      <c r="A31" s="5">
        <v>45954</v>
      </c>
      <c r="B31" t="s">
        <v>75</v>
      </c>
      <c r="C31">
        <v>31</v>
      </c>
      <c r="D31">
        <v>36</v>
      </c>
      <c r="E31" s="1">
        <v>1.4583333333333333</v>
      </c>
      <c r="F31" t="s">
        <v>76</v>
      </c>
      <c r="G31">
        <v>5</v>
      </c>
      <c r="H31">
        <v>1080.9103</v>
      </c>
      <c r="I31">
        <v>0</v>
      </c>
      <c r="J31">
        <v>1163.79</v>
      </c>
      <c r="K31">
        <v>0</v>
      </c>
      <c r="L31">
        <v>609.91</v>
      </c>
      <c r="M31" t="s">
        <v>77</v>
      </c>
      <c r="N31">
        <v>1</v>
      </c>
      <c r="O31">
        <v>1254</v>
      </c>
      <c r="P31">
        <v>1081</v>
      </c>
      <c r="Q31">
        <v>0.5</v>
      </c>
      <c r="R31">
        <v>540.5</v>
      </c>
    </row>
    <row r="32" spans="1:18" x14ac:dyDescent="0.3">
      <c r="A32" s="5">
        <v>45954</v>
      </c>
      <c r="B32" t="s">
        <v>78</v>
      </c>
      <c r="C32">
        <v>26</v>
      </c>
      <c r="D32">
        <v>36</v>
      </c>
      <c r="E32" s="1">
        <v>1.4583333333333333</v>
      </c>
      <c r="F32" t="s">
        <v>79</v>
      </c>
      <c r="G32">
        <v>1</v>
      </c>
      <c r="H32">
        <v>1080.9931999999999</v>
      </c>
      <c r="I32">
        <v>8.5</v>
      </c>
      <c r="J32">
        <v>1163.79</v>
      </c>
      <c r="K32">
        <v>6.6574267799006801</v>
      </c>
      <c r="L32">
        <v>1219.83</v>
      </c>
      <c r="M32" t="s">
        <v>27</v>
      </c>
      <c r="N32">
        <v>1</v>
      </c>
      <c r="O32">
        <v>1346</v>
      </c>
      <c r="P32">
        <v>1173</v>
      </c>
      <c r="Q32">
        <v>0</v>
      </c>
      <c r="R32">
        <v>1173</v>
      </c>
    </row>
    <row r="33" spans="1:18" x14ac:dyDescent="0.3">
      <c r="A33" s="5">
        <v>45954</v>
      </c>
      <c r="B33" t="s">
        <v>80</v>
      </c>
      <c r="C33">
        <v>33</v>
      </c>
      <c r="D33">
        <v>36</v>
      </c>
      <c r="E33" s="1">
        <v>1.4583333333333333</v>
      </c>
      <c r="F33" t="s">
        <v>81</v>
      </c>
      <c r="G33">
        <v>1</v>
      </c>
      <c r="H33">
        <v>1080.8744999999999</v>
      </c>
      <c r="I33">
        <v>8.5</v>
      </c>
      <c r="J33">
        <v>1163.79</v>
      </c>
      <c r="K33">
        <v>6.6574267799006801</v>
      </c>
      <c r="L33">
        <v>1219.83</v>
      </c>
      <c r="M33" t="s">
        <v>27</v>
      </c>
      <c r="N33">
        <v>1</v>
      </c>
      <c r="O33">
        <v>1346</v>
      </c>
      <c r="P33">
        <v>1173</v>
      </c>
      <c r="Q33">
        <v>0</v>
      </c>
      <c r="R33">
        <v>1173</v>
      </c>
    </row>
    <row r="34" spans="1:18" x14ac:dyDescent="0.3">
      <c r="A34" s="5">
        <v>45954</v>
      </c>
      <c r="B34" t="s">
        <v>82</v>
      </c>
      <c r="C34">
        <v>10</v>
      </c>
      <c r="D34">
        <v>36</v>
      </c>
      <c r="E34" s="1">
        <v>1.25</v>
      </c>
      <c r="F34" t="s">
        <v>83</v>
      </c>
      <c r="G34">
        <v>0</v>
      </c>
      <c r="H34">
        <v>1081.5741</v>
      </c>
      <c r="I34">
        <v>2.5</v>
      </c>
      <c r="J34">
        <v>1163.79</v>
      </c>
      <c r="K34">
        <v>1.9580666999707901</v>
      </c>
      <c r="L34">
        <v>1158.79</v>
      </c>
      <c r="M34" t="s">
        <v>27</v>
      </c>
      <c r="N34">
        <v>1</v>
      </c>
      <c r="O34">
        <v>1282</v>
      </c>
      <c r="P34">
        <v>1109</v>
      </c>
      <c r="Q34">
        <v>0</v>
      </c>
      <c r="R34">
        <v>1109</v>
      </c>
    </row>
    <row r="35" spans="1:18" x14ac:dyDescent="0.3">
      <c r="A35" s="5">
        <v>45954</v>
      </c>
      <c r="B35" t="s">
        <v>84</v>
      </c>
      <c r="C35">
        <v>29</v>
      </c>
      <c r="D35">
        <v>36</v>
      </c>
      <c r="E35" s="1">
        <v>1.4583333333333333</v>
      </c>
      <c r="F35" t="s">
        <v>85</v>
      </c>
      <c r="G35">
        <v>1</v>
      </c>
      <c r="H35">
        <v>1080.9392</v>
      </c>
      <c r="I35">
        <v>8.5</v>
      </c>
      <c r="J35">
        <v>1163.79</v>
      </c>
      <c r="K35">
        <v>6.6574267799006801</v>
      </c>
      <c r="L35">
        <v>1219.83</v>
      </c>
      <c r="M35" t="s">
        <v>27</v>
      </c>
      <c r="N35">
        <v>1</v>
      </c>
      <c r="O35">
        <v>1346</v>
      </c>
      <c r="P35">
        <v>1173</v>
      </c>
      <c r="Q35">
        <v>0</v>
      </c>
      <c r="R35">
        <v>1173</v>
      </c>
    </row>
    <row r="36" spans="1:18" x14ac:dyDescent="0.3">
      <c r="A36" s="5">
        <v>45954</v>
      </c>
      <c r="B36" t="s">
        <v>86</v>
      </c>
      <c r="C36">
        <v>8</v>
      </c>
      <c r="D36">
        <v>36</v>
      </c>
      <c r="E36" s="1">
        <v>1.4583333333333333</v>
      </c>
      <c r="F36" t="s">
        <v>87</v>
      </c>
      <c r="G36">
        <v>1</v>
      </c>
      <c r="H36">
        <v>1081.4438</v>
      </c>
      <c r="I36">
        <v>8.5</v>
      </c>
      <c r="J36">
        <v>1163.79</v>
      </c>
      <c r="K36">
        <v>6.6574267799006801</v>
      </c>
      <c r="L36">
        <v>1202.5899999999999</v>
      </c>
      <c r="M36" t="s">
        <v>27</v>
      </c>
      <c r="N36">
        <v>1</v>
      </c>
      <c r="O36">
        <v>1346</v>
      </c>
      <c r="P36">
        <v>1173</v>
      </c>
      <c r="Q36">
        <v>0</v>
      </c>
      <c r="R36">
        <v>1173</v>
      </c>
    </row>
    <row r="37" spans="1:18" x14ac:dyDescent="0.3">
      <c r="A37" s="5">
        <v>45954</v>
      </c>
      <c r="B37" t="s">
        <v>88</v>
      </c>
      <c r="C37">
        <v>22</v>
      </c>
      <c r="D37">
        <v>36</v>
      </c>
      <c r="E37" s="1">
        <v>1.4583333333333333</v>
      </c>
      <c r="F37" t="s">
        <v>89</v>
      </c>
      <c r="G37">
        <v>1</v>
      </c>
      <c r="H37">
        <v>1081.0651</v>
      </c>
      <c r="I37">
        <v>8.5</v>
      </c>
      <c r="J37">
        <v>1163.79</v>
      </c>
      <c r="K37">
        <v>6.6574267799006801</v>
      </c>
      <c r="L37">
        <v>1219.83</v>
      </c>
      <c r="M37" t="s">
        <v>27</v>
      </c>
      <c r="N37">
        <v>1</v>
      </c>
      <c r="O37">
        <v>1346</v>
      </c>
      <c r="P37">
        <v>1173</v>
      </c>
      <c r="Q37">
        <v>0</v>
      </c>
      <c r="R37">
        <v>1173</v>
      </c>
    </row>
    <row r="38" spans="1:18" x14ac:dyDescent="0.3">
      <c r="A38" s="5">
        <v>45954</v>
      </c>
      <c r="B38" t="s">
        <v>90</v>
      </c>
      <c r="C38">
        <v>25</v>
      </c>
      <c r="D38">
        <v>36</v>
      </c>
      <c r="E38" s="1">
        <v>1.4583333333333333</v>
      </c>
      <c r="F38" t="s">
        <v>91</v>
      </c>
      <c r="G38">
        <v>1</v>
      </c>
      <c r="H38">
        <v>1081.0111999999999</v>
      </c>
      <c r="I38">
        <v>8.5</v>
      </c>
      <c r="J38">
        <v>1163.79</v>
      </c>
      <c r="K38">
        <v>6.6574267799006801</v>
      </c>
      <c r="L38">
        <v>1219.83</v>
      </c>
      <c r="M38" t="s">
        <v>27</v>
      </c>
      <c r="N38">
        <v>1</v>
      </c>
      <c r="O38">
        <v>1346</v>
      </c>
      <c r="P38">
        <v>1173</v>
      </c>
      <c r="Q38">
        <v>0</v>
      </c>
      <c r="R38">
        <v>1173</v>
      </c>
    </row>
    <row r="39" spans="1:18" x14ac:dyDescent="0.3">
      <c r="A39" s="5">
        <v>45954</v>
      </c>
      <c r="B39" t="s">
        <v>92</v>
      </c>
      <c r="C39">
        <v>27</v>
      </c>
      <c r="D39">
        <v>36</v>
      </c>
      <c r="E39" s="1">
        <v>1.9993055555555554</v>
      </c>
      <c r="F39" t="s">
        <v>93</v>
      </c>
      <c r="G39">
        <v>0</v>
      </c>
      <c r="H39">
        <v>1080.7554</v>
      </c>
      <c r="I39">
        <v>2.5</v>
      </c>
      <c r="J39">
        <v>1163.79</v>
      </c>
      <c r="K39">
        <v>1.9580666999707901</v>
      </c>
      <c r="L39">
        <v>1158.79</v>
      </c>
      <c r="M39" t="s">
        <v>27</v>
      </c>
      <c r="N39">
        <v>1</v>
      </c>
      <c r="O39">
        <v>1281</v>
      </c>
      <c r="P39">
        <v>1108</v>
      </c>
      <c r="Q39">
        <v>0</v>
      </c>
      <c r="R39">
        <v>1108</v>
      </c>
    </row>
    <row r="40" spans="1:18" x14ac:dyDescent="0.3">
      <c r="A40" s="5">
        <v>45954</v>
      </c>
      <c r="B40" t="s">
        <v>94</v>
      </c>
      <c r="C40">
        <v>36</v>
      </c>
      <c r="D40">
        <v>36</v>
      </c>
      <c r="E40" s="1">
        <v>1.9652777777777777</v>
      </c>
      <c r="F40" t="s">
        <v>95</v>
      </c>
      <c r="G40">
        <v>5</v>
      </c>
      <c r="H40">
        <v>1080.5926999999999</v>
      </c>
      <c r="I40">
        <v>0</v>
      </c>
      <c r="J40">
        <v>1163.79</v>
      </c>
      <c r="K40">
        <v>0</v>
      </c>
      <c r="L40">
        <v>1158.79</v>
      </c>
      <c r="M40" t="s">
        <v>27</v>
      </c>
      <c r="N40">
        <v>1</v>
      </c>
      <c r="O40">
        <v>1253</v>
      </c>
      <c r="P40">
        <v>1081</v>
      </c>
      <c r="Q40">
        <v>0</v>
      </c>
      <c r="R40">
        <v>1081</v>
      </c>
    </row>
    <row r="41" spans="1:18" x14ac:dyDescent="0.3">
      <c r="A41" s="5">
        <v>45954</v>
      </c>
      <c r="B41" t="s">
        <v>96</v>
      </c>
      <c r="C41">
        <v>3</v>
      </c>
      <c r="D41">
        <v>36</v>
      </c>
      <c r="E41" s="1">
        <v>1.9993055555555554</v>
      </c>
      <c r="F41" t="s">
        <v>97</v>
      </c>
      <c r="G41">
        <v>4</v>
      </c>
      <c r="H41">
        <v>1079.2737</v>
      </c>
      <c r="I41">
        <v>7</v>
      </c>
      <c r="J41">
        <v>1163.79</v>
      </c>
      <c r="K41">
        <v>5.4825867599182097</v>
      </c>
      <c r="L41">
        <v>1202.5899999999999</v>
      </c>
      <c r="M41" t="s">
        <v>27</v>
      </c>
      <c r="N41">
        <v>1</v>
      </c>
      <c r="O41">
        <v>1328</v>
      </c>
      <c r="P41">
        <v>1155</v>
      </c>
      <c r="Q41">
        <v>0</v>
      </c>
      <c r="R41">
        <v>1155</v>
      </c>
    </row>
    <row r="42" spans="1:18" x14ac:dyDescent="0.3">
      <c r="A42" s="5">
        <v>45954</v>
      </c>
      <c r="B42" t="s">
        <v>98</v>
      </c>
      <c r="C42">
        <v>2</v>
      </c>
      <c r="D42">
        <v>36</v>
      </c>
      <c r="E42" s="1">
        <v>1.9993055555555554</v>
      </c>
      <c r="F42" t="s">
        <v>99</v>
      </c>
      <c r="G42">
        <v>4</v>
      </c>
      <c r="H42">
        <v>1081.3262999999999</v>
      </c>
      <c r="I42">
        <v>7</v>
      </c>
      <c r="J42">
        <v>1163.79</v>
      </c>
      <c r="K42">
        <v>5.4825867599182097</v>
      </c>
      <c r="L42">
        <v>1097.8399999999999</v>
      </c>
      <c r="M42" t="s">
        <v>27</v>
      </c>
      <c r="N42">
        <v>1</v>
      </c>
      <c r="O42">
        <v>1330</v>
      </c>
      <c r="P42">
        <v>1157</v>
      </c>
      <c r="Q42">
        <v>0</v>
      </c>
      <c r="R42">
        <v>1157</v>
      </c>
    </row>
    <row r="43" spans="1:18" x14ac:dyDescent="0.3">
      <c r="A43" s="5">
        <v>45954</v>
      </c>
      <c r="B43" t="s">
        <v>100</v>
      </c>
      <c r="C43">
        <v>30</v>
      </c>
      <c r="D43">
        <v>36</v>
      </c>
      <c r="E43" s="1">
        <v>1.4583333333333333</v>
      </c>
      <c r="F43" t="s">
        <v>101</v>
      </c>
      <c r="G43">
        <v>3</v>
      </c>
      <c r="H43">
        <v>1081.1075000000001</v>
      </c>
      <c r="I43">
        <v>10</v>
      </c>
      <c r="J43">
        <v>1163.79</v>
      </c>
      <c r="K43">
        <v>7.8322667998831603</v>
      </c>
      <c r="L43">
        <v>601.29</v>
      </c>
      <c r="M43" t="s">
        <v>60</v>
      </c>
      <c r="N43">
        <v>1</v>
      </c>
      <c r="O43">
        <v>1362</v>
      </c>
      <c r="P43">
        <v>1189</v>
      </c>
      <c r="Q43">
        <v>0.5</v>
      </c>
      <c r="R43">
        <v>594.5</v>
      </c>
    </row>
    <row r="44" spans="1:18" x14ac:dyDescent="0.3">
      <c r="A44" s="5">
        <v>45954</v>
      </c>
      <c r="B44" t="s">
        <v>102</v>
      </c>
      <c r="C44">
        <v>31</v>
      </c>
      <c r="D44">
        <v>36</v>
      </c>
      <c r="E44" s="1">
        <v>1.4583333333333333</v>
      </c>
      <c r="F44" t="s">
        <v>103</v>
      </c>
      <c r="G44">
        <v>3</v>
      </c>
      <c r="H44">
        <v>1081.0895</v>
      </c>
      <c r="I44">
        <v>10</v>
      </c>
      <c r="J44">
        <v>1163.79</v>
      </c>
      <c r="K44">
        <v>7.8322667998831603</v>
      </c>
      <c r="L44">
        <v>601.29</v>
      </c>
      <c r="M44" t="s">
        <v>60</v>
      </c>
      <c r="N44">
        <v>1</v>
      </c>
      <c r="O44">
        <v>1362</v>
      </c>
      <c r="P44">
        <v>1189</v>
      </c>
      <c r="Q44">
        <v>0.5</v>
      </c>
      <c r="R44">
        <v>594.5</v>
      </c>
    </row>
    <row r="45" spans="1:18" x14ac:dyDescent="0.3">
      <c r="A45" s="5">
        <v>45954</v>
      </c>
      <c r="B45" t="s">
        <v>104</v>
      </c>
      <c r="C45">
        <v>3</v>
      </c>
      <c r="D45">
        <v>36</v>
      </c>
      <c r="E45" s="1">
        <v>1.25</v>
      </c>
      <c r="F45" t="s">
        <v>105</v>
      </c>
      <c r="G45">
        <v>0</v>
      </c>
      <c r="H45">
        <v>1081.5374999999999</v>
      </c>
      <c r="I45">
        <v>2.5</v>
      </c>
      <c r="J45">
        <v>1163.79</v>
      </c>
      <c r="K45">
        <v>1.9580666999707901</v>
      </c>
      <c r="L45">
        <v>1158.79</v>
      </c>
      <c r="M45" t="s">
        <v>27</v>
      </c>
      <c r="N45">
        <v>1</v>
      </c>
      <c r="O45">
        <v>1282</v>
      </c>
      <c r="P45">
        <v>1109</v>
      </c>
      <c r="Q45">
        <v>0</v>
      </c>
      <c r="R45">
        <v>1109</v>
      </c>
    </row>
    <row r="46" spans="1:18" x14ac:dyDescent="0.3">
      <c r="A46" s="5">
        <v>45954</v>
      </c>
      <c r="B46" t="s">
        <v>104</v>
      </c>
      <c r="C46">
        <v>3</v>
      </c>
      <c r="D46">
        <v>36</v>
      </c>
      <c r="E46" s="1">
        <v>1.25</v>
      </c>
      <c r="F46" t="s">
        <v>106</v>
      </c>
      <c r="G46">
        <v>0</v>
      </c>
      <c r="H46">
        <v>1081.5374999999999</v>
      </c>
      <c r="I46">
        <v>2.5</v>
      </c>
      <c r="J46">
        <v>1163.79</v>
      </c>
      <c r="K46">
        <v>1.9580666999707901</v>
      </c>
      <c r="L46">
        <v>1158.79</v>
      </c>
      <c r="M46" t="s">
        <v>27</v>
      </c>
      <c r="N46">
        <v>1</v>
      </c>
      <c r="O46">
        <v>1282</v>
      </c>
      <c r="P46">
        <v>1109</v>
      </c>
      <c r="Q46">
        <v>0</v>
      </c>
      <c r="R46">
        <v>1109</v>
      </c>
    </row>
    <row r="47" spans="1:18" x14ac:dyDescent="0.3">
      <c r="A47" s="5">
        <v>45954</v>
      </c>
      <c r="B47" t="s">
        <v>107</v>
      </c>
      <c r="C47">
        <v>2</v>
      </c>
      <c r="D47">
        <v>36</v>
      </c>
      <c r="E47" s="1">
        <v>1.25</v>
      </c>
      <c r="F47" t="s">
        <v>105</v>
      </c>
      <c r="G47">
        <v>0</v>
      </c>
      <c r="H47">
        <v>1081.5554999999999</v>
      </c>
      <c r="I47">
        <v>2.5</v>
      </c>
      <c r="J47">
        <v>1163.79</v>
      </c>
      <c r="K47">
        <v>1.9580666999707901</v>
      </c>
      <c r="L47">
        <v>1158.79</v>
      </c>
      <c r="M47" t="s">
        <v>27</v>
      </c>
      <c r="N47">
        <v>1</v>
      </c>
      <c r="O47">
        <v>1282</v>
      </c>
      <c r="P47">
        <v>1109</v>
      </c>
      <c r="Q47">
        <v>0</v>
      </c>
      <c r="R47">
        <v>1109</v>
      </c>
    </row>
    <row r="48" spans="1:18" x14ac:dyDescent="0.3">
      <c r="A48" s="5">
        <v>45954</v>
      </c>
      <c r="B48" t="s">
        <v>107</v>
      </c>
      <c r="C48">
        <v>2</v>
      </c>
      <c r="D48">
        <v>36</v>
      </c>
      <c r="E48" s="1">
        <v>1.25</v>
      </c>
      <c r="F48" t="s">
        <v>106</v>
      </c>
      <c r="G48">
        <v>0</v>
      </c>
      <c r="H48">
        <v>1081.5554999999999</v>
      </c>
      <c r="I48">
        <v>2.5</v>
      </c>
      <c r="J48">
        <v>1163.79</v>
      </c>
      <c r="K48">
        <v>1.9580666999707901</v>
      </c>
      <c r="L48">
        <v>1158.79</v>
      </c>
      <c r="M48" t="s">
        <v>27</v>
      </c>
      <c r="N48">
        <v>1</v>
      </c>
      <c r="O48">
        <v>1282</v>
      </c>
      <c r="P48">
        <v>1109</v>
      </c>
      <c r="Q48">
        <v>0</v>
      </c>
      <c r="R48">
        <v>1109</v>
      </c>
    </row>
    <row r="49" spans="1:18" x14ac:dyDescent="0.3">
      <c r="A49" s="5">
        <v>45954</v>
      </c>
      <c r="B49" t="s">
        <v>108</v>
      </c>
      <c r="C49">
        <v>13</v>
      </c>
      <c r="D49">
        <v>36</v>
      </c>
      <c r="E49" s="1">
        <v>1.4583333333333333</v>
      </c>
      <c r="F49" t="s">
        <v>109</v>
      </c>
      <c r="G49">
        <v>0</v>
      </c>
      <c r="H49">
        <v>1081.2987000000001</v>
      </c>
      <c r="I49">
        <v>2.5</v>
      </c>
      <c r="J49">
        <v>1163.79</v>
      </c>
      <c r="K49">
        <v>1.9580666999707901</v>
      </c>
      <c r="L49">
        <v>1142.5</v>
      </c>
      <c r="M49" t="s">
        <v>27</v>
      </c>
      <c r="N49">
        <v>1</v>
      </c>
      <c r="O49">
        <v>1281</v>
      </c>
      <c r="P49">
        <v>1108</v>
      </c>
      <c r="Q49">
        <v>0</v>
      </c>
      <c r="R49">
        <v>1108</v>
      </c>
    </row>
    <row r="50" spans="1:18" x14ac:dyDescent="0.3">
      <c r="A50" s="5">
        <v>45954</v>
      </c>
      <c r="B50" t="s">
        <v>110</v>
      </c>
      <c r="C50">
        <v>13</v>
      </c>
      <c r="D50">
        <v>36</v>
      </c>
      <c r="E50" s="1">
        <v>1.9791666666666665</v>
      </c>
      <c r="F50" t="s">
        <v>111</v>
      </c>
      <c r="G50">
        <v>5</v>
      </c>
      <c r="H50">
        <v>1081.1379999999999</v>
      </c>
      <c r="I50">
        <v>0</v>
      </c>
      <c r="J50">
        <v>1163.79</v>
      </c>
      <c r="K50">
        <v>0</v>
      </c>
      <c r="L50">
        <v>1158.79</v>
      </c>
      <c r="M50" t="s">
        <v>27</v>
      </c>
      <c r="N50">
        <v>1</v>
      </c>
      <c r="O50">
        <v>1254</v>
      </c>
      <c r="P50">
        <v>1081</v>
      </c>
      <c r="Q50">
        <v>0</v>
      </c>
      <c r="R50">
        <v>1081</v>
      </c>
    </row>
    <row r="51" spans="1:18" x14ac:dyDescent="0.3">
      <c r="A51" s="5">
        <v>45954</v>
      </c>
      <c r="B51" t="s">
        <v>112</v>
      </c>
      <c r="C51">
        <v>17</v>
      </c>
      <c r="D51">
        <v>36</v>
      </c>
      <c r="E51" s="1">
        <v>1.9791666666666665</v>
      </c>
      <c r="F51" t="s">
        <v>113</v>
      </c>
      <c r="G51">
        <v>5</v>
      </c>
      <c r="H51">
        <v>1081.0654</v>
      </c>
      <c r="I51">
        <v>0</v>
      </c>
      <c r="J51">
        <v>1163.79</v>
      </c>
      <c r="K51">
        <v>0</v>
      </c>
      <c r="L51">
        <v>1158.79</v>
      </c>
      <c r="M51" t="s">
        <v>27</v>
      </c>
      <c r="N51">
        <v>1</v>
      </c>
      <c r="O51">
        <v>1254</v>
      </c>
      <c r="P51">
        <v>1081</v>
      </c>
      <c r="Q51">
        <v>0</v>
      </c>
      <c r="R51">
        <v>1081</v>
      </c>
    </row>
    <row r="52" spans="1:18" x14ac:dyDescent="0.3">
      <c r="A52" s="5">
        <v>45954</v>
      </c>
      <c r="B52" t="s">
        <v>114</v>
      </c>
      <c r="C52">
        <v>17</v>
      </c>
      <c r="D52">
        <v>36</v>
      </c>
      <c r="E52" s="1">
        <v>1.25</v>
      </c>
      <c r="F52" t="s">
        <v>115</v>
      </c>
      <c r="G52">
        <v>2</v>
      </c>
      <c r="H52">
        <v>1081.4332999999999</v>
      </c>
      <c r="I52">
        <v>5</v>
      </c>
      <c r="J52">
        <v>1163.79</v>
      </c>
      <c r="K52">
        <v>3.9161333999415802</v>
      </c>
      <c r="L52">
        <v>609.91</v>
      </c>
      <c r="M52" t="s">
        <v>60</v>
      </c>
      <c r="N52">
        <v>1</v>
      </c>
      <c r="O52">
        <v>1309</v>
      </c>
      <c r="P52">
        <v>1136</v>
      </c>
      <c r="Q52">
        <v>0.5</v>
      </c>
      <c r="R52">
        <v>568</v>
      </c>
    </row>
    <row r="53" spans="1:18" x14ac:dyDescent="0.3">
      <c r="A53" s="5">
        <v>45954</v>
      </c>
      <c r="B53" t="s">
        <v>116</v>
      </c>
      <c r="C53">
        <v>26</v>
      </c>
      <c r="D53">
        <v>36</v>
      </c>
      <c r="E53" s="1">
        <v>1.9993055555555554</v>
      </c>
      <c r="F53" t="s">
        <v>117</v>
      </c>
      <c r="G53">
        <v>5</v>
      </c>
      <c r="H53">
        <v>1080.771</v>
      </c>
      <c r="I53">
        <v>0</v>
      </c>
      <c r="J53">
        <v>1163.79</v>
      </c>
      <c r="K53">
        <v>0</v>
      </c>
      <c r="L53">
        <v>1158.79</v>
      </c>
      <c r="M53" t="s">
        <v>27</v>
      </c>
      <c r="N53">
        <v>1</v>
      </c>
      <c r="O53">
        <v>1254</v>
      </c>
      <c r="P53">
        <v>1081</v>
      </c>
      <c r="Q53">
        <v>0</v>
      </c>
      <c r="R53">
        <v>1081</v>
      </c>
    </row>
    <row r="54" spans="1:18" x14ac:dyDescent="0.3">
      <c r="A54" s="5">
        <v>45954</v>
      </c>
      <c r="B54" t="s">
        <v>118</v>
      </c>
      <c r="C54">
        <v>32</v>
      </c>
      <c r="D54">
        <v>36</v>
      </c>
      <c r="E54" s="1">
        <v>1.9652777777777777</v>
      </c>
      <c r="F54" t="s">
        <v>119</v>
      </c>
      <c r="G54">
        <v>5</v>
      </c>
      <c r="H54">
        <v>1080.6622</v>
      </c>
      <c r="I54">
        <v>0</v>
      </c>
      <c r="J54">
        <v>1163.79</v>
      </c>
      <c r="K54">
        <v>0</v>
      </c>
      <c r="L54">
        <v>1158.79</v>
      </c>
      <c r="M54" t="s">
        <v>27</v>
      </c>
      <c r="N54">
        <v>1</v>
      </c>
      <c r="O54">
        <v>1254</v>
      </c>
      <c r="P54">
        <v>1081</v>
      </c>
      <c r="Q54">
        <v>0</v>
      </c>
      <c r="R54">
        <v>1081</v>
      </c>
    </row>
    <row r="55" spans="1:18" x14ac:dyDescent="0.3">
      <c r="A55" s="5">
        <v>45954</v>
      </c>
      <c r="B55" t="s">
        <v>120</v>
      </c>
      <c r="C55">
        <v>17</v>
      </c>
      <c r="D55">
        <v>36</v>
      </c>
      <c r="E55" s="1">
        <v>1.9722222222222223</v>
      </c>
      <c r="F55" t="s">
        <v>121</v>
      </c>
      <c r="G55">
        <v>0</v>
      </c>
      <c r="H55">
        <v>1081.0547999999999</v>
      </c>
      <c r="I55">
        <v>2.5</v>
      </c>
      <c r="J55">
        <v>1163.79</v>
      </c>
      <c r="K55">
        <v>1.9580666999707901</v>
      </c>
      <c r="L55">
        <v>1158.79</v>
      </c>
      <c r="M55" t="s">
        <v>27</v>
      </c>
      <c r="N55">
        <v>1</v>
      </c>
      <c r="O55">
        <v>1281</v>
      </c>
      <c r="P55">
        <v>1108</v>
      </c>
      <c r="Q55">
        <v>0</v>
      </c>
      <c r="R55">
        <v>1108</v>
      </c>
    </row>
    <row r="56" spans="1:18" x14ac:dyDescent="0.3">
      <c r="A56" s="5">
        <v>45954</v>
      </c>
      <c r="B56" t="s">
        <v>122</v>
      </c>
      <c r="C56">
        <v>14</v>
      </c>
      <c r="D56">
        <v>36</v>
      </c>
      <c r="E56" s="1">
        <v>1.9993055555555554</v>
      </c>
      <c r="F56" t="s">
        <v>123</v>
      </c>
      <c r="G56">
        <v>0</v>
      </c>
      <c r="H56">
        <v>1081.1088</v>
      </c>
      <c r="I56">
        <v>2.5</v>
      </c>
      <c r="J56">
        <v>1163.79</v>
      </c>
      <c r="K56">
        <v>1.9580666999707901</v>
      </c>
      <c r="L56">
        <v>1158.79</v>
      </c>
      <c r="M56" t="s">
        <v>27</v>
      </c>
      <c r="N56">
        <v>1</v>
      </c>
      <c r="O56">
        <v>1281</v>
      </c>
      <c r="P56">
        <v>1108</v>
      </c>
      <c r="Q56">
        <v>0</v>
      </c>
      <c r="R56">
        <v>1108</v>
      </c>
    </row>
    <row r="57" spans="1:18" x14ac:dyDescent="0.3">
      <c r="A57" s="5">
        <v>45954</v>
      </c>
      <c r="B57" t="s">
        <v>124</v>
      </c>
      <c r="C57">
        <v>15</v>
      </c>
      <c r="D57">
        <v>36</v>
      </c>
      <c r="E57" s="1">
        <v>1.9993055555555554</v>
      </c>
      <c r="F57" t="s">
        <v>125</v>
      </c>
      <c r="G57">
        <v>0</v>
      </c>
      <c r="H57">
        <v>1081.0907999999999</v>
      </c>
      <c r="I57">
        <v>2.5</v>
      </c>
      <c r="J57">
        <v>1163.79</v>
      </c>
      <c r="K57">
        <v>1.9580666999707901</v>
      </c>
      <c r="L57">
        <v>1158.79</v>
      </c>
      <c r="M57" t="s">
        <v>27</v>
      </c>
      <c r="N57">
        <v>1</v>
      </c>
      <c r="O57">
        <v>1281</v>
      </c>
      <c r="P57">
        <v>1108</v>
      </c>
      <c r="Q57">
        <v>0</v>
      </c>
      <c r="R57">
        <v>1108</v>
      </c>
    </row>
    <row r="58" spans="1:18" x14ac:dyDescent="0.3">
      <c r="A58" s="5">
        <v>45954</v>
      </c>
      <c r="B58" t="s">
        <v>126</v>
      </c>
      <c r="C58">
        <v>10</v>
      </c>
      <c r="D58">
        <v>36</v>
      </c>
      <c r="E58" s="1">
        <v>1.9791666666666665</v>
      </c>
      <c r="F58" t="s">
        <v>127</v>
      </c>
      <c r="G58">
        <v>5</v>
      </c>
      <c r="H58">
        <v>1081.1904</v>
      </c>
      <c r="I58">
        <v>0</v>
      </c>
      <c r="J58">
        <v>1163.79</v>
      </c>
      <c r="K58">
        <v>0</v>
      </c>
      <c r="L58">
        <v>1158.79</v>
      </c>
      <c r="M58" t="s">
        <v>27</v>
      </c>
      <c r="N58">
        <v>1</v>
      </c>
      <c r="O58">
        <v>1254</v>
      </c>
      <c r="P58">
        <v>1081</v>
      </c>
      <c r="Q58">
        <v>0</v>
      </c>
      <c r="R58">
        <v>1081</v>
      </c>
    </row>
    <row r="59" spans="1:18" x14ac:dyDescent="0.3">
      <c r="A59" s="5">
        <v>45954</v>
      </c>
      <c r="B59" t="s">
        <v>128</v>
      </c>
      <c r="C59">
        <v>32</v>
      </c>
      <c r="D59">
        <v>36</v>
      </c>
      <c r="E59" s="1">
        <v>1.25</v>
      </c>
      <c r="F59" t="s">
        <v>129</v>
      </c>
      <c r="G59">
        <v>0</v>
      </c>
      <c r="H59">
        <v>1080.8255999999999</v>
      </c>
      <c r="I59">
        <v>2.5</v>
      </c>
      <c r="J59">
        <v>1163.79</v>
      </c>
      <c r="K59">
        <v>1.9580666999707901</v>
      </c>
      <c r="L59">
        <v>1142.5</v>
      </c>
      <c r="M59" t="s">
        <v>27</v>
      </c>
      <c r="N59">
        <v>1</v>
      </c>
      <c r="O59">
        <v>1281</v>
      </c>
      <c r="P59">
        <v>1108</v>
      </c>
      <c r="Q59">
        <v>0</v>
      </c>
      <c r="R59">
        <v>1108</v>
      </c>
    </row>
    <row r="60" spans="1:18" x14ac:dyDescent="0.3">
      <c r="A60" s="5">
        <v>45954</v>
      </c>
      <c r="B60" t="s">
        <v>130</v>
      </c>
      <c r="C60">
        <v>17</v>
      </c>
      <c r="D60">
        <v>36</v>
      </c>
      <c r="E60" s="1">
        <v>1.9993055555555554</v>
      </c>
      <c r="F60" t="s">
        <v>131</v>
      </c>
      <c r="G60">
        <v>5</v>
      </c>
      <c r="H60">
        <v>1081.0636</v>
      </c>
      <c r="I60">
        <v>0</v>
      </c>
      <c r="J60">
        <v>1163.79</v>
      </c>
      <c r="K60">
        <v>0</v>
      </c>
      <c r="L60">
        <v>1158.79</v>
      </c>
      <c r="M60" t="s">
        <v>27</v>
      </c>
      <c r="N60">
        <v>1</v>
      </c>
      <c r="O60">
        <v>1254</v>
      </c>
      <c r="P60">
        <v>1081</v>
      </c>
      <c r="Q60">
        <v>0</v>
      </c>
      <c r="R60">
        <v>1081</v>
      </c>
    </row>
    <row r="61" spans="1:18" x14ac:dyDescent="0.3">
      <c r="A61" s="5">
        <v>45954</v>
      </c>
      <c r="B61" t="s">
        <v>132</v>
      </c>
      <c r="C61">
        <v>16</v>
      </c>
      <c r="D61">
        <v>36</v>
      </c>
      <c r="E61" s="1">
        <v>1.9791666666666665</v>
      </c>
      <c r="F61" t="s">
        <v>133</v>
      </c>
      <c r="G61">
        <v>5</v>
      </c>
      <c r="H61">
        <v>1081.0817</v>
      </c>
      <c r="I61">
        <v>0</v>
      </c>
      <c r="J61">
        <v>1163.79</v>
      </c>
      <c r="K61">
        <v>0</v>
      </c>
      <c r="L61">
        <v>1158.79</v>
      </c>
      <c r="M61" t="s">
        <v>27</v>
      </c>
      <c r="N61">
        <v>1</v>
      </c>
      <c r="O61">
        <v>1254</v>
      </c>
      <c r="P61">
        <v>1081</v>
      </c>
      <c r="Q61">
        <v>0</v>
      </c>
      <c r="R61">
        <v>1081</v>
      </c>
    </row>
    <row r="62" spans="1:18" x14ac:dyDescent="0.3">
      <c r="A62" s="5">
        <v>45954</v>
      </c>
      <c r="B62" t="s">
        <v>134</v>
      </c>
      <c r="C62">
        <v>1</v>
      </c>
      <c r="D62">
        <v>36</v>
      </c>
      <c r="E62" s="1">
        <v>1.9993055555555554</v>
      </c>
      <c r="F62" t="s">
        <v>135</v>
      </c>
      <c r="G62">
        <v>1</v>
      </c>
      <c r="H62">
        <v>1081.3389</v>
      </c>
      <c r="I62">
        <v>8.5</v>
      </c>
      <c r="J62">
        <v>1163.79</v>
      </c>
      <c r="K62">
        <v>6.6574267799006801</v>
      </c>
      <c r="L62">
        <v>1082.33</v>
      </c>
      <c r="M62" t="s">
        <v>27</v>
      </c>
      <c r="N62">
        <v>1</v>
      </c>
      <c r="O62">
        <v>1346</v>
      </c>
      <c r="P62">
        <v>1173</v>
      </c>
      <c r="Q62">
        <v>0</v>
      </c>
      <c r="R62">
        <v>1173</v>
      </c>
    </row>
    <row r="63" spans="1:18" x14ac:dyDescent="0.3">
      <c r="A63" s="5">
        <v>45954</v>
      </c>
      <c r="B63" t="s">
        <v>136</v>
      </c>
      <c r="C63">
        <v>23</v>
      </c>
      <c r="D63">
        <v>36</v>
      </c>
      <c r="E63" s="1">
        <v>1.9993055555555554</v>
      </c>
      <c r="F63" t="s">
        <v>137</v>
      </c>
      <c r="G63">
        <v>0</v>
      </c>
      <c r="H63">
        <v>1080.8136</v>
      </c>
      <c r="I63">
        <v>2.5</v>
      </c>
      <c r="J63">
        <v>1163.79</v>
      </c>
      <c r="K63">
        <v>1.9580666999707901</v>
      </c>
      <c r="L63">
        <v>1158.79</v>
      </c>
      <c r="M63" t="s">
        <v>27</v>
      </c>
      <c r="N63">
        <v>1</v>
      </c>
      <c r="O63">
        <v>1281</v>
      </c>
      <c r="P63">
        <v>1108</v>
      </c>
      <c r="Q63">
        <v>0</v>
      </c>
      <c r="R63">
        <v>1108</v>
      </c>
    </row>
    <row r="64" spans="1:18" x14ac:dyDescent="0.3">
      <c r="A64" s="5">
        <v>45954</v>
      </c>
      <c r="B64" t="s">
        <v>138</v>
      </c>
      <c r="C64">
        <v>22</v>
      </c>
      <c r="D64">
        <v>36</v>
      </c>
      <c r="E64" s="1">
        <v>1.9993055555555554</v>
      </c>
      <c r="F64" t="s">
        <v>137</v>
      </c>
      <c r="G64">
        <v>0</v>
      </c>
      <c r="H64">
        <v>1080.8315</v>
      </c>
      <c r="I64">
        <v>2.5</v>
      </c>
      <c r="J64">
        <v>1163.79</v>
      </c>
      <c r="K64">
        <v>1.9580666999707901</v>
      </c>
      <c r="L64">
        <v>1158.79</v>
      </c>
      <c r="M64" t="s">
        <v>27</v>
      </c>
      <c r="N64">
        <v>1</v>
      </c>
      <c r="O64">
        <v>1281</v>
      </c>
      <c r="P64">
        <v>1108</v>
      </c>
      <c r="Q64">
        <v>0</v>
      </c>
      <c r="R64">
        <v>1108</v>
      </c>
    </row>
    <row r="65" spans="1:18" x14ac:dyDescent="0.3">
      <c r="A65" s="5">
        <v>45954</v>
      </c>
      <c r="B65" t="s">
        <v>139</v>
      </c>
      <c r="C65">
        <v>13</v>
      </c>
      <c r="D65">
        <v>36</v>
      </c>
      <c r="E65" s="1">
        <v>1.25</v>
      </c>
      <c r="F65" t="s">
        <v>140</v>
      </c>
      <c r="G65">
        <v>0</v>
      </c>
      <c r="H65">
        <v>1081.2987000000001</v>
      </c>
      <c r="I65">
        <v>2.5</v>
      </c>
      <c r="J65">
        <v>1163.79</v>
      </c>
      <c r="K65">
        <v>1.9580666999707901</v>
      </c>
      <c r="L65">
        <v>1142.5</v>
      </c>
      <c r="M65" t="s">
        <v>27</v>
      </c>
      <c r="N65">
        <v>1</v>
      </c>
      <c r="O65">
        <v>1281</v>
      </c>
      <c r="P65">
        <v>1108</v>
      </c>
      <c r="Q65">
        <v>0</v>
      </c>
      <c r="R65">
        <v>1108</v>
      </c>
    </row>
    <row r="66" spans="1:18" x14ac:dyDescent="0.3">
      <c r="A66" s="5">
        <v>45954</v>
      </c>
      <c r="B66" t="s">
        <v>141</v>
      </c>
      <c r="C66">
        <v>15</v>
      </c>
      <c r="D66">
        <v>36</v>
      </c>
      <c r="E66" s="1">
        <v>1.25</v>
      </c>
      <c r="F66" t="s">
        <v>140</v>
      </c>
      <c r="G66">
        <v>0</v>
      </c>
      <c r="H66">
        <v>1081.2629999999999</v>
      </c>
      <c r="I66">
        <v>2.5</v>
      </c>
      <c r="J66">
        <v>1163.79</v>
      </c>
      <c r="K66">
        <v>1.9580666999707901</v>
      </c>
      <c r="L66">
        <v>1142.5</v>
      </c>
      <c r="M66" t="s">
        <v>27</v>
      </c>
      <c r="N66">
        <v>1</v>
      </c>
      <c r="O66">
        <v>1281</v>
      </c>
      <c r="P66">
        <v>1108</v>
      </c>
      <c r="Q66">
        <v>0</v>
      </c>
      <c r="R66">
        <v>1108</v>
      </c>
    </row>
    <row r="67" spans="1:18" x14ac:dyDescent="0.3">
      <c r="A67" s="5">
        <v>45954</v>
      </c>
      <c r="B67" t="s">
        <v>142</v>
      </c>
      <c r="C67">
        <v>14</v>
      </c>
      <c r="D67">
        <v>36</v>
      </c>
      <c r="E67" s="1">
        <v>1.25</v>
      </c>
      <c r="F67" t="s">
        <v>140</v>
      </c>
      <c r="G67">
        <v>0</v>
      </c>
      <c r="H67">
        <v>1081.2809</v>
      </c>
      <c r="I67">
        <v>2.5</v>
      </c>
      <c r="J67">
        <v>1163.79</v>
      </c>
      <c r="K67">
        <v>1.9580666999707901</v>
      </c>
      <c r="L67">
        <v>1142.5</v>
      </c>
      <c r="M67" t="s">
        <v>27</v>
      </c>
      <c r="N67">
        <v>1</v>
      </c>
      <c r="O67">
        <v>1281</v>
      </c>
      <c r="P67">
        <v>1108</v>
      </c>
      <c r="Q67">
        <v>0</v>
      </c>
      <c r="R67">
        <v>1108</v>
      </c>
    </row>
    <row r="68" spans="1:18" x14ac:dyDescent="0.3">
      <c r="A68" s="5">
        <v>45954</v>
      </c>
      <c r="B68" t="s">
        <v>143</v>
      </c>
      <c r="C68">
        <v>10</v>
      </c>
      <c r="D68">
        <v>35</v>
      </c>
      <c r="E68" s="1">
        <v>1.9652777777777777</v>
      </c>
      <c r="F68" t="s">
        <v>144</v>
      </c>
      <c r="G68">
        <v>4</v>
      </c>
      <c r="H68">
        <v>1080.8056999999999</v>
      </c>
      <c r="I68">
        <v>7</v>
      </c>
      <c r="J68">
        <v>1163.79</v>
      </c>
      <c r="K68">
        <v>5.4825867599182097</v>
      </c>
      <c r="L68">
        <v>1097.8399999999999</v>
      </c>
      <c r="M68" t="s">
        <v>27</v>
      </c>
      <c r="N68">
        <v>1</v>
      </c>
      <c r="O68">
        <v>1329</v>
      </c>
      <c r="P68">
        <v>1156</v>
      </c>
      <c r="Q68">
        <v>0</v>
      </c>
      <c r="R68">
        <v>1156</v>
      </c>
    </row>
    <row r="69" spans="1:18" x14ac:dyDescent="0.3">
      <c r="A69" s="5">
        <v>45954</v>
      </c>
      <c r="B69" t="s">
        <v>145</v>
      </c>
      <c r="C69">
        <v>36</v>
      </c>
      <c r="D69">
        <v>36</v>
      </c>
      <c r="E69" s="1">
        <v>1.9993055555555554</v>
      </c>
      <c r="F69" t="s">
        <v>146</v>
      </c>
      <c r="G69">
        <v>5</v>
      </c>
      <c r="H69">
        <v>1080.5894000000001</v>
      </c>
      <c r="I69">
        <v>0</v>
      </c>
      <c r="J69">
        <v>1163.79</v>
      </c>
      <c r="K69">
        <v>0</v>
      </c>
      <c r="L69">
        <v>975.86</v>
      </c>
      <c r="M69" t="s">
        <v>44</v>
      </c>
      <c r="N69">
        <v>1</v>
      </c>
      <c r="O69">
        <v>1253</v>
      </c>
      <c r="P69">
        <v>1081</v>
      </c>
      <c r="Q69">
        <v>0</v>
      </c>
      <c r="R69">
        <v>1081</v>
      </c>
    </row>
    <row r="70" spans="1:18" x14ac:dyDescent="0.3">
      <c r="A70" s="5">
        <v>45954</v>
      </c>
      <c r="B70" t="s">
        <v>147</v>
      </c>
      <c r="C70">
        <v>4</v>
      </c>
      <c r="D70">
        <v>36</v>
      </c>
      <c r="E70" s="1">
        <v>1.9791666666666665</v>
      </c>
      <c r="F70" t="s">
        <v>148</v>
      </c>
      <c r="G70">
        <v>5</v>
      </c>
      <c r="H70">
        <v>1081.1641999999999</v>
      </c>
      <c r="I70">
        <v>0</v>
      </c>
      <c r="J70">
        <v>1163.79</v>
      </c>
      <c r="K70">
        <v>0</v>
      </c>
      <c r="L70">
        <v>1158.79</v>
      </c>
      <c r="M70" t="s">
        <v>27</v>
      </c>
      <c r="N70">
        <v>1</v>
      </c>
      <c r="O70">
        <v>1254</v>
      </c>
      <c r="P70">
        <v>1081</v>
      </c>
      <c r="Q70">
        <v>0</v>
      </c>
      <c r="R70">
        <v>1081</v>
      </c>
    </row>
    <row r="71" spans="1:18" x14ac:dyDescent="0.3">
      <c r="A71" s="5">
        <v>45954</v>
      </c>
      <c r="B71" t="s">
        <v>149</v>
      </c>
      <c r="C71">
        <v>5</v>
      </c>
      <c r="D71">
        <v>36</v>
      </c>
      <c r="E71" s="1">
        <v>1.9652777777777777</v>
      </c>
      <c r="F71" t="s">
        <v>150</v>
      </c>
      <c r="G71">
        <v>4</v>
      </c>
      <c r="H71">
        <v>1081.2787000000001</v>
      </c>
      <c r="I71">
        <v>7</v>
      </c>
      <c r="J71">
        <v>1163.79</v>
      </c>
      <c r="K71">
        <v>5.4825867599182097</v>
      </c>
      <c r="L71">
        <v>1158.79</v>
      </c>
      <c r="M71" t="s">
        <v>27</v>
      </c>
      <c r="N71">
        <v>1</v>
      </c>
      <c r="O71">
        <v>1330</v>
      </c>
      <c r="P71">
        <v>1157</v>
      </c>
      <c r="Q71">
        <v>0</v>
      </c>
      <c r="R71">
        <v>1157</v>
      </c>
    </row>
    <row r="72" spans="1:18" x14ac:dyDescent="0.3">
      <c r="A72" s="5">
        <v>45954</v>
      </c>
      <c r="B72" t="s">
        <v>151</v>
      </c>
      <c r="C72">
        <v>23</v>
      </c>
      <c r="D72">
        <v>36</v>
      </c>
      <c r="E72" s="1">
        <v>1.0833333333333333</v>
      </c>
      <c r="F72" t="s">
        <v>152</v>
      </c>
      <c r="G72">
        <v>4</v>
      </c>
      <c r="H72">
        <v>1081.1926000000001</v>
      </c>
      <c r="I72">
        <v>7</v>
      </c>
      <c r="J72">
        <v>1163.79</v>
      </c>
      <c r="K72">
        <v>5.4825867599182097</v>
      </c>
      <c r="L72">
        <v>1219.83</v>
      </c>
      <c r="M72" t="s">
        <v>27</v>
      </c>
      <c r="N72">
        <v>1</v>
      </c>
      <c r="O72">
        <v>1330</v>
      </c>
      <c r="P72">
        <v>1157</v>
      </c>
      <c r="Q72">
        <v>0</v>
      </c>
      <c r="R72">
        <v>1157</v>
      </c>
    </row>
    <row r="73" spans="1:18" x14ac:dyDescent="0.3">
      <c r="A73" s="5">
        <v>45954</v>
      </c>
      <c r="B73" t="s">
        <v>153</v>
      </c>
      <c r="C73">
        <v>23</v>
      </c>
      <c r="D73">
        <v>36</v>
      </c>
      <c r="E73" s="1">
        <v>1.9652777777777777</v>
      </c>
      <c r="F73" t="s">
        <v>154</v>
      </c>
      <c r="G73">
        <v>5</v>
      </c>
      <c r="H73">
        <v>1080.8225</v>
      </c>
      <c r="I73">
        <v>0</v>
      </c>
      <c r="J73">
        <v>1163.79</v>
      </c>
      <c r="K73">
        <v>0</v>
      </c>
      <c r="L73">
        <v>1158.79</v>
      </c>
      <c r="M73" t="s">
        <v>27</v>
      </c>
      <c r="N73">
        <v>1</v>
      </c>
      <c r="O73">
        <v>1254</v>
      </c>
      <c r="P73">
        <v>1081</v>
      </c>
      <c r="Q73">
        <v>0</v>
      </c>
      <c r="R73">
        <v>1081</v>
      </c>
    </row>
    <row r="74" spans="1:18" x14ac:dyDescent="0.3">
      <c r="A74" s="5">
        <v>45954</v>
      </c>
      <c r="B74" t="s">
        <v>155</v>
      </c>
      <c r="C74">
        <v>22</v>
      </c>
      <c r="D74">
        <v>36</v>
      </c>
      <c r="E74" s="1">
        <v>1.9652777777777777</v>
      </c>
      <c r="F74" t="s">
        <v>154</v>
      </c>
      <c r="G74">
        <v>5</v>
      </c>
      <c r="H74">
        <v>1080.8405</v>
      </c>
      <c r="I74">
        <v>0</v>
      </c>
      <c r="J74">
        <v>1163.79</v>
      </c>
      <c r="K74">
        <v>0</v>
      </c>
      <c r="L74">
        <v>1158.79</v>
      </c>
      <c r="M74" t="s">
        <v>27</v>
      </c>
      <c r="N74">
        <v>1</v>
      </c>
      <c r="O74">
        <v>1254</v>
      </c>
      <c r="P74">
        <v>1081</v>
      </c>
      <c r="Q74">
        <v>0</v>
      </c>
      <c r="R74">
        <v>1081</v>
      </c>
    </row>
    <row r="75" spans="1:18" x14ac:dyDescent="0.3">
      <c r="A75" s="5">
        <v>45954</v>
      </c>
      <c r="B75" t="s">
        <v>156</v>
      </c>
      <c r="C75">
        <v>7</v>
      </c>
      <c r="D75">
        <v>36</v>
      </c>
      <c r="E75" s="1">
        <v>1.9993055555555554</v>
      </c>
      <c r="F75" t="s">
        <v>157</v>
      </c>
      <c r="G75">
        <v>4</v>
      </c>
      <c r="H75">
        <v>1081.2418</v>
      </c>
      <c r="I75">
        <v>7</v>
      </c>
      <c r="J75">
        <v>1163.79</v>
      </c>
      <c r="K75">
        <v>5.4825867599182097</v>
      </c>
      <c r="L75">
        <v>1158.79</v>
      </c>
      <c r="M75" t="s">
        <v>27</v>
      </c>
      <c r="N75">
        <v>1</v>
      </c>
      <c r="O75">
        <v>1330</v>
      </c>
      <c r="P75">
        <v>1157</v>
      </c>
      <c r="Q75">
        <v>0</v>
      </c>
      <c r="R75">
        <v>1157</v>
      </c>
    </row>
    <row r="76" spans="1:18" x14ac:dyDescent="0.3">
      <c r="A76" s="5">
        <v>45954</v>
      </c>
      <c r="B76" t="s">
        <v>158</v>
      </c>
      <c r="C76">
        <v>1</v>
      </c>
      <c r="D76">
        <v>36</v>
      </c>
      <c r="E76" s="1">
        <v>1.9993055555555554</v>
      </c>
      <c r="F76" t="s">
        <v>159</v>
      </c>
      <c r="G76">
        <v>5</v>
      </c>
      <c r="H76">
        <v>1081.3497</v>
      </c>
      <c r="I76">
        <v>0</v>
      </c>
      <c r="J76">
        <v>1163.79</v>
      </c>
      <c r="K76">
        <v>0</v>
      </c>
      <c r="L76">
        <v>1158.79</v>
      </c>
      <c r="M76" t="s">
        <v>27</v>
      </c>
      <c r="N76">
        <v>1</v>
      </c>
      <c r="O76">
        <v>1254</v>
      </c>
      <c r="P76">
        <v>1081</v>
      </c>
      <c r="Q76">
        <v>0</v>
      </c>
      <c r="R76">
        <v>1081</v>
      </c>
    </row>
    <row r="77" spans="1:18" x14ac:dyDescent="0.3">
      <c r="A77" s="5">
        <v>45954</v>
      </c>
      <c r="B77" t="s">
        <v>160</v>
      </c>
      <c r="C77">
        <v>22</v>
      </c>
      <c r="D77">
        <v>36</v>
      </c>
      <c r="E77" s="1">
        <v>1.9993055555555554</v>
      </c>
      <c r="F77" t="s">
        <v>161</v>
      </c>
      <c r="G77">
        <v>1</v>
      </c>
      <c r="H77">
        <v>1080.9304</v>
      </c>
      <c r="I77">
        <v>8.5</v>
      </c>
      <c r="J77">
        <v>1163.79</v>
      </c>
      <c r="K77">
        <v>6.6574267799006801</v>
      </c>
      <c r="L77">
        <v>1082.33</v>
      </c>
      <c r="M77" t="s">
        <v>27</v>
      </c>
      <c r="N77">
        <v>1</v>
      </c>
      <c r="O77">
        <v>1346</v>
      </c>
      <c r="P77">
        <v>1173</v>
      </c>
      <c r="Q77">
        <v>0</v>
      </c>
      <c r="R77">
        <v>1173</v>
      </c>
    </row>
    <row r="78" spans="1:18" x14ac:dyDescent="0.3">
      <c r="A78" s="5">
        <v>45954</v>
      </c>
      <c r="B78" t="s">
        <v>162</v>
      </c>
      <c r="C78">
        <v>23</v>
      </c>
      <c r="D78">
        <v>36</v>
      </c>
      <c r="E78" s="1">
        <v>1.9993055555555554</v>
      </c>
      <c r="F78" t="s">
        <v>163</v>
      </c>
      <c r="G78">
        <v>4</v>
      </c>
      <c r="H78">
        <v>1080.9123999999999</v>
      </c>
      <c r="I78">
        <v>7</v>
      </c>
      <c r="J78">
        <v>1163.79</v>
      </c>
      <c r="K78">
        <v>5.4825867599182097</v>
      </c>
      <c r="L78">
        <v>1082.33</v>
      </c>
      <c r="M78" t="s">
        <v>27</v>
      </c>
      <c r="N78">
        <v>1</v>
      </c>
      <c r="O78">
        <v>1330</v>
      </c>
      <c r="P78">
        <v>1157</v>
      </c>
      <c r="Q78">
        <v>0</v>
      </c>
      <c r="R78">
        <v>1157</v>
      </c>
    </row>
    <row r="79" spans="1:18" x14ac:dyDescent="0.3">
      <c r="A79" s="5">
        <v>45954</v>
      </c>
      <c r="B79" t="s">
        <v>164</v>
      </c>
      <c r="C79">
        <v>24</v>
      </c>
      <c r="D79">
        <v>36</v>
      </c>
      <c r="E79" s="1">
        <v>1.9993055555555554</v>
      </c>
      <c r="F79" t="s">
        <v>165</v>
      </c>
      <c r="G79">
        <v>4</v>
      </c>
      <c r="H79">
        <v>1080.8677</v>
      </c>
      <c r="I79">
        <v>7</v>
      </c>
      <c r="J79">
        <v>1163.79</v>
      </c>
      <c r="K79">
        <v>5.4825867599182097</v>
      </c>
      <c r="L79">
        <v>1082.33</v>
      </c>
      <c r="M79" t="s">
        <v>27</v>
      </c>
      <c r="N79">
        <v>1</v>
      </c>
      <c r="O79">
        <v>1329</v>
      </c>
      <c r="P79">
        <v>1157</v>
      </c>
      <c r="Q79">
        <v>0</v>
      </c>
      <c r="R79">
        <v>1157</v>
      </c>
    </row>
    <row r="80" spans="1:18" x14ac:dyDescent="0.3">
      <c r="A80" s="5">
        <v>45954</v>
      </c>
      <c r="B80" t="s">
        <v>166</v>
      </c>
      <c r="C80">
        <v>25</v>
      </c>
      <c r="D80">
        <v>36</v>
      </c>
      <c r="E80" s="1">
        <v>1.9993055555555554</v>
      </c>
      <c r="F80" t="s">
        <v>167</v>
      </c>
      <c r="G80">
        <v>4</v>
      </c>
      <c r="H80">
        <v>1080.8227999999999</v>
      </c>
      <c r="I80">
        <v>7</v>
      </c>
      <c r="J80">
        <v>1163.79</v>
      </c>
      <c r="K80">
        <v>5.4825867599182097</v>
      </c>
      <c r="L80">
        <v>1082.33</v>
      </c>
      <c r="M80" t="s">
        <v>27</v>
      </c>
      <c r="N80">
        <v>1</v>
      </c>
      <c r="O80">
        <v>1329</v>
      </c>
      <c r="P80">
        <v>1156</v>
      </c>
      <c r="Q80">
        <v>0</v>
      </c>
      <c r="R80">
        <v>1156</v>
      </c>
    </row>
    <row r="81" spans="1:18" x14ac:dyDescent="0.3">
      <c r="A81" s="5">
        <v>45954</v>
      </c>
      <c r="B81" t="s">
        <v>168</v>
      </c>
      <c r="C81">
        <v>26</v>
      </c>
      <c r="D81">
        <v>36</v>
      </c>
      <c r="E81" s="1">
        <v>1.9993055555555554</v>
      </c>
      <c r="F81" t="s">
        <v>169</v>
      </c>
      <c r="G81">
        <v>4</v>
      </c>
      <c r="H81">
        <v>1080.7781</v>
      </c>
      <c r="I81">
        <v>7</v>
      </c>
      <c r="J81">
        <v>1163.79</v>
      </c>
      <c r="K81">
        <v>5.4825867599182097</v>
      </c>
      <c r="L81">
        <v>1082.33</v>
      </c>
      <c r="M81" t="s">
        <v>27</v>
      </c>
      <c r="N81">
        <v>1</v>
      </c>
      <c r="O81">
        <v>1329</v>
      </c>
      <c r="P81">
        <v>1156</v>
      </c>
      <c r="Q81">
        <v>0</v>
      </c>
      <c r="R81">
        <v>1156</v>
      </c>
    </row>
    <row r="82" spans="1:18" x14ac:dyDescent="0.3">
      <c r="A82" s="5">
        <v>45954</v>
      </c>
      <c r="B82" t="s">
        <v>170</v>
      </c>
      <c r="C82">
        <v>27</v>
      </c>
      <c r="D82">
        <v>36</v>
      </c>
      <c r="E82" s="1">
        <v>1.9993055555555554</v>
      </c>
      <c r="F82" t="s">
        <v>171</v>
      </c>
      <c r="G82">
        <v>4</v>
      </c>
      <c r="H82">
        <v>1080.7331999999999</v>
      </c>
      <c r="I82">
        <v>7</v>
      </c>
      <c r="J82">
        <v>1163.79</v>
      </c>
      <c r="K82">
        <v>5.4825867599182097</v>
      </c>
      <c r="L82">
        <v>1082.33</v>
      </c>
      <c r="M82" t="s">
        <v>27</v>
      </c>
      <c r="N82">
        <v>1</v>
      </c>
      <c r="O82">
        <v>1329</v>
      </c>
      <c r="P82">
        <v>1156</v>
      </c>
      <c r="Q82">
        <v>0</v>
      </c>
      <c r="R82">
        <v>1156</v>
      </c>
    </row>
    <row r="83" spans="1:18" x14ac:dyDescent="0.3">
      <c r="A83" s="5">
        <v>45954</v>
      </c>
      <c r="B83" t="s">
        <v>172</v>
      </c>
      <c r="C83">
        <v>28</v>
      </c>
      <c r="D83">
        <v>36</v>
      </c>
      <c r="E83" s="1">
        <v>1.9993055555555554</v>
      </c>
      <c r="F83" t="s">
        <v>173</v>
      </c>
      <c r="G83">
        <v>4</v>
      </c>
      <c r="H83">
        <v>1080.6885</v>
      </c>
      <c r="I83">
        <v>7</v>
      </c>
      <c r="J83">
        <v>1163.79</v>
      </c>
      <c r="K83">
        <v>5.4825867599182097</v>
      </c>
      <c r="L83">
        <v>1082.33</v>
      </c>
      <c r="M83" t="s">
        <v>27</v>
      </c>
      <c r="N83">
        <v>1</v>
      </c>
      <c r="O83">
        <v>1329</v>
      </c>
      <c r="P83">
        <v>1156</v>
      </c>
      <c r="Q83">
        <v>0</v>
      </c>
      <c r="R83">
        <v>1156</v>
      </c>
    </row>
    <row r="84" spans="1:18" x14ac:dyDescent="0.3">
      <c r="A84" s="5">
        <v>45954</v>
      </c>
      <c r="B84" t="s">
        <v>174</v>
      </c>
      <c r="C84">
        <v>29</v>
      </c>
      <c r="D84">
        <v>36</v>
      </c>
      <c r="E84" s="1">
        <v>1.9993055555555554</v>
      </c>
      <c r="F84" t="s">
        <v>175</v>
      </c>
      <c r="G84">
        <v>4</v>
      </c>
      <c r="H84">
        <v>1080.6437000000001</v>
      </c>
      <c r="I84">
        <v>7</v>
      </c>
      <c r="J84">
        <v>1163.79</v>
      </c>
      <c r="K84">
        <v>5.4825867599182097</v>
      </c>
      <c r="L84">
        <v>1082.33</v>
      </c>
      <c r="M84" t="s">
        <v>27</v>
      </c>
      <c r="N84">
        <v>1</v>
      </c>
      <c r="O84">
        <v>1329</v>
      </c>
      <c r="P84">
        <v>1156</v>
      </c>
      <c r="Q84">
        <v>0</v>
      </c>
      <c r="R84">
        <v>1156</v>
      </c>
    </row>
    <row r="85" spans="1:18" x14ac:dyDescent="0.3">
      <c r="A85" s="5">
        <v>45954</v>
      </c>
      <c r="B85" t="s">
        <v>176</v>
      </c>
      <c r="C85">
        <v>17</v>
      </c>
      <c r="D85">
        <v>36</v>
      </c>
      <c r="E85" s="1">
        <v>1.25</v>
      </c>
      <c r="F85" t="s">
        <v>177</v>
      </c>
      <c r="G85">
        <v>0</v>
      </c>
      <c r="H85">
        <v>1081.2253000000001</v>
      </c>
      <c r="I85">
        <v>2.5</v>
      </c>
      <c r="J85">
        <v>1163.79</v>
      </c>
      <c r="K85">
        <v>1.9580666999707901</v>
      </c>
      <c r="L85">
        <v>1142.5</v>
      </c>
      <c r="M85" t="s">
        <v>27</v>
      </c>
      <c r="N85">
        <v>1</v>
      </c>
      <c r="O85">
        <v>1281</v>
      </c>
      <c r="P85">
        <v>1108</v>
      </c>
      <c r="Q85">
        <v>0</v>
      </c>
      <c r="R85">
        <v>1108</v>
      </c>
    </row>
    <row r="86" spans="1:18" x14ac:dyDescent="0.3">
      <c r="A86" s="5">
        <v>45954</v>
      </c>
      <c r="B86" t="s">
        <v>178</v>
      </c>
      <c r="C86">
        <v>7</v>
      </c>
      <c r="D86">
        <v>36</v>
      </c>
      <c r="E86" s="1">
        <v>1.9652777777777777</v>
      </c>
      <c r="F86" t="s">
        <v>179</v>
      </c>
      <c r="G86">
        <v>5</v>
      </c>
      <c r="H86">
        <v>1081.2411999999999</v>
      </c>
      <c r="I86">
        <v>0</v>
      </c>
      <c r="J86">
        <v>1163.79</v>
      </c>
      <c r="K86">
        <v>0</v>
      </c>
      <c r="L86">
        <v>1158.79</v>
      </c>
      <c r="M86" t="s">
        <v>27</v>
      </c>
      <c r="N86">
        <v>1</v>
      </c>
      <c r="O86">
        <v>1254</v>
      </c>
      <c r="P86">
        <v>1081</v>
      </c>
      <c r="Q86">
        <v>0</v>
      </c>
      <c r="R86">
        <v>1081</v>
      </c>
    </row>
    <row r="87" spans="1:18" x14ac:dyDescent="0.3">
      <c r="A87" s="5">
        <v>45954</v>
      </c>
      <c r="B87" t="s">
        <v>180</v>
      </c>
      <c r="C87">
        <v>21</v>
      </c>
      <c r="D87">
        <v>36</v>
      </c>
      <c r="E87" s="1">
        <v>1.9993055555555554</v>
      </c>
      <c r="F87" t="s">
        <v>181</v>
      </c>
      <c r="G87">
        <v>5</v>
      </c>
      <c r="H87">
        <v>1080.9893999999999</v>
      </c>
      <c r="I87">
        <v>0</v>
      </c>
      <c r="J87">
        <v>1163.79</v>
      </c>
      <c r="K87">
        <v>0</v>
      </c>
      <c r="L87">
        <v>1158.79</v>
      </c>
      <c r="M87" t="s">
        <v>27</v>
      </c>
      <c r="N87">
        <v>1</v>
      </c>
      <c r="O87">
        <v>1254</v>
      </c>
      <c r="P87">
        <v>1081</v>
      </c>
      <c r="Q87">
        <v>0</v>
      </c>
      <c r="R87">
        <v>1081</v>
      </c>
    </row>
    <row r="88" spans="1:18" x14ac:dyDescent="0.3">
      <c r="A88" s="5">
        <v>45954</v>
      </c>
      <c r="B88" t="s">
        <v>182</v>
      </c>
      <c r="C88">
        <v>6</v>
      </c>
      <c r="D88">
        <v>36</v>
      </c>
      <c r="E88" s="1">
        <v>1.25</v>
      </c>
      <c r="F88" t="s">
        <v>183</v>
      </c>
      <c r="G88">
        <v>0</v>
      </c>
      <c r="H88">
        <v>1081.4223999999999</v>
      </c>
      <c r="I88">
        <v>2.5</v>
      </c>
      <c r="J88">
        <v>1163.79</v>
      </c>
      <c r="K88">
        <v>1.9580666999707901</v>
      </c>
      <c r="L88">
        <v>1142.5</v>
      </c>
      <c r="M88" t="s">
        <v>27</v>
      </c>
      <c r="N88">
        <v>1</v>
      </c>
      <c r="O88">
        <v>1281</v>
      </c>
      <c r="P88">
        <v>1108</v>
      </c>
      <c r="Q88">
        <v>0</v>
      </c>
      <c r="R88">
        <v>1108</v>
      </c>
    </row>
    <row r="89" spans="1:18" x14ac:dyDescent="0.3">
      <c r="A89" s="5">
        <v>45954</v>
      </c>
      <c r="B89" t="s">
        <v>182</v>
      </c>
      <c r="C89">
        <v>6</v>
      </c>
      <c r="D89">
        <v>36</v>
      </c>
      <c r="E89" s="1">
        <v>1.25</v>
      </c>
      <c r="F89" t="s">
        <v>184</v>
      </c>
      <c r="G89">
        <v>0</v>
      </c>
      <c r="H89">
        <v>1081.4223999999999</v>
      </c>
      <c r="I89">
        <v>2.5</v>
      </c>
      <c r="J89">
        <v>1163.79</v>
      </c>
      <c r="K89">
        <v>1.9580666999707901</v>
      </c>
      <c r="L89">
        <v>1142.5</v>
      </c>
      <c r="M89" t="s">
        <v>27</v>
      </c>
      <c r="N89">
        <v>1</v>
      </c>
      <c r="O89">
        <v>1281</v>
      </c>
      <c r="P89">
        <v>1108</v>
      </c>
      <c r="Q89">
        <v>0</v>
      </c>
      <c r="R89">
        <v>1108</v>
      </c>
    </row>
    <row r="90" spans="1:18" x14ac:dyDescent="0.3">
      <c r="A90" s="5">
        <v>45954</v>
      </c>
      <c r="B90" t="s">
        <v>182</v>
      </c>
      <c r="C90">
        <v>6</v>
      </c>
      <c r="D90">
        <v>36</v>
      </c>
      <c r="E90" s="1">
        <v>1.25</v>
      </c>
      <c r="F90" t="s">
        <v>183</v>
      </c>
      <c r="G90">
        <v>0</v>
      </c>
      <c r="H90">
        <v>1081.4223999999999</v>
      </c>
      <c r="I90">
        <v>2.5</v>
      </c>
      <c r="J90">
        <v>1163.79</v>
      </c>
      <c r="K90">
        <v>1.9580666999707901</v>
      </c>
      <c r="L90">
        <v>1142.5</v>
      </c>
      <c r="M90" t="s">
        <v>27</v>
      </c>
      <c r="N90">
        <v>1</v>
      </c>
      <c r="O90">
        <v>1281</v>
      </c>
      <c r="P90">
        <v>1108</v>
      </c>
      <c r="Q90">
        <v>0</v>
      </c>
      <c r="R90">
        <v>1108</v>
      </c>
    </row>
    <row r="91" spans="1:18" x14ac:dyDescent="0.3">
      <c r="A91" s="5">
        <v>45954</v>
      </c>
      <c r="B91" t="s">
        <v>182</v>
      </c>
      <c r="C91">
        <v>6</v>
      </c>
      <c r="D91">
        <v>36</v>
      </c>
      <c r="E91" s="1">
        <v>1.25</v>
      </c>
      <c r="F91" t="s">
        <v>183</v>
      </c>
      <c r="G91">
        <v>0</v>
      </c>
      <c r="H91">
        <v>1081.4223999999999</v>
      </c>
      <c r="I91">
        <v>2.5</v>
      </c>
      <c r="J91">
        <v>1163.79</v>
      </c>
      <c r="K91">
        <v>1.9580666999707901</v>
      </c>
      <c r="L91">
        <v>1142.5</v>
      </c>
      <c r="M91" t="s">
        <v>27</v>
      </c>
      <c r="N91">
        <v>1</v>
      </c>
      <c r="O91">
        <v>1281</v>
      </c>
      <c r="P91">
        <v>1108</v>
      </c>
      <c r="Q91">
        <v>0</v>
      </c>
      <c r="R91">
        <v>1108</v>
      </c>
    </row>
    <row r="92" spans="1:18" x14ac:dyDescent="0.3">
      <c r="A92" s="5">
        <v>45954</v>
      </c>
      <c r="B92" t="s">
        <v>185</v>
      </c>
      <c r="C92">
        <v>5</v>
      </c>
      <c r="D92">
        <v>36</v>
      </c>
      <c r="E92" s="1">
        <v>1.25</v>
      </c>
      <c r="F92" t="s">
        <v>183</v>
      </c>
      <c r="G92">
        <v>0</v>
      </c>
      <c r="H92">
        <v>1081.4402</v>
      </c>
      <c r="I92">
        <v>2.5</v>
      </c>
      <c r="J92">
        <v>1163.79</v>
      </c>
      <c r="K92">
        <v>1.9580666999707901</v>
      </c>
      <c r="L92">
        <v>1142.5</v>
      </c>
      <c r="M92" t="s">
        <v>27</v>
      </c>
      <c r="N92">
        <v>1</v>
      </c>
      <c r="O92">
        <v>1282</v>
      </c>
      <c r="P92">
        <v>1108</v>
      </c>
      <c r="Q92">
        <v>0</v>
      </c>
      <c r="R92">
        <v>1108</v>
      </c>
    </row>
    <row r="93" spans="1:18" x14ac:dyDescent="0.3">
      <c r="A93" s="5">
        <v>45954</v>
      </c>
      <c r="B93" t="s">
        <v>185</v>
      </c>
      <c r="C93">
        <v>5</v>
      </c>
      <c r="D93">
        <v>36</v>
      </c>
      <c r="E93" s="1">
        <v>1.25</v>
      </c>
      <c r="F93" t="s">
        <v>184</v>
      </c>
      <c r="G93">
        <v>0</v>
      </c>
      <c r="H93">
        <v>1081.4402</v>
      </c>
      <c r="I93">
        <v>2.5</v>
      </c>
      <c r="J93">
        <v>1163.79</v>
      </c>
      <c r="K93">
        <v>1.9580666999707901</v>
      </c>
      <c r="L93">
        <v>1142.5</v>
      </c>
      <c r="M93" t="s">
        <v>27</v>
      </c>
      <c r="N93">
        <v>1</v>
      </c>
      <c r="O93">
        <v>1282</v>
      </c>
      <c r="P93">
        <v>1108</v>
      </c>
      <c r="Q93">
        <v>0</v>
      </c>
      <c r="R93">
        <v>1108</v>
      </c>
    </row>
    <row r="94" spans="1:18" x14ac:dyDescent="0.3">
      <c r="A94" s="5">
        <v>45954</v>
      </c>
      <c r="B94" t="s">
        <v>185</v>
      </c>
      <c r="C94">
        <v>5</v>
      </c>
      <c r="D94">
        <v>36</v>
      </c>
      <c r="E94" s="1">
        <v>1.25</v>
      </c>
      <c r="F94" t="s">
        <v>183</v>
      </c>
      <c r="G94">
        <v>0</v>
      </c>
      <c r="H94">
        <v>1081.4402</v>
      </c>
      <c r="I94">
        <v>2.5</v>
      </c>
      <c r="J94">
        <v>1163.79</v>
      </c>
      <c r="K94">
        <v>1.9580666999707901</v>
      </c>
      <c r="L94">
        <v>1142.5</v>
      </c>
      <c r="M94" t="s">
        <v>27</v>
      </c>
      <c r="N94">
        <v>1</v>
      </c>
      <c r="O94">
        <v>1282</v>
      </c>
      <c r="P94">
        <v>1108</v>
      </c>
      <c r="Q94">
        <v>0</v>
      </c>
      <c r="R94">
        <v>1108</v>
      </c>
    </row>
    <row r="95" spans="1:18" x14ac:dyDescent="0.3">
      <c r="A95" s="5">
        <v>45954</v>
      </c>
      <c r="B95" t="s">
        <v>185</v>
      </c>
      <c r="C95">
        <v>5</v>
      </c>
      <c r="D95">
        <v>36</v>
      </c>
      <c r="E95" s="1">
        <v>1.25</v>
      </c>
      <c r="F95" t="s">
        <v>183</v>
      </c>
      <c r="G95">
        <v>0</v>
      </c>
      <c r="H95">
        <v>1081.4402</v>
      </c>
      <c r="I95">
        <v>2.5</v>
      </c>
      <c r="J95">
        <v>1163.79</v>
      </c>
      <c r="K95">
        <v>1.9580666999707901</v>
      </c>
      <c r="L95">
        <v>1142.5</v>
      </c>
      <c r="M95" t="s">
        <v>27</v>
      </c>
      <c r="N95">
        <v>1</v>
      </c>
      <c r="O95">
        <v>1282</v>
      </c>
      <c r="P95">
        <v>1108</v>
      </c>
      <c r="Q95">
        <v>0</v>
      </c>
      <c r="R95">
        <v>1108</v>
      </c>
    </row>
    <row r="96" spans="1:18" x14ac:dyDescent="0.3">
      <c r="A96" s="5">
        <v>45954</v>
      </c>
      <c r="B96" t="s">
        <v>186</v>
      </c>
      <c r="C96">
        <v>3</v>
      </c>
      <c r="D96">
        <v>36</v>
      </c>
      <c r="E96" s="1">
        <v>1.25</v>
      </c>
      <c r="F96" t="s">
        <v>183</v>
      </c>
      <c r="G96">
        <v>0</v>
      </c>
      <c r="H96">
        <v>1081.4764</v>
      </c>
      <c r="I96">
        <v>2.5</v>
      </c>
      <c r="J96">
        <v>1163.79</v>
      </c>
      <c r="K96">
        <v>1.9580666999707901</v>
      </c>
      <c r="L96">
        <v>1142.5</v>
      </c>
      <c r="M96" t="s">
        <v>27</v>
      </c>
      <c r="N96">
        <v>1</v>
      </c>
      <c r="O96">
        <v>1282</v>
      </c>
      <c r="P96">
        <v>1109</v>
      </c>
      <c r="Q96">
        <v>0</v>
      </c>
      <c r="R96">
        <v>1109</v>
      </c>
    </row>
    <row r="97" spans="1:18" x14ac:dyDescent="0.3">
      <c r="A97" s="5">
        <v>45954</v>
      </c>
      <c r="B97" t="s">
        <v>186</v>
      </c>
      <c r="C97">
        <v>3</v>
      </c>
      <c r="D97">
        <v>36</v>
      </c>
      <c r="E97" s="1">
        <v>1.25</v>
      </c>
      <c r="F97" t="s">
        <v>184</v>
      </c>
      <c r="G97">
        <v>0</v>
      </c>
      <c r="H97">
        <v>1081.4764</v>
      </c>
      <c r="I97">
        <v>2.5</v>
      </c>
      <c r="J97">
        <v>1163.79</v>
      </c>
      <c r="K97">
        <v>1.9580666999707901</v>
      </c>
      <c r="L97">
        <v>1142.5</v>
      </c>
      <c r="M97" t="s">
        <v>27</v>
      </c>
      <c r="N97">
        <v>1</v>
      </c>
      <c r="O97">
        <v>1282</v>
      </c>
      <c r="P97">
        <v>1109</v>
      </c>
      <c r="Q97">
        <v>0</v>
      </c>
      <c r="R97">
        <v>1109</v>
      </c>
    </row>
    <row r="98" spans="1:18" x14ac:dyDescent="0.3">
      <c r="A98" s="5">
        <v>45954</v>
      </c>
      <c r="B98" t="s">
        <v>186</v>
      </c>
      <c r="C98">
        <v>3</v>
      </c>
      <c r="D98">
        <v>36</v>
      </c>
      <c r="E98" s="1">
        <v>1.25</v>
      </c>
      <c r="F98" t="s">
        <v>183</v>
      </c>
      <c r="G98">
        <v>0</v>
      </c>
      <c r="H98">
        <v>1081.4764</v>
      </c>
      <c r="I98">
        <v>2.5</v>
      </c>
      <c r="J98">
        <v>1163.79</v>
      </c>
      <c r="K98">
        <v>1.9580666999707901</v>
      </c>
      <c r="L98">
        <v>1142.5</v>
      </c>
      <c r="M98" t="s">
        <v>27</v>
      </c>
      <c r="N98">
        <v>1</v>
      </c>
      <c r="O98">
        <v>1282</v>
      </c>
      <c r="P98">
        <v>1109</v>
      </c>
      <c r="Q98">
        <v>0</v>
      </c>
      <c r="R98">
        <v>1109</v>
      </c>
    </row>
    <row r="99" spans="1:18" x14ac:dyDescent="0.3">
      <c r="A99" s="5">
        <v>45954</v>
      </c>
      <c r="B99" t="s">
        <v>186</v>
      </c>
      <c r="C99">
        <v>3</v>
      </c>
      <c r="D99">
        <v>36</v>
      </c>
      <c r="E99" s="1">
        <v>1.25</v>
      </c>
      <c r="F99" t="s">
        <v>183</v>
      </c>
      <c r="G99">
        <v>0</v>
      </c>
      <c r="H99">
        <v>1081.4764</v>
      </c>
      <c r="I99">
        <v>2.5</v>
      </c>
      <c r="J99">
        <v>1163.79</v>
      </c>
      <c r="K99">
        <v>1.9580666999707901</v>
      </c>
      <c r="L99">
        <v>1142.5</v>
      </c>
      <c r="M99" t="s">
        <v>27</v>
      </c>
      <c r="N99">
        <v>1</v>
      </c>
      <c r="O99">
        <v>1282</v>
      </c>
      <c r="P99">
        <v>1109</v>
      </c>
      <c r="Q99">
        <v>0</v>
      </c>
      <c r="R99">
        <v>1109</v>
      </c>
    </row>
    <row r="100" spans="1:18" x14ac:dyDescent="0.3">
      <c r="A100" s="5">
        <v>45954</v>
      </c>
      <c r="B100" t="s">
        <v>187</v>
      </c>
      <c r="C100">
        <v>2</v>
      </c>
      <c r="D100">
        <v>36</v>
      </c>
      <c r="E100" s="1">
        <v>1.25</v>
      </c>
      <c r="F100" t="s">
        <v>183</v>
      </c>
      <c r="G100">
        <v>0</v>
      </c>
      <c r="H100">
        <v>1081.4943000000001</v>
      </c>
      <c r="I100">
        <v>2.5</v>
      </c>
      <c r="J100">
        <v>1163.79</v>
      </c>
      <c r="K100">
        <v>1.9580666999707901</v>
      </c>
      <c r="L100">
        <v>1142.5</v>
      </c>
      <c r="M100" t="s">
        <v>27</v>
      </c>
      <c r="N100">
        <v>1</v>
      </c>
      <c r="O100">
        <v>1282</v>
      </c>
      <c r="P100">
        <v>1109</v>
      </c>
      <c r="Q100">
        <v>0</v>
      </c>
      <c r="R100">
        <v>1109</v>
      </c>
    </row>
    <row r="101" spans="1:18" x14ac:dyDescent="0.3">
      <c r="A101" s="5">
        <v>45954</v>
      </c>
      <c r="B101" t="s">
        <v>187</v>
      </c>
      <c r="C101">
        <v>2</v>
      </c>
      <c r="D101">
        <v>36</v>
      </c>
      <c r="E101" s="1">
        <v>1.25</v>
      </c>
      <c r="F101" t="s">
        <v>184</v>
      </c>
      <c r="G101">
        <v>0</v>
      </c>
      <c r="H101">
        <v>1081.4943000000001</v>
      </c>
      <c r="I101">
        <v>2.5</v>
      </c>
      <c r="J101">
        <v>1163.79</v>
      </c>
      <c r="K101">
        <v>1.9580666999707901</v>
      </c>
      <c r="L101">
        <v>1142.5</v>
      </c>
      <c r="M101" t="s">
        <v>27</v>
      </c>
      <c r="N101">
        <v>1</v>
      </c>
      <c r="O101">
        <v>1282</v>
      </c>
      <c r="P101">
        <v>1109</v>
      </c>
      <c r="Q101">
        <v>0</v>
      </c>
      <c r="R101">
        <v>1109</v>
      </c>
    </row>
    <row r="102" spans="1:18" x14ac:dyDescent="0.3">
      <c r="A102" s="5">
        <v>45954</v>
      </c>
      <c r="B102" t="s">
        <v>187</v>
      </c>
      <c r="C102">
        <v>2</v>
      </c>
      <c r="D102">
        <v>36</v>
      </c>
      <c r="E102" s="1">
        <v>1.25</v>
      </c>
      <c r="F102" t="s">
        <v>183</v>
      </c>
      <c r="G102">
        <v>0</v>
      </c>
      <c r="H102">
        <v>1081.4943000000001</v>
      </c>
      <c r="I102">
        <v>2.5</v>
      </c>
      <c r="J102">
        <v>1163.79</v>
      </c>
      <c r="K102">
        <v>1.9580666999707901</v>
      </c>
      <c r="L102">
        <v>1142.5</v>
      </c>
      <c r="M102" t="s">
        <v>27</v>
      </c>
      <c r="N102">
        <v>1</v>
      </c>
      <c r="O102">
        <v>1282</v>
      </c>
      <c r="P102">
        <v>1109</v>
      </c>
      <c r="Q102">
        <v>0</v>
      </c>
      <c r="R102">
        <v>1109</v>
      </c>
    </row>
    <row r="103" spans="1:18" x14ac:dyDescent="0.3">
      <c r="A103" s="5">
        <v>45954</v>
      </c>
      <c r="B103" t="s">
        <v>187</v>
      </c>
      <c r="C103">
        <v>2</v>
      </c>
      <c r="D103">
        <v>36</v>
      </c>
      <c r="E103" s="1">
        <v>1.25</v>
      </c>
      <c r="F103" t="s">
        <v>183</v>
      </c>
      <c r="G103">
        <v>0</v>
      </c>
      <c r="H103">
        <v>1081.4943000000001</v>
      </c>
      <c r="I103">
        <v>2.5</v>
      </c>
      <c r="J103">
        <v>1163.79</v>
      </c>
      <c r="K103">
        <v>1.9580666999707901</v>
      </c>
      <c r="L103">
        <v>1142.5</v>
      </c>
      <c r="M103" t="s">
        <v>27</v>
      </c>
      <c r="N103">
        <v>1</v>
      </c>
      <c r="O103">
        <v>1282</v>
      </c>
      <c r="P103">
        <v>1109</v>
      </c>
      <c r="Q103">
        <v>0</v>
      </c>
      <c r="R103">
        <v>1109</v>
      </c>
    </row>
    <row r="104" spans="1:18" x14ac:dyDescent="0.3">
      <c r="A104" s="5">
        <v>45954</v>
      </c>
      <c r="B104" t="s">
        <v>188</v>
      </c>
      <c r="C104">
        <v>36</v>
      </c>
      <c r="D104">
        <v>36</v>
      </c>
      <c r="E104" s="1">
        <v>1.9993055555555554</v>
      </c>
      <c r="F104" t="s">
        <v>189</v>
      </c>
      <c r="G104">
        <v>0</v>
      </c>
      <c r="H104">
        <v>1078.5336</v>
      </c>
      <c r="I104">
        <v>2.5</v>
      </c>
      <c r="J104">
        <v>1163.79</v>
      </c>
      <c r="K104">
        <v>1.9580666999707901</v>
      </c>
      <c r="L104">
        <v>601.29</v>
      </c>
      <c r="M104" t="s">
        <v>77</v>
      </c>
      <c r="N104">
        <v>1</v>
      </c>
      <c r="O104">
        <v>1278</v>
      </c>
      <c r="P104">
        <v>1105</v>
      </c>
      <c r="Q104">
        <v>0.5</v>
      </c>
      <c r="R104">
        <v>552.5</v>
      </c>
    </row>
    <row r="105" spans="1:18" x14ac:dyDescent="0.3">
      <c r="A105" s="5">
        <v>45954</v>
      </c>
      <c r="B105" t="s">
        <v>190</v>
      </c>
      <c r="C105">
        <v>14</v>
      </c>
      <c r="D105">
        <v>36</v>
      </c>
      <c r="E105" s="1">
        <v>1.9791666666666665</v>
      </c>
      <c r="F105" t="s">
        <v>191</v>
      </c>
      <c r="G105">
        <v>5</v>
      </c>
      <c r="H105">
        <v>1081.1153999999999</v>
      </c>
      <c r="I105">
        <v>0</v>
      </c>
      <c r="J105">
        <v>1163.79</v>
      </c>
      <c r="K105">
        <v>0</v>
      </c>
      <c r="L105">
        <v>1158.79</v>
      </c>
      <c r="M105" t="s">
        <v>27</v>
      </c>
      <c r="N105">
        <v>1</v>
      </c>
      <c r="O105">
        <v>1254</v>
      </c>
      <c r="P105">
        <v>1081</v>
      </c>
      <c r="Q105">
        <v>0</v>
      </c>
      <c r="R105">
        <v>1081</v>
      </c>
    </row>
    <row r="106" spans="1:18" x14ac:dyDescent="0.3">
      <c r="A106" s="5">
        <v>45954</v>
      </c>
      <c r="B106" t="s">
        <v>192</v>
      </c>
      <c r="C106">
        <v>27</v>
      </c>
      <c r="D106">
        <v>36</v>
      </c>
      <c r="E106" s="1">
        <v>1.9791666666666665</v>
      </c>
      <c r="F106" t="s">
        <v>193</v>
      </c>
      <c r="G106">
        <v>4</v>
      </c>
      <c r="H106">
        <v>1080.7385999999999</v>
      </c>
      <c r="I106">
        <v>7</v>
      </c>
      <c r="J106">
        <v>1163.79</v>
      </c>
      <c r="K106">
        <v>5.4825867599182097</v>
      </c>
      <c r="L106">
        <v>1097.8399999999999</v>
      </c>
      <c r="M106" t="s">
        <v>27</v>
      </c>
      <c r="N106">
        <v>1</v>
      </c>
      <c r="O106">
        <v>1329</v>
      </c>
      <c r="P106">
        <v>1156</v>
      </c>
      <c r="Q106">
        <v>0</v>
      </c>
      <c r="R106">
        <v>1156</v>
      </c>
    </row>
    <row r="107" spans="1:18" x14ac:dyDescent="0.3">
      <c r="A107" s="5">
        <v>45954</v>
      </c>
      <c r="B107" t="s">
        <v>194</v>
      </c>
      <c r="C107">
        <v>17</v>
      </c>
      <c r="D107">
        <v>36</v>
      </c>
      <c r="E107" s="1">
        <v>1.9791666666666665</v>
      </c>
      <c r="F107" t="s">
        <v>195</v>
      </c>
      <c r="G107">
        <v>4</v>
      </c>
      <c r="H107">
        <v>1081.2537</v>
      </c>
      <c r="I107">
        <v>7</v>
      </c>
      <c r="J107">
        <v>1163.79</v>
      </c>
      <c r="K107">
        <v>5.4825867599182097</v>
      </c>
      <c r="L107">
        <v>1034.48</v>
      </c>
      <c r="M107" t="s">
        <v>27</v>
      </c>
      <c r="N107">
        <v>1</v>
      </c>
      <c r="O107">
        <v>1330</v>
      </c>
      <c r="P107">
        <v>1157</v>
      </c>
      <c r="Q107">
        <v>0</v>
      </c>
      <c r="R107">
        <v>1157</v>
      </c>
    </row>
    <row r="108" spans="1:18" x14ac:dyDescent="0.3">
      <c r="A108" s="5">
        <v>45954</v>
      </c>
      <c r="B108" t="s">
        <v>196</v>
      </c>
      <c r="C108">
        <v>24</v>
      </c>
      <c r="D108">
        <v>36</v>
      </c>
      <c r="E108" s="1">
        <v>1.9993055555555554</v>
      </c>
      <c r="F108" t="s">
        <v>197</v>
      </c>
      <c r="G108">
        <v>5</v>
      </c>
      <c r="H108">
        <v>1080.8021000000001</v>
      </c>
      <c r="I108">
        <v>0</v>
      </c>
      <c r="J108">
        <v>1163.79</v>
      </c>
      <c r="K108">
        <v>0</v>
      </c>
      <c r="L108">
        <v>1158.79</v>
      </c>
      <c r="M108" t="s">
        <v>27</v>
      </c>
      <c r="N108">
        <v>1</v>
      </c>
      <c r="O108">
        <v>1254</v>
      </c>
      <c r="P108">
        <v>1081</v>
      </c>
      <c r="Q108">
        <v>0</v>
      </c>
      <c r="R108">
        <v>1081</v>
      </c>
    </row>
    <row r="109" spans="1:18" x14ac:dyDescent="0.3">
      <c r="A109" s="5">
        <v>45954</v>
      </c>
      <c r="B109" t="s">
        <v>198</v>
      </c>
      <c r="C109">
        <v>12</v>
      </c>
      <c r="D109">
        <v>36</v>
      </c>
      <c r="E109" s="1">
        <v>1.9791666666666665</v>
      </c>
      <c r="F109" t="s">
        <v>199</v>
      </c>
      <c r="G109">
        <v>5</v>
      </c>
      <c r="H109">
        <v>1081.1496999999999</v>
      </c>
      <c r="I109">
        <v>0</v>
      </c>
      <c r="J109">
        <v>1163.79</v>
      </c>
      <c r="K109">
        <v>0</v>
      </c>
      <c r="L109">
        <v>1158.79</v>
      </c>
      <c r="M109" t="s">
        <v>27</v>
      </c>
      <c r="N109">
        <v>1</v>
      </c>
      <c r="O109">
        <v>1254</v>
      </c>
      <c r="P109">
        <v>1081</v>
      </c>
      <c r="Q109">
        <v>0</v>
      </c>
      <c r="R109">
        <v>1081</v>
      </c>
    </row>
    <row r="110" spans="1:18" x14ac:dyDescent="0.3">
      <c r="A110" s="5">
        <v>45954</v>
      </c>
      <c r="B110" t="s">
        <v>200</v>
      </c>
      <c r="C110">
        <v>18</v>
      </c>
      <c r="D110">
        <v>36</v>
      </c>
      <c r="E110" s="1">
        <v>1.9993055555555554</v>
      </c>
      <c r="F110" t="s">
        <v>201</v>
      </c>
      <c r="G110">
        <v>5</v>
      </c>
      <c r="H110">
        <v>1081.0418999999999</v>
      </c>
      <c r="I110">
        <v>0</v>
      </c>
      <c r="J110">
        <v>1163.79</v>
      </c>
      <c r="K110">
        <v>0</v>
      </c>
      <c r="L110">
        <v>1158.79</v>
      </c>
      <c r="M110" t="s">
        <v>27</v>
      </c>
      <c r="N110">
        <v>1</v>
      </c>
      <c r="O110">
        <v>1254</v>
      </c>
      <c r="P110">
        <v>1081</v>
      </c>
      <c r="Q110">
        <v>0</v>
      </c>
      <c r="R110">
        <v>1081</v>
      </c>
    </row>
    <row r="111" spans="1:18" x14ac:dyDescent="0.3">
      <c r="A111" s="5">
        <v>45954</v>
      </c>
      <c r="B111" t="s">
        <v>202</v>
      </c>
      <c r="C111">
        <v>17</v>
      </c>
      <c r="D111">
        <v>36</v>
      </c>
      <c r="E111" s="1">
        <v>1.9791666666666665</v>
      </c>
      <c r="F111" t="s">
        <v>203</v>
      </c>
      <c r="G111">
        <v>0</v>
      </c>
      <c r="H111">
        <v>1081.0501999999999</v>
      </c>
      <c r="I111">
        <v>2.5</v>
      </c>
      <c r="J111">
        <v>1163.79</v>
      </c>
      <c r="K111">
        <v>1.9580666999707901</v>
      </c>
      <c r="L111">
        <v>1158.79</v>
      </c>
      <c r="M111" t="s">
        <v>27</v>
      </c>
      <c r="N111">
        <v>1</v>
      </c>
      <c r="O111">
        <v>1281</v>
      </c>
      <c r="P111">
        <v>1108</v>
      </c>
      <c r="Q111">
        <v>0</v>
      </c>
      <c r="R111">
        <v>1108</v>
      </c>
    </row>
    <row r="112" spans="1:18" x14ac:dyDescent="0.3">
      <c r="A112" s="5">
        <v>45954</v>
      </c>
      <c r="B112" t="s">
        <v>204</v>
      </c>
      <c r="C112">
        <v>28</v>
      </c>
      <c r="D112">
        <v>36</v>
      </c>
      <c r="E112" s="1">
        <v>1.4583333333333333</v>
      </c>
      <c r="F112" t="s">
        <v>205</v>
      </c>
      <c r="G112">
        <v>0</v>
      </c>
      <c r="H112">
        <v>1080.8903</v>
      </c>
      <c r="I112">
        <v>2.5</v>
      </c>
      <c r="J112">
        <v>1163.79</v>
      </c>
      <c r="K112">
        <v>1.9580666999707901</v>
      </c>
      <c r="L112">
        <v>1219.83</v>
      </c>
      <c r="M112" t="s">
        <v>27</v>
      </c>
      <c r="N112">
        <v>1</v>
      </c>
      <c r="O112">
        <v>1281</v>
      </c>
      <c r="P112">
        <v>1108</v>
      </c>
      <c r="Q112">
        <v>0</v>
      </c>
      <c r="R112">
        <v>1108</v>
      </c>
    </row>
    <row r="113" spans="1:18" x14ac:dyDescent="0.3">
      <c r="A113" s="5">
        <v>45954</v>
      </c>
      <c r="B113" t="s">
        <v>206</v>
      </c>
      <c r="C113">
        <v>24</v>
      </c>
      <c r="D113">
        <v>36</v>
      </c>
      <c r="E113" s="1">
        <v>1.25</v>
      </c>
      <c r="F113" t="s">
        <v>207</v>
      </c>
      <c r="G113">
        <v>0</v>
      </c>
      <c r="H113">
        <v>1081.1822999999999</v>
      </c>
      <c r="I113">
        <v>2.5</v>
      </c>
      <c r="J113">
        <v>1163.79</v>
      </c>
      <c r="K113">
        <v>1.9580666999707901</v>
      </c>
      <c r="L113">
        <v>1158.79</v>
      </c>
      <c r="M113" t="s">
        <v>27</v>
      </c>
      <c r="N113">
        <v>1</v>
      </c>
      <c r="O113">
        <v>1281</v>
      </c>
      <c r="P113">
        <v>1108</v>
      </c>
      <c r="Q113">
        <v>0</v>
      </c>
      <c r="R113">
        <v>1108</v>
      </c>
    </row>
    <row r="114" spans="1:18" x14ac:dyDescent="0.3">
      <c r="A114" s="5">
        <v>45954</v>
      </c>
      <c r="B114" t="s">
        <v>208</v>
      </c>
      <c r="C114">
        <v>15</v>
      </c>
      <c r="D114">
        <v>36</v>
      </c>
      <c r="E114" s="1">
        <v>1.0833333333333333</v>
      </c>
      <c r="F114" t="s">
        <v>209</v>
      </c>
      <c r="G114">
        <v>0</v>
      </c>
      <c r="H114">
        <v>1081.2609</v>
      </c>
      <c r="I114">
        <v>2.5</v>
      </c>
      <c r="J114">
        <v>1163.79</v>
      </c>
      <c r="K114">
        <v>1.9580666999707901</v>
      </c>
      <c r="L114">
        <v>1142.5</v>
      </c>
      <c r="M114" t="s">
        <v>27</v>
      </c>
      <c r="N114">
        <v>1</v>
      </c>
      <c r="O114">
        <v>1281</v>
      </c>
      <c r="P114">
        <v>1108</v>
      </c>
      <c r="Q114">
        <v>0</v>
      </c>
      <c r="R114">
        <v>1108</v>
      </c>
    </row>
    <row r="115" spans="1:18" x14ac:dyDescent="0.3">
      <c r="A115" s="5">
        <v>45954</v>
      </c>
      <c r="B115" t="s">
        <v>210</v>
      </c>
      <c r="C115">
        <v>5</v>
      </c>
      <c r="D115">
        <v>36</v>
      </c>
      <c r="E115" s="1">
        <v>1.9993055555555554</v>
      </c>
      <c r="F115" t="s">
        <v>211</v>
      </c>
      <c r="G115">
        <v>1</v>
      </c>
      <c r="H115">
        <v>1081.2629999999999</v>
      </c>
      <c r="I115">
        <v>8.5</v>
      </c>
      <c r="J115">
        <v>1163.79</v>
      </c>
      <c r="K115">
        <v>6.6574267799006801</v>
      </c>
      <c r="L115">
        <v>1219.83</v>
      </c>
      <c r="M115" t="s">
        <v>27</v>
      </c>
      <c r="N115">
        <v>1</v>
      </c>
      <c r="O115">
        <v>1346</v>
      </c>
      <c r="P115">
        <v>1173</v>
      </c>
      <c r="Q115">
        <v>0</v>
      </c>
      <c r="R115">
        <v>1173</v>
      </c>
    </row>
    <row r="116" spans="1:18" x14ac:dyDescent="0.3">
      <c r="A116" s="5">
        <v>45954</v>
      </c>
      <c r="B116" t="s">
        <v>212</v>
      </c>
      <c r="C116">
        <v>6</v>
      </c>
      <c r="D116">
        <v>36</v>
      </c>
      <c r="E116" s="1">
        <v>1.9993055555555554</v>
      </c>
      <c r="F116" t="s">
        <v>213</v>
      </c>
      <c r="G116">
        <v>0</v>
      </c>
      <c r="H116">
        <v>1081.2472</v>
      </c>
      <c r="I116">
        <v>2.5</v>
      </c>
      <c r="J116">
        <v>1163.79</v>
      </c>
      <c r="K116">
        <v>1.9580666999707901</v>
      </c>
      <c r="L116">
        <v>1158.79</v>
      </c>
      <c r="M116" t="s">
        <v>27</v>
      </c>
      <c r="N116">
        <v>1</v>
      </c>
      <c r="O116">
        <v>1281</v>
      </c>
      <c r="P116">
        <v>1108</v>
      </c>
      <c r="Q116">
        <v>0</v>
      </c>
      <c r="R116">
        <v>1108</v>
      </c>
    </row>
    <row r="117" spans="1:18" x14ac:dyDescent="0.3">
      <c r="A117" s="5">
        <v>45954</v>
      </c>
      <c r="B117" t="s">
        <v>212</v>
      </c>
      <c r="C117">
        <v>6</v>
      </c>
      <c r="D117">
        <v>36</v>
      </c>
      <c r="E117" s="1">
        <v>1.9993055555555554</v>
      </c>
      <c r="F117" t="s">
        <v>214</v>
      </c>
      <c r="G117">
        <v>0</v>
      </c>
      <c r="H117">
        <v>1081.2472</v>
      </c>
      <c r="I117">
        <v>2.5</v>
      </c>
      <c r="J117">
        <v>1163.79</v>
      </c>
      <c r="K117">
        <v>1.9580666999707901</v>
      </c>
      <c r="L117">
        <v>1158.79</v>
      </c>
      <c r="M117" t="s">
        <v>27</v>
      </c>
      <c r="N117">
        <v>1</v>
      </c>
      <c r="O117">
        <v>1281</v>
      </c>
      <c r="P117">
        <v>1108</v>
      </c>
      <c r="Q117">
        <v>0</v>
      </c>
      <c r="R117">
        <v>1108</v>
      </c>
    </row>
    <row r="118" spans="1:18" x14ac:dyDescent="0.3">
      <c r="A118" s="5">
        <v>45954</v>
      </c>
      <c r="B118" t="s">
        <v>215</v>
      </c>
      <c r="C118">
        <v>5</v>
      </c>
      <c r="D118">
        <v>36</v>
      </c>
      <c r="E118" s="1">
        <v>1.9993055555555554</v>
      </c>
      <c r="F118" t="s">
        <v>213</v>
      </c>
      <c r="G118">
        <v>0</v>
      </c>
      <c r="H118">
        <v>1081.2651000000001</v>
      </c>
      <c r="I118">
        <v>2.5</v>
      </c>
      <c r="J118">
        <v>1163.79</v>
      </c>
      <c r="K118">
        <v>1.9580666999707901</v>
      </c>
      <c r="L118">
        <v>1158.79</v>
      </c>
      <c r="M118" t="s">
        <v>27</v>
      </c>
      <c r="N118">
        <v>1</v>
      </c>
      <c r="O118">
        <v>1281</v>
      </c>
      <c r="P118">
        <v>1108</v>
      </c>
      <c r="Q118">
        <v>0</v>
      </c>
      <c r="R118">
        <v>1108</v>
      </c>
    </row>
    <row r="119" spans="1:18" x14ac:dyDescent="0.3">
      <c r="A119" s="5">
        <v>45954</v>
      </c>
      <c r="B119" t="s">
        <v>215</v>
      </c>
      <c r="C119">
        <v>5</v>
      </c>
      <c r="D119">
        <v>36</v>
      </c>
      <c r="E119" s="1">
        <v>1.9993055555555554</v>
      </c>
      <c r="F119" t="s">
        <v>214</v>
      </c>
      <c r="G119">
        <v>0</v>
      </c>
      <c r="H119">
        <v>1081.2651000000001</v>
      </c>
      <c r="I119">
        <v>2.5</v>
      </c>
      <c r="J119">
        <v>1163.79</v>
      </c>
      <c r="K119">
        <v>1.9580666999707901</v>
      </c>
      <c r="L119">
        <v>1158.79</v>
      </c>
      <c r="M119" t="s">
        <v>27</v>
      </c>
      <c r="N119">
        <v>1</v>
      </c>
      <c r="O119">
        <v>1281</v>
      </c>
      <c r="P119">
        <v>1108</v>
      </c>
      <c r="Q119">
        <v>0</v>
      </c>
      <c r="R119">
        <v>1108</v>
      </c>
    </row>
    <row r="120" spans="1:18" x14ac:dyDescent="0.3">
      <c r="A120" s="5">
        <v>45954</v>
      </c>
      <c r="B120" t="s">
        <v>100</v>
      </c>
      <c r="C120">
        <v>33</v>
      </c>
      <c r="D120">
        <v>36</v>
      </c>
      <c r="E120" s="1">
        <v>1.4583333333333333</v>
      </c>
      <c r="F120" t="s">
        <v>101</v>
      </c>
      <c r="G120">
        <v>3</v>
      </c>
      <c r="H120">
        <v>1081.0415</v>
      </c>
      <c r="I120">
        <v>10</v>
      </c>
      <c r="J120">
        <v>1163.79</v>
      </c>
      <c r="K120">
        <v>7.8322667998831603</v>
      </c>
      <c r="L120">
        <v>601.29</v>
      </c>
      <c r="M120" t="s">
        <v>20</v>
      </c>
      <c r="N120">
        <v>1</v>
      </c>
      <c r="O120">
        <v>1362</v>
      </c>
      <c r="P120">
        <v>1189</v>
      </c>
      <c r="Q120">
        <v>0.5</v>
      </c>
      <c r="R120">
        <v>594.5</v>
      </c>
    </row>
    <row r="121" spans="1:18" x14ac:dyDescent="0.3">
      <c r="A121" s="5">
        <v>45954</v>
      </c>
      <c r="B121" t="s">
        <v>102</v>
      </c>
      <c r="C121">
        <v>34</v>
      </c>
      <c r="D121">
        <v>36</v>
      </c>
      <c r="E121" s="1">
        <v>1.4583333333333333</v>
      </c>
      <c r="F121" t="s">
        <v>103</v>
      </c>
      <c r="G121">
        <v>3</v>
      </c>
      <c r="H121">
        <v>1081.0234</v>
      </c>
      <c r="I121">
        <v>10</v>
      </c>
      <c r="J121">
        <v>1163.79</v>
      </c>
      <c r="K121">
        <v>7.8322667998831603</v>
      </c>
      <c r="L121">
        <v>601.29</v>
      </c>
      <c r="M121" t="s">
        <v>20</v>
      </c>
      <c r="N121">
        <v>1</v>
      </c>
      <c r="O121">
        <v>1362</v>
      </c>
      <c r="P121">
        <v>1189</v>
      </c>
      <c r="Q121">
        <v>0.5</v>
      </c>
      <c r="R121">
        <v>594.5</v>
      </c>
    </row>
    <row r="122" spans="1:18" x14ac:dyDescent="0.3">
      <c r="A122" s="5">
        <v>45954</v>
      </c>
      <c r="B122" t="s">
        <v>216</v>
      </c>
      <c r="C122">
        <v>10</v>
      </c>
      <c r="D122">
        <v>36</v>
      </c>
      <c r="E122" s="1">
        <v>1.25</v>
      </c>
      <c r="F122" t="s">
        <v>217</v>
      </c>
      <c r="G122">
        <v>0</v>
      </c>
      <c r="H122">
        <v>1081.3479</v>
      </c>
      <c r="I122">
        <v>2.5</v>
      </c>
      <c r="J122">
        <v>1163.79</v>
      </c>
      <c r="K122">
        <v>1.9580666999707901</v>
      </c>
      <c r="L122">
        <v>1142.5</v>
      </c>
      <c r="M122" t="s">
        <v>27</v>
      </c>
      <c r="N122">
        <v>1</v>
      </c>
      <c r="O122">
        <v>1281</v>
      </c>
      <c r="P122">
        <v>1108</v>
      </c>
      <c r="Q122">
        <v>0</v>
      </c>
      <c r="R122">
        <v>1108</v>
      </c>
    </row>
    <row r="123" spans="1:18" x14ac:dyDescent="0.3">
      <c r="A123" s="5">
        <v>45954</v>
      </c>
      <c r="B123" t="s">
        <v>218</v>
      </c>
      <c r="C123">
        <v>22</v>
      </c>
      <c r="D123">
        <v>35</v>
      </c>
      <c r="E123" s="1">
        <v>1.4583333333333333</v>
      </c>
      <c r="F123" t="s">
        <v>219</v>
      </c>
      <c r="G123">
        <v>0</v>
      </c>
      <c r="H123">
        <v>1081.1863000000001</v>
      </c>
      <c r="I123">
        <v>2.5</v>
      </c>
      <c r="J123">
        <v>1163.79</v>
      </c>
      <c r="K123">
        <v>1.9580666999707901</v>
      </c>
      <c r="L123">
        <v>1158.79</v>
      </c>
      <c r="M123" t="s">
        <v>27</v>
      </c>
      <c r="N123">
        <v>1</v>
      </c>
      <c r="O123">
        <v>1281</v>
      </c>
      <c r="P123">
        <v>1108</v>
      </c>
      <c r="Q123">
        <v>0</v>
      </c>
      <c r="R123">
        <v>1108</v>
      </c>
    </row>
    <row r="124" spans="1:18" x14ac:dyDescent="0.3">
      <c r="A124" s="5">
        <v>45954</v>
      </c>
      <c r="B124" t="s">
        <v>218</v>
      </c>
      <c r="C124">
        <v>22</v>
      </c>
      <c r="D124">
        <v>35</v>
      </c>
      <c r="E124" s="1">
        <v>1.4583333333333333</v>
      </c>
      <c r="F124" t="s">
        <v>219</v>
      </c>
      <c r="G124">
        <v>0</v>
      </c>
      <c r="H124">
        <v>1081.1863000000001</v>
      </c>
      <c r="I124">
        <v>2.5</v>
      </c>
      <c r="J124">
        <v>1163.79</v>
      </c>
      <c r="K124">
        <v>1.9580666999707901</v>
      </c>
      <c r="L124">
        <v>1158.79</v>
      </c>
      <c r="M124" t="s">
        <v>27</v>
      </c>
      <c r="N124">
        <v>1</v>
      </c>
      <c r="O124">
        <v>1281</v>
      </c>
      <c r="P124">
        <v>1108</v>
      </c>
      <c r="Q124">
        <v>0</v>
      </c>
      <c r="R124">
        <v>1108</v>
      </c>
    </row>
    <row r="125" spans="1:18" x14ac:dyDescent="0.3">
      <c r="A125" s="5">
        <v>45954</v>
      </c>
      <c r="B125" t="s">
        <v>218</v>
      </c>
      <c r="C125">
        <v>22</v>
      </c>
      <c r="D125">
        <v>35</v>
      </c>
      <c r="E125" s="1">
        <v>1.4583333333333333</v>
      </c>
      <c r="F125" t="s">
        <v>219</v>
      </c>
      <c r="G125">
        <v>0</v>
      </c>
      <c r="H125">
        <v>1081.1863000000001</v>
      </c>
      <c r="I125">
        <v>2.5</v>
      </c>
      <c r="J125">
        <v>1163.79</v>
      </c>
      <c r="K125">
        <v>1.9580666999707901</v>
      </c>
      <c r="L125">
        <v>1158.79</v>
      </c>
      <c r="M125" t="s">
        <v>27</v>
      </c>
      <c r="N125">
        <v>1</v>
      </c>
      <c r="O125">
        <v>1281</v>
      </c>
      <c r="P125">
        <v>1108</v>
      </c>
      <c r="Q125">
        <v>0</v>
      </c>
      <c r="R125">
        <v>1108</v>
      </c>
    </row>
    <row r="126" spans="1:18" x14ac:dyDescent="0.3">
      <c r="A126" s="5">
        <v>45954</v>
      </c>
      <c r="B126" t="s">
        <v>218</v>
      </c>
      <c r="C126">
        <v>22</v>
      </c>
      <c r="D126">
        <v>35</v>
      </c>
      <c r="E126" s="1">
        <v>1.4583333333333333</v>
      </c>
      <c r="F126" t="s">
        <v>219</v>
      </c>
      <c r="G126">
        <v>0</v>
      </c>
      <c r="H126">
        <v>1081.1863000000001</v>
      </c>
      <c r="I126">
        <v>2.5</v>
      </c>
      <c r="J126">
        <v>1163.79</v>
      </c>
      <c r="K126">
        <v>1.9580666999707901</v>
      </c>
      <c r="L126">
        <v>1158.79</v>
      </c>
      <c r="M126" t="s">
        <v>27</v>
      </c>
      <c r="N126">
        <v>1</v>
      </c>
      <c r="O126">
        <v>1281</v>
      </c>
      <c r="P126">
        <v>1108</v>
      </c>
      <c r="Q126">
        <v>0</v>
      </c>
      <c r="R126">
        <v>1108</v>
      </c>
    </row>
    <row r="127" spans="1:18" x14ac:dyDescent="0.3">
      <c r="A127" s="5">
        <v>45954</v>
      </c>
      <c r="B127" t="s">
        <v>218</v>
      </c>
      <c r="C127">
        <v>22</v>
      </c>
      <c r="D127">
        <v>35</v>
      </c>
      <c r="E127" s="1">
        <v>1.4583333333333333</v>
      </c>
      <c r="F127" t="s">
        <v>219</v>
      </c>
      <c r="G127">
        <v>0</v>
      </c>
      <c r="H127">
        <v>1081.1863000000001</v>
      </c>
      <c r="I127">
        <v>2.5</v>
      </c>
      <c r="J127">
        <v>1163.79</v>
      </c>
      <c r="K127">
        <v>1.9580666999707901</v>
      </c>
      <c r="L127">
        <v>1158.79</v>
      </c>
      <c r="M127" t="s">
        <v>27</v>
      </c>
      <c r="N127">
        <v>1</v>
      </c>
      <c r="O127">
        <v>1281</v>
      </c>
      <c r="P127">
        <v>1108</v>
      </c>
      <c r="Q127">
        <v>0</v>
      </c>
      <c r="R127">
        <v>1108</v>
      </c>
    </row>
    <row r="128" spans="1:18" x14ac:dyDescent="0.3">
      <c r="A128" s="5">
        <v>45954</v>
      </c>
      <c r="B128" t="s">
        <v>220</v>
      </c>
      <c r="C128">
        <v>14</v>
      </c>
      <c r="D128">
        <v>35</v>
      </c>
      <c r="E128" s="1">
        <v>1.4583333333333333</v>
      </c>
      <c r="F128" t="s">
        <v>219</v>
      </c>
      <c r="G128">
        <v>0</v>
      </c>
      <c r="H128">
        <v>1081.3302000000001</v>
      </c>
      <c r="I128">
        <v>2.5</v>
      </c>
      <c r="J128">
        <v>1163.79</v>
      </c>
      <c r="K128">
        <v>1.9580666999707901</v>
      </c>
      <c r="L128">
        <v>1158.79</v>
      </c>
      <c r="M128" t="s">
        <v>27</v>
      </c>
      <c r="N128">
        <v>1</v>
      </c>
      <c r="O128">
        <v>1281</v>
      </c>
      <c r="P128">
        <v>1108</v>
      </c>
      <c r="Q128">
        <v>0</v>
      </c>
      <c r="R128">
        <v>1108</v>
      </c>
    </row>
    <row r="129" spans="1:18" x14ac:dyDescent="0.3">
      <c r="A129" s="5">
        <v>45954</v>
      </c>
      <c r="B129" t="s">
        <v>220</v>
      </c>
      <c r="C129">
        <v>14</v>
      </c>
      <c r="D129">
        <v>35</v>
      </c>
      <c r="E129" s="1">
        <v>1.4583333333333333</v>
      </c>
      <c r="F129" t="s">
        <v>219</v>
      </c>
      <c r="G129">
        <v>0</v>
      </c>
      <c r="H129">
        <v>1081.3302000000001</v>
      </c>
      <c r="I129">
        <v>2.5</v>
      </c>
      <c r="J129">
        <v>1163.79</v>
      </c>
      <c r="K129">
        <v>1.9580666999707901</v>
      </c>
      <c r="L129">
        <v>1158.79</v>
      </c>
      <c r="M129" t="s">
        <v>27</v>
      </c>
      <c r="N129">
        <v>1</v>
      </c>
      <c r="O129">
        <v>1281</v>
      </c>
      <c r="P129">
        <v>1108</v>
      </c>
      <c r="Q129">
        <v>0</v>
      </c>
      <c r="R129">
        <v>1108</v>
      </c>
    </row>
    <row r="130" spans="1:18" x14ac:dyDescent="0.3">
      <c r="A130" s="5">
        <v>45954</v>
      </c>
      <c r="B130" t="s">
        <v>220</v>
      </c>
      <c r="C130">
        <v>14</v>
      </c>
      <c r="D130">
        <v>35</v>
      </c>
      <c r="E130" s="1">
        <v>1.4583333333333333</v>
      </c>
      <c r="F130" t="s">
        <v>219</v>
      </c>
      <c r="G130">
        <v>0</v>
      </c>
      <c r="H130">
        <v>1081.3302000000001</v>
      </c>
      <c r="I130">
        <v>2.5</v>
      </c>
      <c r="J130">
        <v>1163.79</v>
      </c>
      <c r="K130">
        <v>1.9580666999707901</v>
      </c>
      <c r="L130">
        <v>1158.79</v>
      </c>
      <c r="M130" t="s">
        <v>27</v>
      </c>
      <c r="N130">
        <v>1</v>
      </c>
      <c r="O130">
        <v>1281</v>
      </c>
      <c r="P130">
        <v>1108</v>
      </c>
      <c r="Q130">
        <v>0</v>
      </c>
      <c r="R130">
        <v>1108</v>
      </c>
    </row>
    <row r="131" spans="1:18" x14ac:dyDescent="0.3">
      <c r="A131" s="5">
        <v>45954</v>
      </c>
      <c r="B131" t="s">
        <v>220</v>
      </c>
      <c r="C131">
        <v>14</v>
      </c>
      <c r="D131">
        <v>35</v>
      </c>
      <c r="E131" s="1">
        <v>1.4583333333333333</v>
      </c>
      <c r="F131" t="s">
        <v>219</v>
      </c>
      <c r="G131">
        <v>0</v>
      </c>
      <c r="H131">
        <v>1081.3302000000001</v>
      </c>
      <c r="I131">
        <v>2.5</v>
      </c>
      <c r="J131">
        <v>1163.79</v>
      </c>
      <c r="K131">
        <v>1.9580666999707901</v>
      </c>
      <c r="L131">
        <v>1158.79</v>
      </c>
      <c r="M131" t="s">
        <v>27</v>
      </c>
      <c r="N131">
        <v>1</v>
      </c>
      <c r="O131">
        <v>1281</v>
      </c>
      <c r="P131">
        <v>1108</v>
      </c>
      <c r="Q131">
        <v>0</v>
      </c>
      <c r="R131">
        <v>1108</v>
      </c>
    </row>
    <row r="132" spans="1:18" x14ac:dyDescent="0.3">
      <c r="A132" s="5">
        <v>45954</v>
      </c>
      <c r="B132" t="s">
        <v>220</v>
      </c>
      <c r="C132">
        <v>14</v>
      </c>
      <c r="D132">
        <v>35</v>
      </c>
      <c r="E132" s="1">
        <v>1.4583333333333333</v>
      </c>
      <c r="F132" t="s">
        <v>219</v>
      </c>
      <c r="G132">
        <v>0</v>
      </c>
      <c r="H132">
        <v>1081.3302000000001</v>
      </c>
      <c r="I132">
        <v>2.5</v>
      </c>
      <c r="J132">
        <v>1163.79</v>
      </c>
      <c r="K132">
        <v>1.9580666999707901</v>
      </c>
      <c r="L132">
        <v>1158.79</v>
      </c>
      <c r="M132" t="s">
        <v>27</v>
      </c>
      <c r="N132">
        <v>1</v>
      </c>
      <c r="O132">
        <v>1281</v>
      </c>
      <c r="P132">
        <v>1108</v>
      </c>
      <c r="Q132">
        <v>0</v>
      </c>
      <c r="R132">
        <v>1108</v>
      </c>
    </row>
    <row r="133" spans="1:18" x14ac:dyDescent="0.3">
      <c r="A133" s="5">
        <v>45954</v>
      </c>
      <c r="B133" t="s">
        <v>221</v>
      </c>
      <c r="C133">
        <v>7</v>
      </c>
      <c r="D133">
        <v>35</v>
      </c>
      <c r="E133" s="1">
        <v>1.4583333333333333</v>
      </c>
      <c r="F133" t="s">
        <v>219</v>
      </c>
      <c r="G133">
        <v>0</v>
      </c>
      <c r="H133">
        <v>1081.3235</v>
      </c>
      <c r="I133">
        <v>2.5</v>
      </c>
      <c r="J133">
        <v>1163.79</v>
      </c>
      <c r="K133">
        <v>1.9580666999707901</v>
      </c>
      <c r="L133">
        <v>1158.79</v>
      </c>
      <c r="M133" t="s">
        <v>27</v>
      </c>
      <c r="N133">
        <v>1</v>
      </c>
      <c r="O133">
        <v>1281</v>
      </c>
      <c r="P133">
        <v>1108</v>
      </c>
      <c r="Q133">
        <v>0</v>
      </c>
      <c r="R133">
        <v>1108</v>
      </c>
    </row>
    <row r="134" spans="1:18" x14ac:dyDescent="0.3">
      <c r="A134" s="5">
        <v>45954</v>
      </c>
      <c r="B134" t="s">
        <v>221</v>
      </c>
      <c r="C134">
        <v>7</v>
      </c>
      <c r="D134">
        <v>35</v>
      </c>
      <c r="E134" s="1">
        <v>1.4583333333333333</v>
      </c>
      <c r="F134" t="s">
        <v>219</v>
      </c>
      <c r="G134">
        <v>0</v>
      </c>
      <c r="H134">
        <v>1081.3235</v>
      </c>
      <c r="I134">
        <v>2.5</v>
      </c>
      <c r="J134">
        <v>1163.79</v>
      </c>
      <c r="K134">
        <v>1.9580666999707901</v>
      </c>
      <c r="L134">
        <v>1158.79</v>
      </c>
      <c r="M134" t="s">
        <v>27</v>
      </c>
      <c r="N134">
        <v>1</v>
      </c>
      <c r="O134">
        <v>1281</v>
      </c>
      <c r="P134">
        <v>1108</v>
      </c>
      <c r="Q134">
        <v>0</v>
      </c>
      <c r="R134">
        <v>1108</v>
      </c>
    </row>
    <row r="135" spans="1:18" x14ac:dyDescent="0.3">
      <c r="A135" s="5">
        <v>45954</v>
      </c>
      <c r="B135" t="s">
        <v>221</v>
      </c>
      <c r="C135">
        <v>7</v>
      </c>
      <c r="D135">
        <v>35</v>
      </c>
      <c r="E135" s="1">
        <v>1.4583333333333333</v>
      </c>
      <c r="F135" t="s">
        <v>219</v>
      </c>
      <c r="G135">
        <v>0</v>
      </c>
      <c r="H135">
        <v>1081.3235</v>
      </c>
      <c r="I135">
        <v>2.5</v>
      </c>
      <c r="J135">
        <v>1163.79</v>
      </c>
      <c r="K135">
        <v>1.9580666999707901</v>
      </c>
      <c r="L135">
        <v>1158.79</v>
      </c>
      <c r="M135" t="s">
        <v>27</v>
      </c>
      <c r="N135">
        <v>1</v>
      </c>
      <c r="O135">
        <v>1281</v>
      </c>
      <c r="P135">
        <v>1108</v>
      </c>
      <c r="Q135">
        <v>0</v>
      </c>
      <c r="R135">
        <v>1108</v>
      </c>
    </row>
    <row r="136" spans="1:18" x14ac:dyDescent="0.3">
      <c r="A136" s="5">
        <v>45954</v>
      </c>
      <c r="B136" t="s">
        <v>221</v>
      </c>
      <c r="C136">
        <v>7</v>
      </c>
      <c r="D136">
        <v>35</v>
      </c>
      <c r="E136" s="1">
        <v>1.4583333333333333</v>
      </c>
      <c r="F136" t="s">
        <v>219</v>
      </c>
      <c r="G136">
        <v>0</v>
      </c>
      <c r="H136">
        <v>1081.3235</v>
      </c>
      <c r="I136">
        <v>2.5</v>
      </c>
      <c r="J136">
        <v>1163.79</v>
      </c>
      <c r="K136">
        <v>1.9580666999707901</v>
      </c>
      <c r="L136">
        <v>1158.79</v>
      </c>
      <c r="M136" t="s">
        <v>27</v>
      </c>
      <c r="N136">
        <v>1</v>
      </c>
      <c r="O136">
        <v>1281</v>
      </c>
      <c r="P136">
        <v>1108</v>
      </c>
      <c r="Q136">
        <v>0</v>
      </c>
      <c r="R136">
        <v>1108</v>
      </c>
    </row>
    <row r="137" spans="1:18" x14ac:dyDescent="0.3">
      <c r="A137" s="5">
        <v>45954</v>
      </c>
      <c r="B137" t="s">
        <v>221</v>
      </c>
      <c r="C137">
        <v>7</v>
      </c>
      <c r="D137">
        <v>35</v>
      </c>
      <c r="E137" s="1">
        <v>1.4583333333333333</v>
      </c>
      <c r="F137" t="s">
        <v>219</v>
      </c>
      <c r="G137">
        <v>0</v>
      </c>
      <c r="H137">
        <v>1081.3235</v>
      </c>
      <c r="I137">
        <v>2.5</v>
      </c>
      <c r="J137">
        <v>1163.79</v>
      </c>
      <c r="K137">
        <v>1.9580666999707901</v>
      </c>
      <c r="L137">
        <v>1158.79</v>
      </c>
      <c r="M137" t="s">
        <v>27</v>
      </c>
      <c r="N137">
        <v>1</v>
      </c>
      <c r="O137">
        <v>1281</v>
      </c>
      <c r="P137">
        <v>1108</v>
      </c>
      <c r="Q137">
        <v>0</v>
      </c>
      <c r="R137">
        <v>1108</v>
      </c>
    </row>
    <row r="138" spans="1:18" x14ac:dyDescent="0.3">
      <c r="A138" s="5">
        <v>45954</v>
      </c>
      <c r="B138" t="s">
        <v>222</v>
      </c>
      <c r="C138">
        <v>15</v>
      </c>
      <c r="D138">
        <v>35</v>
      </c>
      <c r="E138" s="1">
        <v>1.4583333333333333</v>
      </c>
      <c r="F138" t="s">
        <v>219</v>
      </c>
      <c r="G138">
        <v>0</v>
      </c>
      <c r="H138">
        <v>1081.3123000000001</v>
      </c>
      <c r="I138">
        <v>2.5</v>
      </c>
      <c r="J138">
        <v>1163.79</v>
      </c>
      <c r="K138">
        <v>1.9580666999707901</v>
      </c>
      <c r="L138">
        <v>1158.79</v>
      </c>
      <c r="M138" t="s">
        <v>27</v>
      </c>
      <c r="N138">
        <v>1</v>
      </c>
      <c r="O138">
        <v>1281</v>
      </c>
      <c r="P138">
        <v>1108</v>
      </c>
      <c r="Q138">
        <v>0</v>
      </c>
      <c r="R138">
        <v>1108</v>
      </c>
    </row>
    <row r="139" spans="1:18" x14ac:dyDescent="0.3">
      <c r="A139" s="5">
        <v>45954</v>
      </c>
      <c r="B139" t="s">
        <v>222</v>
      </c>
      <c r="C139">
        <v>15</v>
      </c>
      <c r="D139">
        <v>35</v>
      </c>
      <c r="E139" s="1">
        <v>1.4583333333333333</v>
      </c>
      <c r="F139" t="s">
        <v>219</v>
      </c>
      <c r="G139">
        <v>0</v>
      </c>
      <c r="H139">
        <v>1081.3123000000001</v>
      </c>
      <c r="I139">
        <v>2.5</v>
      </c>
      <c r="J139">
        <v>1163.79</v>
      </c>
      <c r="K139">
        <v>1.9580666999707901</v>
      </c>
      <c r="L139">
        <v>1158.79</v>
      </c>
      <c r="M139" t="s">
        <v>27</v>
      </c>
      <c r="N139">
        <v>1</v>
      </c>
      <c r="O139">
        <v>1281</v>
      </c>
      <c r="P139">
        <v>1108</v>
      </c>
      <c r="Q139">
        <v>0</v>
      </c>
      <c r="R139">
        <v>1108</v>
      </c>
    </row>
    <row r="140" spans="1:18" x14ac:dyDescent="0.3">
      <c r="A140" s="5">
        <v>45954</v>
      </c>
      <c r="B140" t="s">
        <v>222</v>
      </c>
      <c r="C140">
        <v>15</v>
      </c>
      <c r="D140">
        <v>35</v>
      </c>
      <c r="E140" s="1">
        <v>1.4583333333333333</v>
      </c>
      <c r="F140" t="s">
        <v>219</v>
      </c>
      <c r="G140">
        <v>0</v>
      </c>
      <c r="H140">
        <v>1081.3123000000001</v>
      </c>
      <c r="I140">
        <v>2.5</v>
      </c>
      <c r="J140">
        <v>1163.79</v>
      </c>
      <c r="K140">
        <v>1.9580666999707901</v>
      </c>
      <c r="L140">
        <v>1158.79</v>
      </c>
      <c r="M140" t="s">
        <v>27</v>
      </c>
      <c r="N140">
        <v>1</v>
      </c>
      <c r="O140">
        <v>1281</v>
      </c>
      <c r="P140">
        <v>1108</v>
      </c>
      <c r="Q140">
        <v>0</v>
      </c>
      <c r="R140">
        <v>1108</v>
      </c>
    </row>
    <row r="141" spans="1:18" x14ac:dyDescent="0.3">
      <c r="A141" s="5">
        <v>45954</v>
      </c>
      <c r="B141" t="s">
        <v>222</v>
      </c>
      <c r="C141">
        <v>15</v>
      </c>
      <c r="D141">
        <v>35</v>
      </c>
      <c r="E141" s="1">
        <v>1.4583333333333333</v>
      </c>
      <c r="F141" t="s">
        <v>219</v>
      </c>
      <c r="G141">
        <v>0</v>
      </c>
      <c r="H141">
        <v>1081.3123000000001</v>
      </c>
      <c r="I141">
        <v>2.5</v>
      </c>
      <c r="J141">
        <v>1163.79</v>
      </c>
      <c r="K141">
        <v>1.9580666999707901</v>
      </c>
      <c r="L141">
        <v>1158.79</v>
      </c>
      <c r="M141" t="s">
        <v>27</v>
      </c>
      <c r="N141">
        <v>1</v>
      </c>
      <c r="O141">
        <v>1281</v>
      </c>
      <c r="P141">
        <v>1108</v>
      </c>
      <c r="Q141">
        <v>0</v>
      </c>
      <c r="R141">
        <v>1108</v>
      </c>
    </row>
    <row r="142" spans="1:18" x14ac:dyDescent="0.3">
      <c r="A142" s="5">
        <v>45954</v>
      </c>
      <c r="B142" t="s">
        <v>222</v>
      </c>
      <c r="C142">
        <v>15</v>
      </c>
      <c r="D142">
        <v>35</v>
      </c>
      <c r="E142" s="1">
        <v>1.4583333333333333</v>
      </c>
      <c r="F142" t="s">
        <v>219</v>
      </c>
      <c r="G142">
        <v>0</v>
      </c>
      <c r="H142">
        <v>1081.3123000000001</v>
      </c>
      <c r="I142">
        <v>2.5</v>
      </c>
      <c r="J142">
        <v>1163.79</v>
      </c>
      <c r="K142">
        <v>1.9580666999707901</v>
      </c>
      <c r="L142">
        <v>1158.79</v>
      </c>
      <c r="M142" t="s">
        <v>27</v>
      </c>
      <c r="N142">
        <v>1</v>
      </c>
      <c r="O142">
        <v>1281</v>
      </c>
      <c r="P142">
        <v>1108</v>
      </c>
      <c r="Q142">
        <v>0</v>
      </c>
      <c r="R142">
        <v>1108</v>
      </c>
    </row>
    <row r="143" spans="1:18" x14ac:dyDescent="0.3">
      <c r="A143" s="5">
        <v>45954</v>
      </c>
      <c r="B143" t="s">
        <v>223</v>
      </c>
      <c r="C143">
        <v>11</v>
      </c>
      <c r="D143">
        <v>35</v>
      </c>
      <c r="E143" s="1">
        <v>1.4583333333333333</v>
      </c>
      <c r="F143" t="s">
        <v>219</v>
      </c>
      <c r="G143">
        <v>0</v>
      </c>
      <c r="H143">
        <v>1081.3842</v>
      </c>
      <c r="I143">
        <v>2.5</v>
      </c>
      <c r="J143">
        <v>1163.79</v>
      </c>
      <c r="K143">
        <v>1.9580666999707901</v>
      </c>
      <c r="L143">
        <v>1158.79</v>
      </c>
      <c r="M143" t="s">
        <v>27</v>
      </c>
      <c r="N143">
        <v>1</v>
      </c>
      <c r="O143">
        <v>1281</v>
      </c>
      <c r="P143">
        <v>1108</v>
      </c>
      <c r="Q143">
        <v>0</v>
      </c>
      <c r="R143">
        <v>1108</v>
      </c>
    </row>
    <row r="144" spans="1:18" x14ac:dyDescent="0.3">
      <c r="A144" s="5">
        <v>45954</v>
      </c>
      <c r="B144" t="s">
        <v>223</v>
      </c>
      <c r="C144">
        <v>11</v>
      </c>
      <c r="D144">
        <v>35</v>
      </c>
      <c r="E144" s="1">
        <v>1.4583333333333333</v>
      </c>
      <c r="F144" t="s">
        <v>219</v>
      </c>
      <c r="G144">
        <v>0</v>
      </c>
      <c r="H144">
        <v>1081.3842</v>
      </c>
      <c r="I144">
        <v>2.5</v>
      </c>
      <c r="J144">
        <v>1163.79</v>
      </c>
      <c r="K144">
        <v>1.9580666999707901</v>
      </c>
      <c r="L144">
        <v>1158.79</v>
      </c>
      <c r="M144" t="s">
        <v>27</v>
      </c>
      <c r="N144">
        <v>1</v>
      </c>
      <c r="O144">
        <v>1281</v>
      </c>
      <c r="P144">
        <v>1108</v>
      </c>
      <c r="Q144">
        <v>0</v>
      </c>
      <c r="R144">
        <v>1108</v>
      </c>
    </row>
    <row r="145" spans="1:18" x14ac:dyDescent="0.3">
      <c r="A145" s="5">
        <v>45954</v>
      </c>
      <c r="B145" t="s">
        <v>223</v>
      </c>
      <c r="C145">
        <v>11</v>
      </c>
      <c r="D145">
        <v>35</v>
      </c>
      <c r="E145" s="1">
        <v>1.4583333333333333</v>
      </c>
      <c r="F145" t="s">
        <v>219</v>
      </c>
      <c r="G145">
        <v>0</v>
      </c>
      <c r="H145">
        <v>1081.3842</v>
      </c>
      <c r="I145">
        <v>2.5</v>
      </c>
      <c r="J145">
        <v>1163.79</v>
      </c>
      <c r="K145">
        <v>1.9580666999707901</v>
      </c>
      <c r="L145">
        <v>1158.79</v>
      </c>
      <c r="M145" t="s">
        <v>27</v>
      </c>
      <c r="N145">
        <v>1</v>
      </c>
      <c r="O145">
        <v>1281</v>
      </c>
      <c r="P145">
        <v>1108</v>
      </c>
      <c r="Q145">
        <v>0</v>
      </c>
      <c r="R145">
        <v>1108</v>
      </c>
    </row>
    <row r="146" spans="1:18" x14ac:dyDescent="0.3">
      <c r="A146" s="5">
        <v>45954</v>
      </c>
      <c r="B146" t="s">
        <v>223</v>
      </c>
      <c r="C146">
        <v>11</v>
      </c>
      <c r="D146">
        <v>35</v>
      </c>
      <c r="E146" s="1">
        <v>1.4583333333333333</v>
      </c>
      <c r="F146" t="s">
        <v>219</v>
      </c>
      <c r="G146">
        <v>0</v>
      </c>
      <c r="H146">
        <v>1081.3842</v>
      </c>
      <c r="I146">
        <v>2.5</v>
      </c>
      <c r="J146">
        <v>1163.79</v>
      </c>
      <c r="K146">
        <v>1.9580666999707901</v>
      </c>
      <c r="L146">
        <v>1158.79</v>
      </c>
      <c r="M146" t="s">
        <v>27</v>
      </c>
      <c r="N146">
        <v>1</v>
      </c>
      <c r="O146">
        <v>1281</v>
      </c>
      <c r="P146">
        <v>1108</v>
      </c>
      <c r="Q146">
        <v>0</v>
      </c>
      <c r="R146">
        <v>1108</v>
      </c>
    </row>
    <row r="147" spans="1:18" x14ac:dyDescent="0.3">
      <c r="A147" s="5">
        <v>45954</v>
      </c>
      <c r="B147" t="s">
        <v>223</v>
      </c>
      <c r="C147">
        <v>11</v>
      </c>
      <c r="D147">
        <v>35</v>
      </c>
      <c r="E147" s="1">
        <v>1.4583333333333333</v>
      </c>
      <c r="F147" t="s">
        <v>219</v>
      </c>
      <c r="G147">
        <v>0</v>
      </c>
      <c r="H147">
        <v>1081.3842</v>
      </c>
      <c r="I147">
        <v>2.5</v>
      </c>
      <c r="J147">
        <v>1163.79</v>
      </c>
      <c r="K147">
        <v>1.9580666999707901</v>
      </c>
      <c r="L147">
        <v>1158.79</v>
      </c>
      <c r="M147" t="s">
        <v>27</v>
      </c>
      <c r="N147">
        <v>1</v>
      </c>
      <c r="O147">
        <v>1281</v>
      </c>
      <c r="P147">
        <v>1108</v>
      </c>
      <c r="Q147">
        <v>0</v>
      </c>
      <c r="R147">
        <v>1108</v>
      </c>
    </row>
    <row r="148" spans="1:18" x14ac:dyDescent="0.3">
      <c r="A148" s="5">
        <v>45954</v>
      </c>
      <c r="B148" t="s">
        <v>224</v>
      </c>
      <c r="C148">
        <v>12</v>
      </c>
      <c r="D148">
        <v>35</v>
      </c>
      <c r="E148" s="1">
        <v>1.4583333333333333</v>
      </c>
      <c r="F148" t="s">
        <v>219</v>
      </c>
      <c r="G148">
        <v>0</v>
      </c>
      <c r="H148">
        <v>1081.3661</v>
      </c>
      <c r="I148">
        <v>2.5</v>
      </c>
      <c r="J148">
        <v>1163.79</v>
      </c>
      <c r="K148">
        <v>1.9580666999707901</v>
      </c>
      <c r="L148">
        <v>1158.79</v>
      </c>
      <c r="M148" t="s">
        <v>27</v>
      </c>
      <c r="N148">
        <v>1</v>
      </c>
      <c r="O148">
        <v>1281</v>
      </c>
      <c r="P148">
        <v>1108</v>
      </c>
      <c r="Q148">
        <v>0</v>
      </c>
      <c r="R148">
        <v>1108</v>
      </c>
    </row>
    <row r="149" spans="1:18" x14ac:dyDescent="0.3">
      <c r="A149" s="5">
        <v>45954</v>
      </c>
      <c r="B149" t="s">
        <v>224</v>
      </c>
      <c r="C149">
        <v>12</v>
      </c>
      <c r="D149">
        <v>35</v>
      </c>
      <c r="E149" s="1">
        <v>1.4583333333333333</v>
      </c>
      <c r="F149" t="s">
        <v>219</v>
      </c>
      <c r="G149">
        <v>0</v>
      </c>
      <c r="H149">
        <v>1081.3661</v>
      </c>
      <c r="I149">
        <v>2.5</v>
      </c>
      <c r="J149">
        <v>1163.79</v>
      </c>
      <c r="K149">
        <v>1.9580666999707901</v>
      </c>
      <c r="L149">
        <v>1158.79</v>
      </c>
      <c r="M149" t="s">
        <v>27</v>
      </c>
      <c r="N149">
        <v>1</v>
      </c>
      <c r="O149">
        <v>1281</v>
      </c>
      <c r="P149">
        <v>1108</v>
      </c>
      <c r="Q149">
        <v>0</v>
      </c>
      <c r="R149">
        <v>1108</v>
      </c>
    </row>
    <row r="150" spans="1:18" x14ac:dyDescent="0.3">
      <c r="A150" s="5">
        <v>45954</v>
      </c>
      <c r="B150" t="s">
        <v>224</v>
      </c>
      <c r="C150">
        <v>12</v>
      </c>
      <c r="D150">
        <v>35</v>
      </c>
      <c r="E150" s="1">
        <v>1.4583333333333333</v>
      </c>
      <c r="F150" t="s">
        <v>219</v>
      </c>
      <c r="G150">
        <v>0</v>
      </c>
      <c r="H150">
        <v>1081.3661</v>
      </c>
      <c r="I150">
        <v>2.5</v>
      </c>
      <c r="J150">
        <v>1163.79</v>
      </c>
      <c r="K150">
        <v>1.9580666999707901</v>
      </c>
      <c r="L150">
        <v>1158.79</v>
      </c>
      <c r="M150" t="s">
        <v>27</v>
      </c>
      <c r="N150">
        <v>1</v>
      </c>
      <c r="O150">
        <v>1281</v>
      </c>
      <c r="P150">
        <v>1108</v>
      </c>
      <c r="Q150">
        <v>0</v>
      </c>
      <c r="R150">
        <v>1108</v>
      </c>
    </row>
    <row r="151" spans="1:18" x14ac:dyDescent="0.3">
      <c r="A151" s="5">
        <v>45954</v>
      </c>
      <c r="B151" t="s">
        <v>224</v>
      </c>
      <c r="C151">
        <v>12</v>
      </c>
      <c r="D151">
        <v>35</v>
      </c>
      <c r="E151" s="1">
        <v>1.4583333333333333</v>
      </c>
      <c r="F151" t="s">
        <v>219</v>
      </c>
      <c r="G151">
        <v>0</v>
      </c>
      <c r="H151">
        <v>1081.3661</v>
      </c>
      <c r="I151">
        <v>2.5</v>
      </c>
      <c r="J151">
        <v>1163.79</v>
      </c>
      <c r="K151">
        <v>1.9580666999707901</v>
      </c>
      <c r="L151">
        <v>1158.79</v>
      </c>
      <c r="M151" t="s">
        <v>27</v>
      </c>
      <c r="N151">
        <v>1</v>
      </c>
      <c r="O151">
        <v>1281</v>
      </c>
      <c r="P151">
        <v>1108</v>
      </c>
      <c r="Q151">
        <v>0</v>
      </c>
      <c r="R151">
        <v>1108</v>
      </c>
    </row>
    <row r="152" spans="1:18" x14ac:dyDescent="0.3">
      <c r="A152" s="5">
        <v>45954</v>
      </c>
      <c r="B152" t="s">
        <v>224</v>
      </c>
      <c r="C152">
        <v>12</v>
      </c>
      <c r="D152">
        <v>35</v>
      </c>
      <c r="E152" s="1">
        <v>1.4583333333333333</v>
      </c>
      <c r="F152" t="s">
        <v>219</v>
      </c>
      <c r="G152">
        <v>0</v>
      </c>
      <c r="H152">
        <v>1081.3661</v>
      </c>
      <c r="I152">
        <v>2.5</v>
      </c>
      <c r="J152">
        <v>1163.79</v>
      </c>
      <c r="K152">
        <v>1.9580666999707901</v>
      </c>
      <c r="L152">
        <v>1158.79</v>
      </c>
      <c r="M152" t="s">
        <v>27</v>
      </c>
      <c r="N152">
        <v>1</v>
      </c>
      <c r="O152">
        <v>1281</v>
      </c>
      <c r="P152">
        <v>1108</v>
      </c>
      <c r="Q152">
        <v>0</v>
      </c>
      <c r="R152">
        <v>1108</v>
      </c>
    </row>
    <row r="153" spans="1:18" x14ac:dyDescent="0.3">
      <c r="A153" s="5">
        <v>45954</v>
      </c>
      <c r="B153" t="s">
        <v>225</v>
      </c>
      <c r="C153">
        <v>23</v>
      </c>
      <c r="D153">
        <v>35</v>
      </c>
      <c r="E153" s="1">
        <v>1.4583333333333333</v>
      </c>
      <c r="F153" t="s">
        <v>219</v>
      </c>
      <c r="G153">
        <v>0</v>
      </c>
      <c r="H153">
        <v>1081.1686</v>
      </c>
      <c r="I153">
        <v>2.5</v>
      </c>
      <c r="J153">
        <v>1163.79</v>
      </c>
      <c r="K153">
        <v>1.9580666999707901</v>
      </c>
      <c r="L153">
        <v>1158.79</v>
      </c>
      <c r="M153" t="s">
        <v>27</v>
      </c>
      <c r="N153">
        <v>1</v>
      </c>
      <c r="O153">
        <v>1281</v>
      </c>
      <c r="P153">
        <v>1108</v>
      </c>
      <c r="Q153">
        <v>0</v>
      </c>
      <c r="R153">
        <v>1108</v>
      </c>
    </row>
    <row r="154" spans="1:18" x14ac:dyDescent="0.3">
      <c r="A154" s="5">
        <v>45954</v>
      </c>
      <c r="B154" t="s">
        <v>225</v>
      </c>
      <c r="C154">
        <v>23</v>
      </c>
      <c r="D154">
        <v>35</v>
      </c>
      <c r="E154" s="1">
        <v>1.4583333333333333</v>
      </c>
      <c r="F154" t="s">
        <v>219</v>
      </c>
      <c r="G154">
        <v>0</v>
      </c>
      <c r="H154">
        <v>1081.1686</v>
      </c>
      <c r="I154">
        <v>2.5</v>
      </c>
      <c r="J154">
        <v>1163.79</v>
      </c>
      <c r="K154">
        <v>1.9580666999707901</v>
      </c>
      <c r="L154">
        <v>1158.79</v>
      </c>
      <c r="M154" t="s">
        <v>27</v>
      </c>
      <c r="N154">
        <v>1</v>
      </c>
      <c r="O154">
        <v>1281</v>
      </c>
      <c r="P154">
        <v>1108</v>
      </c>
      <c r="Q154">
        <v>0</v>
      </c>
      <c r="R154">
        <v>1108</v>
      </c>
    </row>
    <row r="155" spans="1:18" x14ac:dyDescent="0.3">
      <c r="A155" s="5">
        <v>45954</v>
      </c>
      <c r="B155" t="s">
        <v>225</v>
      </c>
      <c r="C155">
        <v>23</v>
      </c>
      <c r="D155">
        <v>35</v>
      </c>
      <c r="E155" s="1">
        <v>1.4583333333333333</v>
      </c>
      <c r="F155" t="s">
        <v>219</v>
      </c>
      <c r="G155">
        <v>0</v>
      </c>
      <c r="H155">
        <v>1081.1686</v>
      </c>
      <c r="I155">
        <v>2.5</v>
      </c>
      <c r="J155">
        <v>1163.79</v>
      </c>
      <c r="K155">
        <v>1.9580666999707901</v>
      </c>
      <c r="L155">
        <v>1158.79</v>
      </c>
      <c r="M155" t="s">
        <v>27</v>
      </c>
      <c r="N155">
        <v>1</v>
      </c>
      <c r="O155">
        <v>1281</v>
      </c>
      <c r="P155">
        <v>1108</v>
      </c>
      <c r="Q155">
        <v>0</v>
      </c>
      <c r="R155">
        <v>1108</v>
      </c>
    </row>
    <row r="156" spans="1:18" x14ac:dyDescent="0.3">
      <c r="A156" s="5">
        <v>45954</v>
      </c>
      <c r="B156" t="s">
        <v>225</v>
      </c>
      <c r="C156">
        <v>23</v>
      </c>
      <c r="D156">
        <v>35</v>
      </c>
      <c r="E156" s="1">
        <v>1.4583333333333333</v>
      </c>
      <c r="F156" t="s">
        <v>219</v>
      </c>
      <c r="G156">
        <v>0</v>
      </c>
      <c r="H156">
        <v>1081.1686</v>
      </c>
      <c r="I156">
        <v>2.5</v>
      </c>
      <c r="J156">
        <v>1163.79</v>
      </c>
      <c r="K156">
        <v>1.9580666999707901</v>
      </c>
      <c r="L156">
        <v>1158.79</v>
      </c>
      <c r="M156" t="s">
        <v>27</v>
      </c>
      <c r="N156">
        <v>1</v>
      </c>
      <c r="O156">
        <v>1281</v>
      </c>
      <c r="P156">
        <v>1108</v>
      </c>
      <c r="Q156">
        <v>0</v>
      </c>
      <c r="R156">
        <v>1108</v>
      </c>
    </row>
    <row r="157" spans="1:18" x14ac:dyDescent="0.3">
      <c r="A157" s="5">
        <v>45954</v>
      </c>
      <c r="B157" t="s">
        <v>225</v>
      </c>
      <c r="C157">
        <v>23</v>
      </c>
      <c r="D157">
        <v>35</v>
      </c>
      <c r="E157" s="1">
        <v>1.4583333333333333</v>
      </c>
      <c r="F157" t="s">
        <v>219</v>
      </c>
      <c r="G157">
        <v>0</v>
      </c>
      <c r="H157">
        <v>1081.1686</v>
      </c>
      <c r="I157">
        <v>2.5</v>
      </c>
      <c r="J157">
        <v>1163.79</v>
      </c>
      <c r="K157">
        <v>1.9580666999707901</v>
      </c>
      <c r="L157">
        <v>1158.79</v>
      </c>
      <c r="M157" t="s">
        <v>27</v>
      </c>
      <c r="N157">
        <v>1</v>
      </c>
      <c r="O157">
        <v>1281</v>
      </c>
      <c r="P157">
        <v>1108</v>
      </c>
      <c r="Q157">
        <v>0</v>
      </c>
      <c r="R157">
        <v>1108</v>
      </c>
    </row>
    <row r="158" spans="1:18" x14ac:dyDescent="0.3">
      <c r="A158" s="5">
        <v>45954</v>
      </c>
      <c r="B158" t="s">
        <v>226</v>
      </c>
      <c r="C158">
        <v>17</v>
      </c>
      <c r="D158">
        <v>36</v>
      </c>
      <c r="E158" s="1">
        <v>1.9652777777777777</v>
      </c>
      <c r="F158" t="s">
        <v>227</v>
      </c>
      <c r="G158">
        <v>0</v>
      </c>
      <c r="H158">
        <v>1081.2252000000001</v>
      </c>
      <c r="I158">
        <v>2.5</v>
      </c>
      <c r="J158">
        <v>1163.79</v>
      </c>
      <c r="K158">
        <v>1.9580666999707901</v>
      </c>
      <c r="L158">
        <v>1142.5</v>
      </c>
      <c r="M158" t="s">
        <v>27</v>
      </c>
      <c r="N158">
        <v>1</v>
      </c>
      <c r="O158">
        <v>1281</v>
      </c>
      <c r="P158">
        <v>1108</v>
      </c>
      <c r="Q158">
        <v>0</v>
      </c>
      <c r="R158">
        <v>1108</v>
      </c>
    </row>
    <row r="159" spans="1:18" x14ac:dyDescent="0.3">
      <c r="A159" s="5">
        <v>45954</v>
      </c>
      <c r="B159" t="s">
        <v>228</v>
      </c>
      <c r="C159">
        <v>21</v>
      </c>
      <c r="D159">
        <v>36</v>
      </c>
      <c r="E159" s="1">
        <v>1.9791666666666665</v>
      </c>
      <c r="F159" t="s">
        <v>229</v>
      </c>
      <c r="G159">
        <v>4</v>
      </c>
      <c r="H159">
        <v>1080.9863</v>
      </c>
      <c r="I159">
        <v>7</v>
      </c>
      <c r="J159">
        <v>1163.79</v>
      </c>
      <c r="K159">
        <v>5.4825867599182097</v>
      </c>
      <c r="L159">
        <v>1158.79</v>
      </c>
      <c r="M159" t="s">
        <v>27</v>
      </c>
      <c r="N159">
        <v>1</v>
      </c>
      <c r="O159">
        <v>1330</v>
      </c>
      <c r="P159">
        <v>1157</v>
      </c>
      <c r="Q159">
        <v>0</v>
      </c>
      <c r="R159">
        <v>1157</v>
      </c>
    </row>
    <row r="160" spans="1:18" x14ac:dyDescent="0.3">
      <c r="A160" s="5">
        <v>45954</v>
      </c>
      <c r="B160" t="s">
        <v>230</v>
      </c>
      <c r="C160">
        <v>24</v>
      </c>
      <c r="D160">
        <v>36</v>
      </c>
      <c r="E160" s="1">
        <v>1.9791666666666665</v>
      </c>
      <c r="F160" t="s">
        <v>231</v>
      </c>
      <c r="G160">
        <v>5</v>
      </c>
      <c r="H160">
        <v>1080.8022000000001</v>
      </c>
      <c r="I160">
        <v>0</v>
      </c>
      <c r="J160">
        <v>1163.79</v>
      </c>
      <c r="K160">
        <v>0</v>
      </c>
      <c r="L160">
        <v>975.86</v>
      </c>
      <c r="M160" t="s">
        <v>44</v>
      </c>
      <c r="N160">
        <v>1</v>
      </c>
      <c r="O160">
        <v>1254</v>
      </c>
      <c r="P160">
        <v>1081</v>
      </c>
      <c r="Q160">
        <v>0</v>
      </c>
      <c r="R160">
        <v>1081</v>
      </c>
    </row>
    <row r="161" spans="1:18" x14ac:dyDescent="0.3">
      <c r="A161" s="5">
        <v>45954</v>
      </c>
      <c r="B161" t="s">
        <v>232</v>
      </c>
      <c r="C161">
        <v>27</v>
      </c>
      <c r="D161">
        <v>36</v>
      </c>
      <c r="E161" s="1">
        <v>1.9791666666666665</v>
      </c>
      <c r="F161" t="s">
        <v>233</v>
      </c>
      <c r="G161">
        <v>1</v>
      </c>
      <c r="H161">
        <v>1080.7483999999999</v>
      </c>
      <c r="I161">
        <v>8.5</v>
      </c>
      <c r="J161">
        <v>1163.79</v>
      </c>
      <c r="K161">
        <v>6.6574267799006801</v>
      </c>
      <c r="L161">
        <v>1219.83</v>
      </c>
      <c r="M161" t="s">
        <v>27</v>
      </c>
      <c r="N161">
        <v>1</v>
      </c>
      <c r="O161">
        <v>1346</v>
      </c>
      <c r="P161">
        <v>1173</v>
      </c>
      <c r="Q161">
        <v>0</v>
      </c>
      <c r="R161">
        <v>1173</v>
      </c>
    </row>
    <row r="162" spans="1:18" x14ac:dyDescent="0.3">
      <c r="A162" s="5">
        <v>45954</v>
      </c>
      <c r="B162" t="s">
        <v>234</v>
      </c>
      <c r="C162">
        <v>25</v>
      </c>
      <c r="D162">
        <v>36</v>
      </c>
      <c r="E162" s="1">
        <v>1.9652777777777777</v>
      </c>
      <c r="F162" t="s">
        <v>235</v>
      </c>
      <c r="G162">
        <v>1</v>
      </c>
      <c r="H162">
        <v>1080.7843</v>
      </c>
      <c r="I162">
        <v>8.5</v>
      </c>
      <c r="J162">
        <v>1163.79</v>
      </c>
      <c r="K162">
        <v>6.6574267799006801</v>
      </c>
      <c r="L162">
        <v>1219.83</v>
      </c>
      <c r="M162" t="s">
        <v>27</v>
      </c>
      <c r="N162">
        <v>1</v>
      </c>
      <c r="O162">
        <v>1346</v>
      </c>
      <c r="P162">
        <v>1173</v>
      </c>
      <c r="Q162">
        <v>0</v>
      </c>
      <c r="R162">
        <v>1173</v>
      </c>
    </row>
    <row r="163" spans="1:18" x14ac:dyDescent="0.3">
      <c r="A163" s="5">
        <v>45954</v>
      </c>
      <c r="B163" t="s">
        <v>236</v>
      </c>
      <c r="C163">
        <v>5</v>
      </c>
      <c r="D163">
        <v>36</v>
      </c>
      <c r="E163" s="1">
        <v>1.9791666666666665</v>
      </c>
      <c r="F163" t="s">
        <v>237</v>
      </c>
      <c r="G163">
        <v>1</v>
      </c>
      <c r="H163">
        <v>1081.2620999999999</v>
      </c>
      <c r="I163">
        <v>8.5</v>
      </c>
      <c r="J163">
        <v>1163.79</v>
      </c>
      <c r="K163">
        <v>6.6574267799006801</v>
      </c>
      <c r="L163">
        <v>1219.83</v>
      </c>
      <c r="M163" t="s">
        <v>27</v>
      </c>
      <c r="N163">
        <v>1</v>
      </c>
      <c r="O163">
        <v>1346</v>
      </c>
      <c r="P163">
        <v>1173</v>
      </c>
      <c r="Q163">
        <v>0</v>
      </c>
      <c r="R163">
        <v>1173</v>
      </c>
    </row>
    <row r="164" spans="1:18" x14ac:dyDescent="0.3">
      <c r="A164" s="5">
        <v>45954</v>
      </c>
      <c r="B164" t="s">
        <v>238</v>
      </c>
      <c r="C164">
        <v>6</v>
      </c>
      <c r="D164">
        <v>36</v>
      </c>
      <c r="E164" s="1">
        <v>1.9791666666666665</v>
      </c>
      <c r="F164" t="s">
        <v>239</v>
      </c>
      <c r="G164">
        <v>1</v>
      </c>
      <c r="H164">
        <v>1081.2440999999999</v>
      </c>
      <c r="I164">
        <v>8.5</v>
      </c>
      <c r="J164">
        <v>1163.79</v>
      </c>
      <c r="K164">
        <v>6.6574267799006801</v>
      </c>
      <c r="L164">
        <v>1219.83</v>
      </c>
      <c r="M164" t="s">
        <v>27</v>
      </c>
      <c r="N164">
        <v>1</v>
      </c>
      <c r="O164">
        <v>1346</v>
      </c>
      <c r="P164">
        <v>1173</v>
      </c>
      <c r="Q164">
        <v>0</v>
      </c>
      <c r="R164">
        <v>1173</v>
      </c>
    </row>
    <row r="165" spans="1:18" x14ac:dyDescent="0.3">
      <c r="A165" s="5">
        <v>45954</v>
      </c>
      <c r="B165" t="s">
        <v>240</v>
      </c>
      <c r="C165">
        <v>8</v>
      </c>
      <c r="D165">
        <v>36</v>
      </c>
      <c r="E165" s="1">
        <v>1.9791666666666665</v>
      </c>
      <c r="F165" t="s">
        <v>241</v>
      </c>
      <c r="G165">
        <v>1</v>
      </c>
      <c r="H165">
        <v>1081.2080000000001</v>
      </c>
      <c r="I165">
        <v>8.5</v>
      </c>
      <c r="J165">
        <v>1163.79</v>
      </c>
      <c r="K165">
        <v>6.6574267799006801</v>
      </c>
      <c r="L165">
        <v>1219.83</v>
      </c>
      <c r="M165" t="s">
        <v>27</v>
      </c>
      <c r="N165">
        <v>1</v>
      </c>
      <c r="O165">
        <v>1346</v>
      </c>
      <c r="P165">
        <v>1173</v>
      </c>
      <c r="Q165">
        <v>0</v>
      </c>
      <c r="R165">
        <v>1173</v>
      </c>
    </row>
    <row r="166" spans="1:18" x14ac:dyDescent="0.3">
      <c r="A166" s="5">
        <v>45954</v>
      </c>
      <c r="B166" t="s">
        <v>242</v>
      </c>
      <c r="C166">
        <v>4</v>
      </c>
      <c r="D166">
        <v>36</v>
      </c>
      <c r="E166" s="1">
        <v>1.25</v>
      </c>
      <c r="F166" t="s">
        <v>243</v>
      </c>
      <c r="G166">
        <v>0</v>
      </c>
      <c r="H166">
        <v>1081.3217999999999</v>
      </c>
      <c r="I166">
        <v>2.5</v>
      </c>
      <c r="J166">
        <v>1163.79</v>
      </c>
      <c r="K166">
        <v>1.9580666999707901</v>
      </c>
      <c r="L166">
        <v>1142.5</v>
      </c>
      <c r="M166" t="s">
        <v>27</v>
      </c>
      <c r="N166">
        <v>1</v>
      </c>
      <c r="O166">
        <v>1281</v>
      </c>
      <c r="P166">
        <v>1108</v>
      </c>
      <c r="Q166">
        <v>0</v>
      </c>
      <c r="R166">
        <v>1108</v>
      </c>
    </row>
    <row r="167" spans="1:18" x14ac:dyDescent="0.3">
      <c r="A167" s="5">
        <v>45954</v>
      </c>
      <c r="B167" t="s">
        <v>244</v>
      </c>
      <c r="C167">
        <v>18</v>
      </c>
      <c r="D167">
        <v>36</v>
      </c>
      <c r="E167" s="1">
        <v>1.9652777777777777</v>
      </c>
      <c r="F167" t="s">
        <v>245</v>
      </c>
      <c r="G167">
        <v>0</v>
      </c>
      <c r="H167">
        <v>1080.9733000000001</v>
      </c>
      <c r="I167">
        <v>2.5</v>
      </c>
      <c r="J167">
        <v>1163.79</v>
      </c>
      <c r="K167">
        <v>1.9580666999707901</v>
      </c>
      <c r="L167">
        <v>1142.5</v>
      </c>
      <c r="M167" t="s">
        <v>27</v>
      </c>
      <c r="N167">
        <v>1</v>
      </c>
      <c r="O167">
        <v>1281</v>
      </c>
      <c r="P167">
        <v>1108</v>
      </c>
      <c r="Q167">
        <v>0</v>
      </c>
      <c r="R167">
        <v>1108</v>
      </c>
    </row>
    <row r="168" spans="1:18" x14ac:dyDescent="0.3">
      <c r="A168" s="5">
        <v>45954</v>
      </c>
      <c r="B168" t="s">
        <v>246</v>
      </c>
      <c r="C168">
        <v>20</v>
      </c>
      <c r="D168">
        <v>36</v>
      </c>
      <c r="E168" s="1">
        <v>1.9791666666666665</v>
      </c>
      <c r="F168" t="s">
        <v>247</v>
      </c>
      <c r="G168">
        <v>1</v>
      </c>
      <c r="H168">
        <v>1080.9924000000001</v>
      </c>
      <c r="I168">
        <v>8.5</v>
      </c>
      <c r="J168">
        <v>1163.79</v>
      </c>
      <c r="K168">
        <v>6.6574267799006801</v>
      </c>
      <c r="L168">
        <v>1219.83</v>
      </c>
      <c r="M168" t="s">
        <v>27</v>
      </c>
      <c r="N168">
        <v>1</v>
      </c>
      <c r="O168">
        <v>1346</v>
      </c>
      <c r="P168">
        <v>1173</v>
      </c>
      <c r="Q168">
        <v>0</v>
      </c>
      <c r="R168">
        <v>1173</v>
      </c>
    </row>
    <row r="169" spans="1:18" x14ac:dyDescent="0.3">
      <c r="A169" s="5">
        <v>45954</v>
      </c>
      <c r="B169" t="s">
        <v>248</v>
      </c>
      <c r="C169">
        <v>12</v>
      </c>
      <c r="D169">
        <v>36</v>
      </c>
      <c r="E169" s="1">
        <v>1.9993055555555554</v>
      </c>
      <c r="F169" t="s">
        <v>249</v>
      </c>
      <c r="G169">
        <v>5</v>
      </c>
      <c r="H169">
        <v>1081.1473000000001</v>
      </c>
      <c r="I169">
        <v>0</v>
      </c>
      <c r="J169">
        <v>1163.79</v>
      </c>
      <c r="K169">
        <v>0</v>
      </c>
      <c r="L169">
        <v>1158.79</v>
      </c>
      <c r="M169" t="s">
        <v>27</v>
      </c>
      <c r="N169">
        <v>1</v>
      </c>
      <c r="O169">
        <v>1254</v>
      </c>
      <c r="P169">
        <v>1081</v>
      </c>
      <c r="Q169">
        <v>0</v>
      </c>
      <c r="R169">
        <v>1081</v>
      </c>
    </row>
    <row r="170" spans="1:18" x14ac:dyDescent="0.3">
      <c r="A170" s="5">
        <v>45954</v>
      </c>
      <c r="B170" t="s">
        <v>250</v>
      </c>
      <c r="C170">
        <v>12</v>
      </c>
      <c r="D170">
        <v>36</v>
      </c>
      <c r="E170" s="1">
        <v>1.0833333333333333</v>
      </c>
      <c r="F170" t="s">
        <v>251</v>
      </c>
      <c r="G170">
        <v>0</v>
      </c>
      <c r="H170">
        <v>1081.3125</v>
      </c>
      <c r="I170">
        <v>2.5</v>
      </c>
      <c r="J170">
        <v>1163.79</v>
      </c>
      <c r="K170">
        <v>1.9580666999707901</v>
      </c>
      <c r="L170">
        <v>1142.5</v>
      </c>
      <c r="M170" t="s">
        <v>27</v>
      </c>
      <c r="N170">
        <v>1</v>
      </c>
      <c r="O170">
        <v>1281</v>
      </c>
      <c r="P170">
        <v>1108</v>
      </c>
      <c r="Q170">
        <v>0</v>
      </c>
      <c r="R170">
        <v>1108</v>
      </c>
    </row>
    <row r="171" spans="1:18" x14ac:dyDescent="0.3">
      <c r="A171" s="5">
        <v>45954</v>
      </c>
      <c r="B171" t="s">
        <v>252</v>
      </c>
      <c r="C171">
        <v>11</v>
      </c>
      <c r="D171">
        <v>36</v>
      </c>
      <c r="E171" s="1">
        <v>1.0833333333333333</v>
      </c>
      <c r="F171" t="s">
        <v>253</v>
      </c>
      <c r="G171">
        <v>0</v>
      </c>
      <c r="H171">
        <v>1081.3304000000001</v>
      </c>
      <c r="I171">
        <v>2.5</v>
      </c>
      <c r="J171">
        <v>1163.79</v>
      </c>
      <c r="K171">
        <v>1.9580666999707901</v>
      </c>
      <c r="L171">
        <v>1142.5</v>
      </c>
      <c r="M171" t="s">
        <v>27</v>
      </c>
      <c r="N171">
        <v>1</v>
      </c>
      <c r="O171">
        <v>1281</v>
      </c>
      <c r="P171">
        <v>1108</v>
      </c>
      <c r="Q171">
        <v>0</v>
      </c>
      <c r="R171">
        <v>1108</v>
      </c>
    </row>
    <row r="172" spans="1:18" x14ac:dyDescent="0.3">
      <c r="A172" s="5">
        <v>45954</v>
      </c>
      <c r="B172" t="s">
        <v>254</v>
      </c>
      <c r="C172">
        <v>26</v>
      </c>
      <c r="D172">
        <v>36</v>
      </c>
      <c r="E172" s="1">
        <v>1.9791666666666665</v>
      </c>
      <c r="F172" t="s">
        <v>255</v>
      </c>
      <c r="G172">
        <v>1</v>
      </c>
      <c r="H172">
        <v>1080.7659000000001</v>
      </c>
      <c r="I172">
        <v>8.5</v>
      </c>
      <c r="J172">
        <v>1163.79</v>
      </c>
      <c r="K172">
        <v>6.6574267799006801</v>
      </c>
      <c r="L172">
        <v>1219.83</v>
      </c>
      <c r="M172" t="s">
        <v>27</v>
      </c>
      <c r="N172">
        <v>1</v>
      </c>
      <c r="O172">
        <v>1346</v>
      </c>
      <c r="P172">
        <v>1173</v>
      </c>
      <c r="Q172">
        <v>0</v>
      </c>
      <c r="R172">
        <v>1173</v>
      </c>
    </row>
    <row r="173" spans="1:18" x14ac:dyDescent="0.3">
      <c r="A173" s="5">
        <v>45954</v>
      </c>
      <c r="B173" t="s">
        <v>196</v>
      </c>
      <c r="C173">
        <v>16</v>
      </c>
      <c r="D173">
        <v>36</v>
      </c>
      <c r="E173" s="1">
        <v>1.0833333333333333</v>
      </c>
      <c r="F173" t="s">
        <v>197</v>
      </c>
      <c r="G173">
        <v>5</v>
      </c>
      <c r="H173">
        <v>1081.2281</v>
      </c>
      <c r="I173">
        <v>0</v>
      </c>
      <c r="J173">
        <v>1163.79</v>
      </c>
      <c r="K173">
        <v>0</v>
      </c>
      <c r="L173">
        <v>1158.79</v>
      </c>
      <c r="M173" t="s">
        <v>27</v>
      </c>
      <c r="N173">
        <v>1</v>
      </c>
      <c r="O173">
        <v>1254</v>
      </c>
      <c r="P173">
        <v>1081</v>
      </c>
      <c r="Q173">
        <v>0</v>
      </c>
      <c r="R173">
        <v>1081</v>
      </c>
    </row>
    <row r="174" spans="1:18" x14ac:dyDescent="0.3">
      <c r="A174" s="5">
        <v>45954</v>
      </c>
      <c r="B174" t="s">
        <v>256</v>
      </c>
      <c r="C174">
        <v>10</v>
      </c>
      <c r="D174">
        <v>36</v>
      </c>
      <c r="E174" s="1">
        <v>1.0833333333333333</v>
      </c>
      <c r="F174" t="s">
        <v>257</v>
      </c>
      <c r="G174">
        <v>5</v>
      </c>
      <c r="H174">
        <v>1081.3484000000001</v>
      </c>
      <c r="I174">
        <v>0</v>
      </c>
      <c r="J174">
        <v>1163.79</v>
      </c>
      <c r="K174">
        <v>0</v>
      </c>
      <c r="L174">
        <v>1142.5</v>
      </c>
      <c r="M174" t="s">
        <v>27</v>
      </c>
      <c r="N174">
        <v>1</v>
      </c>
      <c r="O174">
        <v>1254</v>
      </c>
      <c r="P174">
        <v>1081</v>
      </c>
      <c r="Q174">
        <v>0</v>
      </c>
      <c r="R174">
        <v>1081</v>
      </c>
    </row>
    <row r="175" spans="1:18" x14ac:dyDescent="0.3">
      <c r="A175" s="5">
        <v>45954</v>
      </c>
      <c r="B175" t="s">
        <v>256</v>
      </c>
      <c r="C175">
        <v>10</v>
      </c>
      <c r="D175">
        <v>36</v>
      </c>
      <c r="E175" s="1">
        <v>1.0833333333333333</v>
      </c>
      <c r="F175" t="s">
        <v>257</v>
      </c>
      <c r="G175">
        <v>5</v>
      </c>
      <c r="H175">
        <v>1081.3484000000001</v>
      </c>
      <c r="I175">
        <v>0</v>
      </c>
      <c r="J175">
        <v>1163.79</v>
      </c>
      <c r="K175">
        <v>0</v>
      </c>
      <c r="L175">
        <v>1142.5</v>
      </c>
      <c r="M175" t="s">
        <v>27</v>
      </c>
      <c r="N175">
        <v>1</v>
      </c>
      <c r="O175">
        <v>1254</v>
      </c>
      <c r="P175">
        <v>1081</v>
      </c>
      <c r="Q175">
        <v>0</v>
      </c>
      <c r="R175">
        <v>1081</v>
      </c>
    </row>
    <row r="176" spans="1:18" x14ac:dyDescent="0.3">
      <c r="A176" s="5">
        <v>45954</v>
      </c>
      <c r="B176" t="s">
        <v>258</v>
      </c>
      <c r="C176">
        <v>7</v>
      </c>
      <c r="D176">
        <v>36</v>
      </c>
      <c r="E176" s="1">
        <v>1.0833333333333333</v>
      </c>
      <c r="F176" t="s">
        <v>257</v>
      </c>
      <c r="G176">
        <v>5</v>
      </c>
      <c r="H176">
        <v>1081.4023</v>
      </c>
      <c r="I176">
        <v>0</v>
      </c>
      <c r="J176">
        <v>1163.79</v>
      </c>
      <c r="K176">
        <v>0</v>
      </c>
      <c r="L176">
        <v>1142.5</v>
      </c>
      <c r="M176" t="s">
        <v>27</v>
      </c>
      <c r="N176">
        <v>1</v>
      </c>
      <c r="O176">
        <v>1254</v>
      </c>
      <c r="P176">
        <v>1081</v>
      </c>
      <c r="Q176">
        <v>0</v>
      </c>
      <c r="R176">
        <v>1081</v>
      </c>
    </row>
    <row r="177" spans="1:18" x14ac:dyDescent="0.3">
      <c r="A177" s="5">
        <v>45954</v>
      </c>
      <c r="B177" t="s">
        <v>258</v>
      </c>
      <c r="C177">
        <v>7</v>
      </c>
      <c r="D177">
        <v>36</v>
      </c>
      <c r="E177" s="1">
        <v>1.0833333333333333</v>
      </c>
      <c r="F177" t="s">
        <v>257</v>
      </c>
      <c r="G177">
        <v>5</v>
      </c>
      <c r="H177">
        <v>1081.4023</v>
      </c>
      <c r="I177">
        <v>0</v>
      </c>
      <c r="J177">
        <v>1163.79</v>
      </c>
      <c r="K177">
        <v>0</v>
      </c>
      <c r="L177">
        <v>1142.5</v>
      </c>
      <c r="M177" t="s">
        <v>27</v>
      </c>
      <c r="N177">
        <v>1</v>
      </c>
      <c r="O177">
        <v>1254</v>
      </c>
      <c r="P177">
        <v>1081</v>
      </c>
      <c r="Q177">
        <v>0</v>
      </c>
      <c r="R177">
        <v>1081</v>
      </c>
    </row>
    <row r="178" spans="1:18" x14ac:dyDescent="0.3">
      <c r="A178" s="5">
        <v>45954</v>
      </c>
      <c r="B178" t="s">
        <v>259</v>
      </c>
      <c r="C178">
        <v>20</v>
      </c>
      <c r="D178">
        <v>36</v>
      </c>
      <c r="E178" s="1">
        <v>1.9993055555555554</v>
      </c>
      <c r="F178" t="s">
        <v>260</v>
      </c>
      <c r="G178">
        <v>1</v>
      </c>
      <c r="H178">
        <v>1080.9924000000001</v>
      </c>
      <c r="I178">
        <v>8.5</v>
      </c>
      <c r="J178">
        <v>1163.79</v>
      </c>
      <c r="K178">
        <v>6.6574267799006801</v>
      </c>
      <c r="L178">
        <v>1219.83</v>
      </c>
      <c r="M178" t="s">
        <v>27</v>
      </c>
      <c r="N178">
        <v>1</v>
      </c>
      <c r="O178">
        <v>1346</v>
      </c>
      <c r="P178">
        <v>1173</v>
      </c>
      <c r="Q178">
        <v>0</v>
      </c>
      <c r="R178">
        <v>1173</v>
      </c>
    </row>
    <row r="179" spans="1:18" x14ac:dyDescent="0.3">
      <c r="A179" s="5">
        <v>45955</v>
      </c>
      <c r="B179" t="s">
        <v>261</v>
      </c>
      <c r="C179">
        <v>11</v>
      </c>
      <c r="D179">
        <v>36</v>
      </c>
      <c r="E179" s="1">
        <v>1.9993055555555554</v>
      </c>
      <c r="F179" t="s">
        <v>262</v>
      </c>
      <c r="G179">
        <v>1</v>
      </c>
      <c r="H179">
        <v>1081.1537000000001</v>
      </c>
      <c r="I179">
        <v>8.5</v>
      </c>
      <c r="J179">
        <v>1163.79</v>
      </c>
      <c r="K179">
        <v>6.6574267799006801</v>
      </c>
      <c r="L179">
        <v>1202.5899999999999</v>
      </c>
      <c r="M179" t="s">
        <v>27</v>
      </c>
      <c r="N179">
        <v>1</v>
      </c>
      <c r="O179">
        <v>1346</v>
      </c>
      <c r="P179">
        <v>1173</v>
      </c>
      <c r="Q179">
        <v>0</v>
      </c>
      <c r="R179">
        <v>1173</v>
      </c>
    </row>
    <row r="180" spans="1:18" x14ac:dyDescent="0.3">
      <c r="A180" s="5">
        <v>45955</v>
      </c>
      <c r="B180" t="s">
        <v>263</v>
      </c>
      <c r="C180">
        <v>14</v>
      </c>
      <c r="D180">
        <v>36</v>
      </c>
      <c r="E180" s="1">
        <v>1.9993055555555554</v>
      </c>
      <c r="F180" t="s">
        <v>264</v>
      </c>
      <c r="G180">
        <v>1</v>
      </c>
      <c r="H180">
        <v>1081.0997</v>
      </c>
      <c r="I180">
        <v>8.5</v>
      </c>
      <c r="J180">
        <v>1163.79</v>
      </c>
      <c r="K180">
        <v>6.6574267799006801</v>
      </c>
      <c r="L180">
        <v>1202.5899999999999</v>
      </c>
      <c r="M180" t="s">
        <v>27</v>
      </c>
      <c r="N180">
        <v>1</v>
      </c>
      <c r="O180">
        <v>1346</v>
      </c>
      <c r="P180">
        <v>1173</v>
      </c>
      <c r="Q180">
        <v>0</v>
      </c>
      <c r="R180">
        <v>1173</v>
      </c>
    </row>
    <row r="181" spans="1:18" x14ac:dyDescent="0.3">
      <c r="A181" s="5">
        <v>45955</v>
      </c>
      <c r="B181" t="s">
        <v>265</v>
      </c>
      <c r="C181">
        <v>15</v>
      </c>
      <c r="D181">
        <v>36</v>
      </c>
      <c r="E181" s="1">
        <v>1.9993055555555554</v>
      </c>
      <c r="F181" t="s">
        <v>266</v>
      </c>
      <c r="G181">
        <v>1</v>
      </c>
      <c r="H181">
        <v>1081.0817</v>
      </c>
      <c r="I181">
        <v>8.5</v>
      </c>
      <c r="J181">
        <v>1163.79</v>
      </c>
      <c r="K181">
        <v>6.6574267799006801</v>
      </c>
      <c r="L181">
        <v>1202.5899999999999</v>
      </c>
      <c r="M181" t="s">
        <v>27</v>
      </c>
      <c r="N181">
        <v>1</v>
      </c>
      <c r="O181">
        <v>1346</v>
      </c>
      <c r="P181">
        <v>1173</v>
      </c>
      <c r="Q181">
        <v>0</v>
      </c>
      <c r="R181">
        <v>1173</v>
      </c>
    </row>
    <row r="182" spans="1:18" x14ac:dyDescent="0.3">
      <c r="A182" s="5">
        <v>45955</v>
      </c>
      <c r="B182" t="s">
        <v>267</v>
      </c>
      <c r="C182">
        <v>24</v>
      </c>
      <c r="D182">
        <v>36</v>
      </c>
      <c r="E182" s="1">
        <v>1.0833333333333333</v>
      </c>
      <c r="F182" t="s">
        <v>268</v>
      </c>
      <c r="G182">
        <v>4</v>
      </c>
      <c r="H182">
        <v>1080.9507000000001</v>
      </c>
      <c r="I182">
        <v>7</v>
      </c>
      <c r="J182">
        <v>1163.79</v>
      </c>
      <c r="K182">
        <v>5.4825867599182097</v>
      </c>
      <c r="L182">
        <v>1202.5899999999999</v>
      </c>
      <c r="M182" t="s">
        <v>27</v>
      </c>
      <c r="N182">
        <v>1</v>
      </c>
      <c r="O182">
        <v>1330</v>
      </c>
      <c r="P182">
        <v>1157</v>
      </c>
      <c r="Q182">
        <v>0</v>
      </c>
      <c r="R182">
        <v>1157</v>
      </c>
    </row>
    <row r="183" spans="1:18" x14ac:dyDescent="0.3">
      <c r="A183" s="5">
        <v>45955</v>
      </c>
      <c r="B183" t="s">
        <v>269</v>
      </c>
      <c r="C183">
        <v>17</v>
      </c>
      <c r="D183">
        <v>36</v>
      </c>
      <c r="E183" s="1">
        <v>1.0833333333333333</v>
      </c>
      <c r="F183" t="s">
        <v>270</v>
      </c>
      <c r="G183">
        <v>2</v>
      </c>
      <c r="H183">
        <v>1081.2092</v>
      </c>
      <c r="I183">
        <v>5</v>
      </c>
      <c r="J183">
        <v>1163.79</v>
      </c>
      <c r="K183">
        <v>3.9161333999415802</v>
      </c>
      <c r="L183">
        <v>601.29</v>
      </c>
      <c r="M183" t="s">
        <v>60</v>
      </c>
      <c r="N183">
        <v>1</v>
      </c>
      <c r="O183">
        <v>1308</v>
      </c>
      <c r="P183">
        <v>1135</v>
      </c>
      <c r="Q183">
        <v>0.5</v>
      </c>
      <c r="R183">
        <v>567.5</v>
      </c>
    </row>
    <row r="184" spans="1:18" x14ac:dyDescent="0.3">
      <c r="A184" s="5">
        <v>45955</v>
      </c>
      <c r="B184" t="s">
        <v>271</v>
      </c>
      <c r="C184">
        <v>32</v>
      </c>
      <c r="D184">
        <v>36</v>
      </c>
      <c r="E184" s="1">
        <v>1.0833333333333333</v>
      </c>
      <c r="F184" t="s">
        <v>272</v>
      </c>
      <c r="G184">
        <v>0</v>
      </c>
      <c r="H184">
        <v>1080.8069</v>
      </c>
      <c r="I184">
        <v>2.5</v>
      </c>
      <c r="J184">
        <v>1163.79</v>
      </c>
      <c r="K184">
        <v>1.9580666999707901</v>
      </c>
      <c r="L184">
        <v>962.07</v>
      </c>
      <c r="M184" t="s">
        <v>44</v>
      </c>
      <c r="N184">
        <v>1</v>
      </c>
      <c r="O184">
        <v>1281</v>
      </c>
      <c r="P184">
        <v>1108</v>
      </c>
      <c r="Q184">
        <v>0</v>
      </c>
      <c r="R184">
        <v>1108</v>
      </c>
    </row>
    <row r="185" spans="1:18" x14ac:dyDescent="0.3">
      <c r="A185" s="5">
        <v>45955</v>
      </c>
      <c r="B185" t="s">
        <v>273</v>
      </c>
      <c r="C185">
        <v>19</v>
      </c>
      <c r="D185">
        <v>36</v>
      </c>
      <c r="E185" s="1">
        <v>1.0833333333333333</v>
      </c>
      <c r="F185" t="s">
        <v>274</v>
      </c>
      <c r="G185">
        <v>4</v>
      </c>
      <c r="H185">
        <v>1081.1732</v>
      </c>
      <c r="I185">
        <v>7</v>
      </c>
      <c r="J185">
        <v>1163.79</v>
      </c>
      <c r="K185">
        <v>5.4825867599182097</v>
      </c>
      <c r="L185">
        <v>1202.5899999999999</v>
      </c>
      <c r="M185" t="s">
        <v>27</v>
      </c>
      <c r="N185">
        <v>1</v>
      </c>
      <c r="O185">
        <v>1330</v>
      </c>
      <c r="P185">
        <v>1157</v>
      </c>
      <c r="Q185">
        <v>0</v>
      </c>
      <c r="R185">
        <v>1157</v>
      </c>
    </row>
    <row r="186" spans="1:18" x14ac:dyDescent="0.3">
      <c r="A186" s="5">
        <v>45955</v>
      </c>
      <c r="B186" t="s">
        <v>275</v>
      </c>
      <c r="C186">
        <v>20</v>
      </c>
      <c r="D186">
        <v>36</v>
      </c>
      <c r="E186" s="1">
        <v>1.0833333333333333</v>
      </c>
      <c r="F186" t="s">
        <v>276</v>
      </c>
      <c r="G186">
        <v>4</v>
      </c>
      <c r="H186">
        <v>1081.1552999999999</v>
      </c>
      <c r="I186">
        <v>7</v>
      </c>
      <c r="J186">
        <v>1163.79</v>
      </c>
      <c r="K186">
        <v>5.4825867599182097</v>
      </c>
      <c r="L186">
        <v>1202.5899999999999</v>
      </c>
      <c r="M186" t="s">
        <v>27</v>
      </c>
      <c r="N186">
        <v>1</v>
      </c>
      <c r="O186">
        <v>1330</v>
      </c>
      <c r="P186">
        <v>1157</v>
      </c>
      <c r="Q186">
        <v>0</v>
      </c>
      <c r="R186">
        <v>1157</v>
      </c>
    </row>
    <row r="187" spans="1:18" x14ac:dyDescent="0.3">
      <c r="A187" s="5">
        <v>45955</v>
      </c>
      <c r="B187" t="s">
        <v>277</v>
      </c>
      <c r="C187">
        <v>3</v>
      </c>
      <c r="D187">
        <v>36</v>
      </c>
      <c r="E187" s="1">
        <v>1.0833333333333333</v>
      </c>
      <c r="F187" t="s">
        <v>278</v>
      </c>
      <c r="G187">
        <v>0</v>
      </c>
      <c r="H187">
        <v>1081.4601</v>
      </c>
      <c r="I187">
        <v>2.5</v>
      </c>
      <c r="J187">
        <v>1163.79</v>
      </c>
      <c r="K187">
        <v>1.9580666999707901</v>
      </c>
      <c r="L187">
        <v>962.07</v>
      </c>
      <c r="M187" t="s">
        <v>44</v>
      </c>
      <c r="N187">
        <v>1</v>
      </c>
      <c r="O187">
        <v>1282</v>
      </c>
      <c r="P187">
        <v>1108</v>
      </c>
      <c r="Q187">
        <v>0</v>
      </c>
      <c r="R187">
        <v>1108</v>
      </c>
    </row>
    <row r="188" spans="1:18" x14ac:dyDescent="0.3">
      <c r="A188" s="5">
        <v>45955</v>
      </c>
      <c r="B188" t="s">
        <v>279</v>
      </c>
      <c r="C188">
        <v>30</v>
      </c>
      <c r="D188">
        <v>36</v>
      </c>
      <c r="E188" s="1">
        <v>1.0833333333333333</v>
      </c>
      <c r="F188" t="s">
        <v>280</v>
      </c>
      <c r="G188">
        <v>4</v>
      </c>
      <c r="H188">
        <v>1080.8423</v>
      </c>
      <c r="I188">
        <v>7</v>
      </c>
      <c r="J188">
        <v>1163.79</v>
      </c>
      <c r="K188">
        <v>5.4825867599182097</v>
      </c>
      <c r="L188">
        <v>1202.5899999999999</v>
      </c>
      <c r="M188" t="s">
        <v>27</v>
      </c>
      <c r="N188">
        <v>1</v>
      </c>
      <c r="O188">
        <v>1329</v>
      </c>
      <c r="P188">
        <v>1157</v>
      </c>
      <c r="Q188">
        <v>0</v>
      </c>
      <c r="R188">
        <v>1157</v>
      </c>
    </row>
    <row r="189" spans="1:18" x14ac:dyDescent="0.3">
      <c r="A189" s="5">
        <v>45955</v>
      </c>
      <c r="B189" t="s">
        <v>281</v>
      </c>
      <c r="C189">
        <v>31</v>
      </c>
      <c r="D189">
        <v>36</v>
      </c>
      <c r="E189" s="1">
        <v>1.0833333333333333</v>
      </c>
      <c r="F189" t="s">
        <v>282</v>
      </c>
      <c r="G189">
        <v>4</v>
      </c>
      <c r="H189">
        <v>1080.8243</v>
      </c>
      <c r="I189">
        <v>7</v>
      </c>
      <c r="J189">
        <v>1163.79</v>
      </c>
      <c r="K189">
        <v>5.4825867599182097</v>
      </c>
      <c r="L189">
        <v>1202.5899999999999</v>
      </c>
      <c r="M189" t="s">
        <v>27</v>
      </c>
      <c r="N189">
        <v>1</v>
      </c>
      <c r="O189">
        <v>1329</v>
      </c>
      <c r="P189">
        <v>1156</v>
      </c>
      <c r="Q189">
        <v>0</v>
      </c>
      <c r="R189">
        <v>1156</v>
      </c>
    </row>
    <row r="190" spans="1:18" x14ac:dyDescent="0.3">
      <c r="A190" s="5">
        <v>45955</v>
      </c>
      <c r="B190" t="s">
        <v>283</v>
      </c>
      <c r="C190">
        <v>1</v>
      </c>
      <c r="D190">
        <v>36</v>
      </c>
      <c r="E190" s="1">
        <v>1.0833333333333333</v>
      </c>
      <c r="F190" t="s">
        <v>284</v>
      </c>
      <c r="G190">
        <v>4</v>
      </c>
      <c r="H190">
        <v>1081.4960000000001</v>
      </c>
      <c r="I190">
        <v>7</v>
      </c>
      <c r="J190">
        <v>1163.79</v>
      </c>
      <c r="K190">
        <v>5.4825867599182097</v>
      </c>
      <c r="L190">
        <v>1202.5899999999999</v>
      </c>
      <c r="M190" t="s">
        <v>27</v>
      </c>
      <c r="N190">
        <v>1</v>
      </c>
      <c r="O190">
        <v>1330</v>
      </c>
      <c r="P190">
        <v>1157</v>
      </c>
      <c r="Q190">
        <v>0</v>
      </c>
      <c r="R190">
        <v>1157</v>
      </c>
    </row>
    <row r="191" spans="1:18" x14ac:dyDescent="0.3">
      <c r="A191" s="5">
        <v>45955</v>
      </c>
      <c r="B191" t="s">
        <v>285</v>
      </c>
      <c r="C191">
        <v>21</v>
      </c>
      <c r="D191">
        <v>36</v>
      </c>
      <c r="E191" s="1">
        <v>1.4583333333333333</v>
      </c>
      <c r="F191" t="s">
        <v>286</v>
      </c>
      <c r="G191">
        <v>5</v>
      </c>
      <c r="H191">
        <v>1081.1455000000001</v>
      </c>
      <c r="I191">
        <v>0</v>
      </c>
      <c r="J191">
        <v>1163.79</v>
      </c>
      <c r="K191">
        <v>0</v>
      </c>
      <c r="L191">
        <v>1142.5</v>
      </c>
      <c r="M191" t="s">
        <v>27</v>
      </c>
      <c r="N191">
        <v>1</v>
      </c>
      <c r="O191">
        <v>1254</v>
      </c>
      <c r="P191">
        <v>1081</v>
      </c>
      <c r="Q191">
        <v>0</v>
      </c>
      <c r="R191">
        <v>1081</v>
      </c>
    </row>
    <row r="192" spans="1:18" x14ac:dyDescent="0.3">
      <c r="A192" s="5">
        <v>45955</v>
      </c>
      <c r="B192" t="s">
        <v>287</v>
      </c>
      <c r="C192">
        <v>25</v>
      </c>
      <c r="D192">
        <v>36</v>
      </c>
      <c r="E192" s="1">
        <v>1.25</v>
      </c>
      <c r="F192" t="s">
        <v>288</v>
      </c>
      <c r="G192">
        <v>5</v>
      </c>
      <c r="H192">
        <v>1080.9435000000001</v>
      </c>
      <c r="I192">
        <v>0</v>
      </c>
      <c r="J192">
        <v>1163.79</v>
      </c>
      <c r="K192">
        <v>0</v>
      </c>
      <c r="L192">
        <v>1142.5</v>
      </c>
      <c r="M192" t="s">
        <v>27</v>
      </c>
      <c r="N192">
        <v>1</v>
      </c>
      <c r="O192">
        <v>1254</v>
      </c>
      <c r="P192">
        <v>1081</v>
      </c>
      <c r="Q192">
        <v>0</v>
      </c>
      <c r="R192">
        <v>1081</v>
      </c>
    </row>
    <row r="193" spans="1:18" x14ac:dyDescent="0.3">
      <c r="A193" s="5">
        <v>45955</v>
      </c>
      <c r="B193" t="s">
        <v>289</v>
      </c>
      <c r="C193">
        <v>18</v>
      </c>
      <c r="D193">
        <v>36</v>
      </c>
      <c r="E193" s="1">
        <v>1.0833333333333333</v>
      </c>
      <c r="F193" t="s">
        <v>290</v>
      </c>
      <c r="G193">
        <v>2</v>
      </c>
      <c r="H193">
        <v>1079.1596999999999</v>
      </c>
      <c r="I193">
        <v>5</v>
      </c>
      <c r="J193">
        <v>1163.79</v>
      </c>
      <c r="K193">
        <v>3.9161333999415802</v>
      </c>
      <c r="L193">
        <v>601.29</v>
      </c>
      <c r="M193" t="s">
        <v>60</v>
      </c>
      <c r="N193">
        <v>1</v>
      </c>
      <c r="O193">
        <v>1306</v>
      </c>
      <c r="P193">
        <v>1133</v>
      </c>
      <c r="Q193">
        <v>0.5</v>
      </c>
      <c r="R193">
        <v>566.5</v>
      </c>
    </row>
    <row r="194" spans="1:18" x14ac:dyDescent="0.3">
      <c r="A194" s="5">
        <v>45955</v>
      </c>
      <c r="B194" t="s">
        <v>291</v>
      </c>
      <c r="C194">
        <v>36</v>
      </c>
      <c r="D194">
        <v>36</v>
      </c>
      <c r="E194" s="1">
        <v>1.0833333333333333</v>
      </c>
      <c r="F194" t="s">
        <v>292</v>
      </c>
      <c r="G194">
        <v>5</v>
      </c>
      <c r="H194">
        <v>1080.7476999999999</v>
      </c>
      <c r="I194">
        <v>0</v>
      </c>
      <c r="J194">
        <v>1163.79</v>
      </c>
      <c r="K194">
        <v>0</v>
      </c>
      <c r="L194">
        <v>1142.5</v>
      </c>
      <c r="M194" t="s">
        <v>27</v>
      </c>
      <c r="N194">
        <v>1</v>
      </c>
      <c r="O194">
        <v>1254</v>
      </c>
      <c r="P194">
        <v>1081</v>
      </c>
      <c r="Q194">
        <v>0</v>
      </c>
      <c r="R194">
        <v>1081</v>
      </c>
    </row>
    <row r="195" spans="1:18" x14ac:dyDescent="0.3">
      <c r="A195" s="5">
        <v>45955</v>
      </c>
      <c r="B195" t="s">
        <v>293</v>
      </c>
      <c r="C195">
        <v>16</v>
      </c>
      <c r="D195">
        <v>36</v>
      </c>
      <c r="E195" s="1">
        <v>1.4583333333333333</v>
      </c>
      <c r="F195" t="s">
        <v>294</v>
      </c>
      <c r="G195">
        <v>5</v>
      </c>
      <c r="H195">
        <v>1081.2352000000001</v>
      </c>
      <c r="I195">
        <v>0</v>
      </c>
      <c r="J195">
        <v>1163.79</v>
      </c>
      <c r="K195">
        <v>0</v>
      </c>
      <c r="L195">
        <v>1142.5</v>
      </c>
      <c r="M195" t="s">
        <v>27</v>
      </c>
      <c r="N195">
        <v>1</v>
      </c>
      <c r="O195">
        <v>1254</v>
      </c>
      <c r="P195">
        <v>1081</v>
      </c>
      <c r="Q195">
        <v>0</v>
      </c>
      <c r="R195">
        <v>1081</v>
      </c>
    </row>
    <row r="196" spans="1:18" x14ac:dyDescent="0.3">
      <c r="A196" s="5">
        <v>45955</v>
      </c>
      <c r="B196" t="s">
        <v>295</v>
      </c>
      <c r="C196">
        <v>4</v>
      </c>
      <c r="D196">
        <v>36</v>
      </c>
      <c r="E196" s="1">
        <v>1.0833333333333333</v>
      </c>
      <c r="F196" t="s">
        <v>296</v>
      </c>
      <c r="G196">
        <v>2</v>
      </c>
      <c r="H196">
        <v>1079.2781</v>
      </c>
      <c r="I196">
        <v>5</v>
      </c>
      <c r="J196">
        <v>1163.79</v>
      </c>
      <c r="K196">
        <v>3.9161333999415802</v>
      </c>
      <c r="L196">
        <v>601.29</v>
      </c>
      <c r="M196" t="s">
        <v>60</v>
      </c>
      <c r="N196">
        <v>1</v>
      </c>
      <c r="O196">
        <v>1306</v>
      </c>
      <c r="P196">
        <v>1133</v>
      </c>
      <c r="Q196">
        <v>0.5</v>
      </c>
      <c r="R196">
        <v>566.5</v>
      </c>
    </row>
    <row r="197" spans="1:18" x14ac:dyDescent="0.3">
      <c r="A197" s="5">
        <v>45955</v>
      </c>
      <c r="B197" t="s">
        <v>297</v>
      </c>
      <c r="C197">
        <v>35</v>
      </c>
      <c r="D197">
        <v>36</v>
      </c>
      <c r="E197" s="1">
        <v>1.25</v>
      </c>
      <c r="F197" t="s">
        <v>298</v>
      </c>
      <c r="G197">
        <v>5</v>
      </c>
      <c r="H197">
        <v>1078.7157999999999</v>
      </c>
      <c r="I197">
        <v>0</v>
      </c>
      <c r="J197">
        <v>1163.79</v>
      </c>
      <c r="K197">
        <v>0</v>
      </c>
      <c r="L197">
        <v>601.29</v>
      </c>
      <c r="M197" t="s">
        <v>77</v>
      </c>
      <c r="N197">
        <v>1</v>
      </c>
      <c r="O197">
        <v>1251</v>
      </c>
      <c r="P197">
        <v>1079</v>
      </c>
      <c r="Q197">
        <v>0.5</v>
      </c>
      <c r="R197">
        <v>539.5</v>
      </c>
    </row>
    <row r="198" spans="1:18" x14ac:dyDescent="0.3">
      <c r="A198" s="5">
        <v>45955</v>
      </c>
      <c r="B198" t="s">
        <v>299</v>
      </c>
      <c r="C198">
        <v>16</v>
      </c>
      <c r="D198">
        <v>36</v>
      </c>
      <c r="E198" s="1">
        <v>1.25</v>
      </c>
      <c r="F198" t="s">
        <v>300</v>
      </c>
      <c r="G198">
        <v>5</v>
      </c>
      <c r="H198">
        <v>1081.2216000000001</v>
      </c>
      <c r="I198">
        <v>0</v>
      </c>
      <c r="J198">
        <v>1163.79</v>
      </c>
      <c r="K198">
        <v>0</v>
      </c>
      <c r="L198">
        <v>962.07</v>
      </c>
      <c r="M198" t="s">
        <v>44</v>
      </c>
      <c r="N198">
        <v>1</v>
      </c>
      <c r="O198">
        <v>1254</v>
      </c>
      <c r="P198">
        <v>1081</v>
      </c>
      <c r="Q198">
        <v>0</v>
      </c>
      <c r="R198">
        <v>1081</v>
      </c>
    </row>
    <row r="199" spans="1:18" x14ac:dyDescent="0.3">
      <c r="A199" s="5">
        <v>45955</v>
      </c>
      <c r="B199" t="s">
        <v>301</v>
      </c>
      <c r="C199">
        <v>13</v>
      </c>
      <c r="D199">
        <v>36</v>
      </c>
      <c r="E199" s="1">
        <v>1.9791666666666665</v>
      </c>
      <c r="F199" t="s">
        <v>302</v>
      </c>
      <c r="G199">
        <v>4</v>
      </c>
      <c r="H199">
        <v>1081.1017999999999</v>
      </c>
      <c r="I199">
        <v>7</v>
      </c>
      <c r="J199">
        <v>1163.79</v>
      </c>
      <c r="K199">
        <v>5.4825867599182097</v>
      </c>
      <c r="L199">
        <v>1082.33</v>
      </c>
      <c r="M199" t="s">
        <v>27</v>
      </c>
      <c r="N199">
        <v>1</v>
      </c>
      <c r="O199">
        <v>1330</v>
      </c>
      <c r="P199">
        <v>1157</v>
      </c>
      <c r="Q199">
        <v>0</v>
      </c>
      <c r="R199">
        <v>1157</v>
      </c>
    </row>
    <row r="200" spans="1:18" x14ac:dyDescent="0.3">
      <c r="A200" s="5">
        <v>45955</v>
      </c>
      <c r="B200" t="s">
        <v>303</v>
      </c>
      <c r="C200">
        <v>16</v>
      </c>
      <c r="D200">
        <v>36</v>
      </c>
      <c r="E200" s="1">
        <v>1.25</v>
      </c>
      <c r="F200" t="s">
        <v>304</v>
      </c>
      <c r="G200">
        <v>1</v>
      </c>
      <c r="H200">
        <v>1081.2755999999999</v>
      </c>
      <c r="I200">
        <v>8.5</v>
      </c>
      <c r="J200">
        <v>1163.79</v>
      </c>
      <c r="K200">
        <v>6.6574267799006801</v>
      </c>
      <c r="L200">
        <v>1219.83</v>
      </c>
      <c r="M200" t="s">
        <v>27</v>
      </c>
      <c r="N200">
        <v>1</v>
      </c>
      <c r="O200">
        <v>1346</v>
      </c>
      <c r="P200">
        <v>1173</v>
      </c>
      <c r="Q200">
        <v>0</v>
      </c>
      <c r="R200">
        <v>1173</v>
      </c>
    </row>
    <row r="201" spans="1:18" x14ac:dyDescent="0.3">
      <c r="A201" s="5">
        <v>45955</v>
      </c>
      <c r="B201" t="s">
        <v>305</v>
      </c>
      <c r="C201">
        <v>4</v>
      </c>
      <c r="D201">
        <v>36</v>
      </c>
      <c r="E201" s="1">
        <v>1.9791666666666665</v>
      </c>
      <c r="F201" t="s">
        <v>306</v>
      </c>
      <c r="G201">
        <v>0</v>
      </c>
      <c r="H201">
        <v>1081.1416999999999</v>
      </c>
      <c r="I201">
        <v>2.5</v>
      </c>
      <c r="J201">
        <v>1163.79</v>
      </c>
      <c r="K201">
        <v>1.9580666999707901</v>
      </c>
      <c r="L201">
        <v>1082.33</v>
      </c>
      <c r="M201" t="s">
        <v>27</v>
      </c>
      <c r="N201">
        <v>1</v>
      </c>
      <c r="O201">
        <v>1281</v>
      </c>
      <c r="P201">
        <v>1108</v>
      </c>
      <c r="Q201">
        <v>0</v>
      </c>
      <c r="R201">
        <v>1108</v>
      </c>
    </row>
    <row r="202" spans="1:18" x14ac:dyDescent="0.3">
      <c r="A202" s="5">
        <v>45955</v>
      </c>
      <c r="B202" t="s">
        <v>307</v>
      </c>
      <c r="C202">
        <v>33</v>
      </c>
      <c r="D202">
        <v>36</v>
      </c>
      <c r="E202" s="1">
        <v>1.9993055555555554</v>
      </c>
      <c r="F202" t="s">
        <v>308</v>
      </c>
      <c r="G202">
        <v>4</v>
      </c>
      <c r="H202">
        <v>1080.6143</v>
      </c>
      <c r="I202">
        <v>7</v>
      </c>
      <c r="J202">
        <v>1163.79</v>
      </c>
      <c r="K202">
        <v>5.4825867599182097</v>
      </c>
      <c r="L202">
        <v>1219.83</v>
      </c>
      <c r="M202" t="s">
        <v>27</v>
      </c>
      <c r="N202">
        <v>1</v>
      </c>
      <c r="O202">
        <v>1329</v>
      </c>
      <c r="P202">
        <v>1156</v>
      </c>
      <c r="Q202">
        <v>0</v>
      </c>
      <c r="R202">
        <v>1156</v>
      </c>
    </row>
    <row r="203" spans="1:18" x14ac:dyDescent="0.3">
      <c r="A203" s="5">
        <v>45955</v>
      </c>
      <c r="B203" t="s">
        <v>309</v>
      </c>
      <c r="C203">
        <v>34</v>
      </c>
      <c r="D203">
        <v>36</v>
      </c>
      <c r="E203" s="1">
        <v>1.9993055555555554</v>
      </c>
      <c r="F203" t="s">
        <v>310</v>
      </c>
      <c r="G203">
        <v>4</v>
      </c>
      <c r="H203">
        <v>1080.5962</v>
      </c>
      <c r="I203">
        <v>7</v>
      </c>
      <c r="J203">
        <v>1163.79</v>
      </c>
      <c r="K203">
        <v>5.4825867599182097</v>
      </c>
      <c r="L203">
        <v>1219.83</v>
      </c>
      <c r="M203" t="s">
        <v>27</v>
      </c>
      <c r="N203">
        <v>1</v>
      </c>
      <c r="O203">
        <v>1329</v>
      </c>
      <c r="P203">
        <v>1156</v>
      </c>
      <c r="Q203">
        <v>0</v>
      </c>
      <c r="R203">
        <v>1156</v>
      </c>
    </row>
    <row r="204" spans="1:18" x14ac:dyDescent="0.3">
      <c r="A204" s="5">
        <v>45955</v>
      </c>
      <c r="B204" t="s">
        <v>311</v>
      </c>
      <c r="C204">
        <v>1</v>
      </c>
      <c r="D204">
        <v>36</v>
      </c>
      <c r="E204" s="1">
        <v>1.9993055555555554</v>
      </c>
      <c r="F204" t="s">
        <v>312</v>
      </c>
      <c r="G204">
        <v>2</v>
      </c>
      <c r="H204">
        <v>1081.271</v>
      </c>
      <c r="I204">
        <v>5</v>
      </c>
      <c r="J204">
        <v>1163.79</v>
      </c>
      <c r="K204">
        <v>3.9161333999415802</v>
      </c>
      <c r="L204">
        <v>601.29</v>
      </c>
      <c r="M204" t="s">
        <v>60</v>
      </c>
      <c r="N204">
        <v>1</v>
      </c>
      <c r="O204">
        <v>1308</v>
      </c>
      <c r="P204">
        <v>1135</v>
      </c>
      <c r="Q204">
        <v>0.5</v>
      </c>
      <c r="R204">
        <v>567.5</v>
      </c>
    </row>
    <row r="205" spans="1:18" x14ac:dyDescent="0.3">
      <c r="A205" s="5">
        <v>45955</v>
      </c>
      <c r="B205" t="s">
        <v>313</v>
      </c>
      <c r="C205">
        <v>8</v>
      </c>
      <c r="D205">
        <v>36</v>
      </c>
      <c r="E205" s="1">
        <v>1.4583333333333333</v>
      </c>
      <c r="F205" t="s">
        <v>314</v>
      </c>
      <c r="G205">
        <v>4</v>
      </c>
      <c r="H205">
        <v>1081.3595</v>
      </c>
      <c r="I205">
        <v>7</v>
      </c>
      <c r="J205">
        <v>1163.79</v>
      </c>
      <c r="K205">
        <v>5.4825867599182097</v>
      </c>
      <c r="L205">
        <v>1082.33</v>
      </c>
      <c r="M205" t="s">
        <v>27</v>
      </c>
      <c r="N205">
        <v>1</v>
      </c>
      <c r="O205">
        <v>1330</v>
      </c>
      <c r="P205">
        <v>1157</v>
      </c>
      <c r="Q205">
        <v>0</v>
      </c>
      <c r="R205">
        <v>1157</v>
      </c>
    </row>
    <row r="206" spans="1:18" x14ac:dyDescent="0.3">
      <c r="A206" s="5">
        <v>45955</v>
      </c>
      <c r="B206" t="s">
        <v>315</v>
      </c>
      <c r="C206">
        <v>9</v>
      </c>
      <c r="D206">
        <v>36</v>
      </c>
      <c r="E206" s="1">
        <v>1.4583333333333333</v>
      </c>
      <c r="F206" t="s">
        <v>314</v>
      </c>
      <c r="G206">
        <v>4</v>
      </c>
      <c r="H206">
        <v>1081.3416999999999</v>
      </c>
      <c r="I206">
        <v>7</v>
      </c>
      <c r="J206">
        <v>1163.79</v>
      </c>
      <c r="K206">
        <v>5.4825867599182097</v>
      </c>
      <c r="L206">
        <v>1082.33</v>
      </c>
      <c r="M206" t="s">
        <v>27</v>
      </c>
      <c r="N206">
        <v>1</v>
      </c>
      <c r="O206">
        <v>1330</v>
      </c>
      <c r="P206">
        <v>1157</v>
      </c>
      <c r="Q206">
        <v>0</v>
      </c>
      <c r="R206">
        <v>1157</v>
      </c>
    </row>
    <row r="207" spans="1:18" x14ac:dyDescent="0.3">
      <c r="A207" s="5">
        <v>45955</v>
      </c>
      <c r="B207" t="s">
        <v>316</v>
      </c>
      <c r="C207">
        <v>5</v>
      </c>
      <c r="D207">
        <v>36</v>
      </c>
      <c r="E207" s="1">
        <v>1.4583333333333333</v>
      </c>
      <c r="F207" t="s">
        <v>317</v>
      </c>
      <c r="G207">
        <v>5</v>
      </c>
      <c r="H207">
        <v>1081.4251999999999</v>
      </c>
      <c r="I207">
        <v>0</v>
      </c>
      <c r="J207">
        <v>1163.79</v>
      </c>
      <c r="K207">
        <v>0</v>
      </c>
      <c r="L207">
        <v>1142.5</v>
      </c>
      <c r="M207" t="s">
        <v>27</v>
      </c>
      <c r="N207">
        <v>1</v>
      </c>
      <c r="O207">
        <v>1254</v>
      </c>
      <c r="P207">
        <v>1081</v>
      </c>
      <c r="Q207">
        <v>0</v>
      </c>
      <c r="R207">
        <v>1081</v>
      </c>
    </row>
    <row r="208" spans="1:18" x14ac:dyDescent="0.3">
      <c r="A208" s="5">
        <v>45955</v>
      </c>
      <c r="B208" t="s">
        <v>318</v>
      </c>
      <c r="C208">
        <v>1</v>
      </c>
      <c r="D208">
        <v>36</v>
      </c>
      <c r="E208" s="1">
        <v>1.4583333333333333</v>
      </c>
      <c r="F208" t="s">
        <v>319</v>
      </c>
      <c r="G208">
        <v>1</v>
      </c>
      <c r="H208">
        <v>1081.4845</v>
      </c>
      <c r="I208">
        <v>8.5</v>
      </c>
      <c r="J208">
        <v>1163.79</v>
      </c>
      <c r="K208">
        <v>6.6574267799006801</v>
      </c>
      <c r="L208">
        <v>1082.33</v>
      </c>
      <c r="M208" t="s">
        <v>27</v>
      </c>
      <c r="N208">
        <v>1</v>
      </c>
      <c r="O208">
        <v>1346</v>
      </c>
      <c r="P208">
        <v>1173</v>
      </c>
      <c r="Q208">
        <v>0</v>
      </c>
      <c r="R208">
        <v>1173</v>
      </c>
    </row>
    <row r="209" spans="1:18" x14ac:dyDescent="0.3">
      <c r="A209" s="5">
        <v>45955</v>
      </c>
      <c r="B209" t="s">
        <v>320</v>
      </c>
      <c r="C209">
        <v>8</v>
      </c>
      <c r="D209">
        <v>36</v>
      </c>
      <c r="E209" s="1">
        <v>1.9993055555555554</v>
      </c>
      <c r="F209" t="s">
        <v>321</v>
      </c>
      <c r="G209">
        <v>0</v>
      </c>
      <c r="H209">
        <v>1081.2009</v>
      </c>
      <c r="I209">
        <v>2.5</v>
      </c>
      <c r="J209">
        <v>1163.79</v>
      </c>
      <c r="K209">
        <v>1.9580666999707901</v>
      </c>
      <c r="L209">
        <v>1158.79</v>
      </c>
      <c r="M209" t="s">
        <v>27</v>
      </c>
      <c r="N209">
        <v>1</v>
      </c>
      <c r="O209">
        <v>1281</v>
      </c>
      <c r="P209">
        <v>1108</v>
      </c>
      <c r="Q209">
        <v>0</v>
      </c>
      <c r="R209">
        <v>1108</v>
      </c>
    </row>
    <row r="210" spans="1:18" x14ac:dyDescent="0.3">
      <c r="A210" s="5">
        <v>45955</v>
      </c>
      <c r="B210" t="s">
        <v>322</v>
      </c>
      <c r="C210">
        <v>4</v>
      </c>
      <c r="D210">
        <v>36</v>
      </c>
      <c r="E210" s="1">
        <v>1.4583333333333333</v>
      </c>
      <c r="F210" t="s">
        <v>323</v>
      </c>
      <c r="G210">
        <v>1</v>
      </c>
      <c r="H210">
        <v>1081.3088</v>
      </c>
      <c r="I210">
        <v>8.5</v>
      </c>
      <c r="J210">
        <v>1163.79</v>
      </c>
      <c r="K210">
        <v>6.6574267799006801</v>
      </c>
      <c r="L210">
        <v>1202.5899999999999</v>
      </c>
      <c r="M210" t="s">
        <v>27</v>
      </c>
      <c r="N210">
        <v>1</v>
      </c>
      <c r="O210">
        <v>1346</v>
      </c>
      <c r="P210">
        <v>1173</v>
      </c>
      <c r="Q210">
        <v>0</v>
      </c>
      <c r="R210">
        <v>1173</v>
      </c>
    </row>
    <row r="211" spans="1:18" x14ac:dyDescent="0.3">
      <c r="A211" s="5">
        <v>45955</v>
      </c>
      <c r="B211" t="s">
        <v>324</v>
      </c>
      <c r="C211">
        <v>1</v>
      </c>
      <c r="D211">
        <v>36</v>
      </c>
      <c r="E211" s="1">
        <v>1.25</v>
      </c>
      <c r="F211" t="s">
        <v>325</v>
      </c>
      <c r="G211">
        <v>3</v>
      </c>
      <c r="H211">
        <v>1081.5999999999999</v>
      </c>
      <c r="I211">
        <v>10</v>
      </c>
      <c r="J211">
        <v>1163.79</v>
      </c>
      <c r="K211">
        <v>7.8322667998831603</v>
      </c>
      <c r="L211">
        <v>601.29</v>
      </c>
      <c r="M211" t="s">
        <v>20</v>
      </c>
      <c r="N211">
        <v>1</v>
      </c>
      <c r="O211">
        <v>1363</v>
      </c>
      <c r="P211">
        <v>1190</v>
      </c>
      <c r="Q211">
        <v>0.5</v>
      </c>
      <c r="R211">
        <v>595</v>
      </c>
    </row>
    <row r="212" spans="1:18" x14ac:dyDescent="0.3">
      <c r="A212" s="5">
        <v>45955</v>
      </c>
      <c r="B212" t="s">
        <v>326</v>
      </c>
      <c r="C212">
        <v>28</v>
      </c>
      <c r="D212">
        <v>36</v>
      </c>
      <c r="E212" s="1">
        <v>1.25</v>
      </c>
      <c r="F212" t="s">
        <v>327</v>
      </c>
      <c r="G212">
        <v>0</v>
      </c>
      <c r="H212">
        <v>1080.9375</v>
      </c>
      <c r="I212">
        <v>2.5</v>
      </c>
      <c r="J212">
        <v>1163.79</v>
      </c>
      <c r="K212">
        <v>1.9580666999707901</v>
      </c>
      <c r="L212">
        <v>1158.79</v>
      </c>
      <c r="M212" t="s">
        <v>27</v>
      </c>
      <c r="N212">
        <v>1</v>
      </c>
      <c r="O212">
        <v>1281</v>
      </c>
      <c r="P212">
        <v>1108</v>
      </c>
      <c r="Q212">
        <v>0</v>
      </c>
      <c r="R212">
        <v>1108</v>
      </c>
    </row>
    <row r="213" spans="1:18" x14ac:dyDescent="0.3">
      <c r="A213" s="5">
        <v>45955</v>
      </c>
      <c r="B213" t="s">
        <v>328</v>
      </c>
      <c r="C213">
        <v>19</v>
      </c>
      <c r="D213">
        <v>36</v>
      </c>
      <c r="E213" s="1">
        <v>1.4583333333333333</v>
      </c>
      <c r="F213" t="s">
        <v>329</v>
      </c>
      <c r="G213">
        <v>0</v>
      </c>
      <c r="H213">
        <v>1081.4368999999999</v>
      </c>
      <c r="I213">
        <v>2.5</v>
      </c>
      <c r="J213">
        <v>1163.79</v>
      </c>
      <c r="K213">
        <v>1.9580666999707901</v>
      </c>
      <c r="L213">
        <v>1142.5</v>
      </c>
      <c r="M213" t="s">
        <v>27</v>
      </c>
      <c r="N213">
        <v>1</v>
      </c>
      <c r="O213">
        <v>1282</v>
      </c>
      <c r="P213">
        <v>1108</v>
      </c>
      <c r="Q213">
        <v>0</v>
      </c>
      <c r="R213">
        <v>1108</v>
      </c>
    </row>
    <row r="214" spans="1:18" x14ac:dyDescent="0.3">
      <c r="A214" s="5">
        <v>45955</v>
      </c>
      <c r="B214" t="s">
        <v>328</v>
      </c>
      <c r="C214">
        <v>19</v>
      </c>
      <c r="D214">
        <v>36</v>
      </c>
      <c r="E214" s="1">
        <v>1.4583333333333333</v>
      </c>
      <c r="F214" t="s">
        <v>329</v>
      </c>
      <c r="G214">
        <v>0</v>
      </c>
      <c r="H214">
        <v>1081.4368999999999</v>
      </c>
      <c r="I214">
        <v>2.5</v>
      </c>
      <c r="J214">
        <v>1163.79</v>
      </c>
      <c r="K214">
        <v>1.9580666999707901</v>
      </c>
      <c r="L214">
        <v>1142.5</v>
      </c>
      <c r="M214" t="s">
        <v>27</v>
      </c>
      <c r="N214">
        <v>1</v>
      </c>
      <c r="O214">
        <v>1282</v>
      </c>
      <c r="P214">
        <v>1108</v>
      </c>
      <c r="Q214">
        <v>0</v>
      </c>
      <c r="R214">
        <v>1108</v>
      </c>
    </row>
    <row r="215" spans="1:18" x14ac:dyDescent="0.3">
      <c r="A215" s="5">
        <v>45955</v>
      </c>
      <c r="B215" t="s">
        <v>330</v>
      </c>
      <c r="C215">
        <v>20</v>
      </c>
      <c r="D215">
        <v>36</v>
      </c>
      <c r="E215" s="1">
        <v>1.4583333333333333</v>
      </c>
      <c r="F215" t="s">
        <v>329</v>
      </c>
      <c r="G215">
        <v>0</v>
      </c>
      <c r="H215">
        <v>1081.4190000000001</v>
      </c>
      <c r="I215">
        <v>2.5</v>
      </c>
      <c r="J215">
        <v>1163.79</v>
      </c>
      <c r="K215">
        <v>1.9580666999707901</v>
      </c>
      <c r="L215">
        <v>1142.5</v>
      </c>
      <c r="M215" t="s">
        <v>27</v>
      </c>
      <c r="N215">
        <v>1</v>
      </c>
      <c r="O215">
        <v>1281</v>
      </c>
      <c r="P215">
        <v>1108</v>
      </c>
      <c r="Q215">
        <v>0</v>
      </c>
      <c r="R215">
        <v>1108</v>
      </c>
    </row>
    <row r="216" spans="1:18" x14ac:dyDescent="0.3">
      <c r="A216" s="5">
        <v>45955</v>
      </c>
      <c r="B216" t="s">
        <v>330</v>
      </c>
      <c r="C216">
        <v>20</v>
      </c>
      <c r="D216">
        <v>36</v>
      </c>
      <c r="E216" s="1">
        <v>1.4583333333333333</v>
      </c>
      <c r="F216" t="s">
        <v>329</v>
      </c>
      <c r="G216">
        <v>0</v>
      </c>
      <c r="H216">
        <v>1081.4190000000001</v>
      </c>
      <c r="I216">
        <v>2.5</v>
      </c>
      <c r="J216">
        <v>1163.79</v>
      </c>
      <c r="K216">
        <v>1.9580666999707901</v>
      </c>
      <c r="L216">
        <v>1142.5</v>
      </c>
      <c r="M216" t="s">
        <v>27</v>
      </c>
      <c r="N216">
        <v>1</v>
      </c>
      <c r="O216">
        <v>1281</v>
      </c>
      <c r="P216">
        <v>1108</v>
      </c>
      <c r="Q216">
        <v>0</v>
      </c>
      <c r="R216">
        <v>1108</v>
      </c>
    </row>
    <row r="217" spans="1:18" x14ac:dyDescent="0.3">
      <c r="A217" s="5">
        <v>45955</v>
      </c>
      <c r="B217" t="s">
        <v>331</v>
      </c>
      <c r="C217">
        <v>35</v>
      </c>
      <c r="D217">
        <v>36</v>
      </c>
      <c r="E217" s="1">
        <v>1.9791666666666665</v>
      </c>
      <c r="F217" t="s">
        <v>332</v>
      </c>
      <c r="G217">
        <v>0</v>
      </c>
      <c r="H217">
        <v>1080.5824</v>
      </c>
      <c r="I217">
        <v>2.5</v>
      </c>
      <c r="J217">
        <v>1163.79</v>
      </c>
      <c r="K217">
        <v>1.9580666999707901</v>
      </c>
      <c r="L217">
        <v>1158.79</v>
      </c>
      <c r="M217" t="s">
        <v>27</v>
      </c>
      <c r="N217">
        <v>1</v>
      </c>
      <c r="O217">
        <v>1280</v>
      </c>
      <c r="P217">
        <v>1108</v>
      </c>
      <c r="Q217">
        <v>0</v>
      </c>
      <c r="R217">
        <v>1108</v>
      </c>
    </row>
    <row r="218" spans="1:18" x14ac:dyDescent="0.3">
      <c r="A218" s="5">
        <v>45955</v>
      </c>
      <c r="B218" t="s">
        <v>333</v>
      </c>
      <c r="C218">
        <v>6</v>
      </c>
      <c r="D218">
        <v>36</v>
      </c>
      <c r="E218" s="1">
        <v>1.9791666666666665</v>
      </c>
      <c r="F218" t="s">
        <v>334</v>
      </c>
      <c r="G218">
        <v>0</v>
      </c>
      <c r="H218">
        <v>1081.2352000000001</v>
      </c>
      <c r="I218">
        <v>2.5</v>
      </c>
      <c r="J218">
        <v>1163.79</v>
      </c>
      <c r="K218">
        <v>1.9580666999707901</v>
      </c>
      <c r="L218">
        <v>1158.79</v>
      </c>
      <c r="M218" t="s">
        <v>27</v>
      </c>
      <c r="N218">
        <v>1</v>
      </c>
      <c r="O218">
        <v>1281</v>
      </c>
      <c r="P218">
        <v>1108</v>
      </c>
      <c r="Q218">
        <v>0</v>
      </c>
      <c r="R218">
        <v>1108</v>
      </c>
    </row>
    <row r="219" spans="1:18" x14ac:dyDescent="0.3">
      <c r="A219" s="5">
        <v>45955</v>
      </c>
      <c r="B219" t="s">
        <v>333</v>
      </c>
      <c r="C219">
        <v>6</v>
      </c>
      <c r="D219">
        <v>36</v>
      </c>
      <c r="E219" s="1">
        <v>1.9791666666666665</v>
      </c>
      <c r="F219" t="s">
        <v>335</v>
      </c>
      <c r="G219">
        <v>0</v>
      </c>
      <c r="H219">
        <v>1081.2352000000001</v>
      </c>
      <c r="I219">
        <v>2.5</v>
      </c>
      <c r="J219">
        <v>1163.79</v>
      </c>
      <c r="K219">
        <v>1.9580666999707901</v>
      </c>
      <c r="L219">
        <v>1158.79</v>
      </c>
      <c r="M219" t="s">
        <v>27</v>
      </c>
      <c r="N219">
        <v>1</v>
      </c>
      <c r="O219">
        <v>1281</v>
      </c>
      <c r="P219">
        <v>1108</v>
      </c>
      <c r="Q219">
        <v>0</v>
      </c>
      <c r="R219">
        <v>1108</v>
      </c>
    </row>
    <row r="220" spans="1:18" x14ac:dyDescent="0.3">
      <c r="A220" s="5">
        <v>45955</v>
      </c>
      <c r="B220" t="s">
        <v>336</v>
      </c>
      <c r="C220">
        <v>5</v>
      </c>
      <c r="D220">
        <v>36</v>
      </c>
      <c r="E220" s="1">
        <v>1.9791666666666665</v>
      </c>
      <c r="F220" t="s">
        <v>334</v>
      </c>
      <c r="G220">
        <v>0</v>
      </c>
      <c r="H220">
        <v>1081.2535</v>
      </c>
      <c r="I220">
        <v>2.5</v>
      </c>
      <c r="J220">
        <v>1163.79</v>
      </c>
      <c r="K220">
        <v>1.9580666999707901</v>
      </c>
      <c r="L220">
        <v>1158.79</v>
      </c>
      <c r="M220" t="s">
        <v>27</v>
      </c>
      <c r="N220">
        <v>1</v>
      </c>
      <c r="O220">
        <v>1281</v>
      </c>
      <c r="P220">
        <v>1108</v>
      </c>
      <c r="Q220">
        <v>0</v>
      </c>
      <c r="R220">
        <v>1108</v>
      </c>
    </row>
    <row r="221" spans="1:18" x14ac:dyDescent="0.3">
      <c r="A221" s="5">
        <v>45955</v>
      </c>
      <c r="B221" t="s">
        <v>336</v>
      </c>
      <c r="C221">
        <v>5</v>
      </c>
      <c r="D221">
        <v>36</v>
      </c>
      <c r="E221" s="1">
        <v>1.9791666666666665</v>
      </c>
      <c r="F221" t="s">
        <v>335</v>
      </c>
      <c r="G221">
        <v>0</v>
      </c>
      <c r="H221">
        <v>1081.2535</v>
      </c>
      <c r="I221">
        <v>2.5</v>
      </c>
      <c r="J221">
        <v>1163.79</v>
      </c>
      <c r="K221">
        <v>1.9580666999707901</v>
      </c>
      <c r="L221">
        <v>1158.79</v>
      </c>
      <c r="M221" t="s">
        <v>27</v>
      </c>
      <c r="N221">
        <v>1</v>
      </c>
      <c r="O221">
        <v>1281</v>
      </c>
      <c r="P221">
        <v>1108</v>
      </c>
      <c r="Q221">
        <v>0</v>
      </c>
      <c r="R221">
        <v>1108</v>
      </c>
    </row>
    <row r="222" spans="1:18" x14ac:dyDescent="0.3">
      <c r="A222" s="5">
        <v>45955</v>
      </c>
      <c r="B222" t="s">
        <v>337</v>
      </c>
      <c r="C222">
        <v>7</v>
      </c>
      <c r="D222">
        <v>36</v>
      </c>
      <c r="E222" s="1">
        <v>1.9791666666666665</v>
      </c>
      <c r="F222" t="s">
        <v>334</v>
      </c>
      <c r="G222">
        <v>0</v>
      </c>
      <c r="H222">
        <v>1081.2174</v>
      </c>
      <c r="I222">
        <v>2.5</v>
      </c>
      <c r="J222">
        <v>1163.79</v>
      </c>
      <c r="K222">
        <v>1.9580666999707901</v>
      </c>
      <c r="L222">
        <v>1158.79</v>
      </c>
      <c r="M222" t="s">
        <v>27</v>
      </c>
      <c r="N222">
        <v>1</v>
      </c>
      <c r="O222">
        <v>1281</v>
      </c>
      <c r="P222">
        <v>1108</v>
      </c>
      <c r="Q222">
        <v>0</v>
      </c>
      <c r="R222">
        <v>1108</v>
      </c>
    </row>
    <row r="223" spans="1:18" x14ac:dyDescent="0.3">
      <c r="A223" s="5">
        <v>45955</v>
      </c>
      <c r="B223" t="s">
        <v>337</v>
      </c>
      <c r="C223">
        <v>7</v>
      </c>
      <c r="D223">
        <v>36</v>
      </c>
      <c r="E223" s="1">
        <v>1.9791666666666665</v>
      </c>
      <c r="F223" t="s">
        <v>335</v>
      </c>
      <c r="G223">
        <v>0</v>
      </c>
      <c r="H223">
        <v>1081.2174</v>
      </c>
      <c r="I223">
        <v>2.5</v>
      </c>
      <c r="J223">
        <v>1163.79</v>
      </c>
      <c r="K223">
        <v>1.9580666999707901</v>
      </c>
      <c r="L223">
        <v>1158.79</v>
      </c>
      <c r="M223" t="s">
        <v>27</v>
      </c>
      <c r="N223">
        <v>1</v>
      </c>
      <c r="O223">
        <v>1281</v>
      </c>
      <c r="P223">
        <v>1108</v>
      </c>
      <c r="Q223">
        <v>0</v>
      </c>
      <c r="R223">
        <v>1108</v>
      </c>
    </row>
    <row r="224" spans="1:18" x14ac:dyDescent="0.3">
      <c r="A224" s="5">
        <v>45955</v>
      </c>
      <c r="B224" t="s">
        <v>338</v>
      </c>
      <c r="C224">
        <v>20</v>
      </c>
      <c r="D224">
        <v>36</v>
      </c>
      <c r="E224" s="1">
        <v>1.25</v>
      </c>
      <c r="F224" t="s">
        <v>339</v>
      </c>
      <c r="G224">
        <v>0</v>
      </c>
      <c r="H224">
        <v>1081.213</v>
      </c>
      <c r="I224">
        <v>2.5</v>
      </c>
      <c r="J224">
        <v>1163.79</v>
      </c>
      <c r="K224">
        <v>1.9580666999707901</v>
      </c>
      <c r="L224">
        <v>1158.79</v>
      </c>
      <c r="M224" t="s">
        <v>27</v>
      </c>
      <c r="N224">
        <v>1</v>
      </c>
      <c r="O224">
        <v>1281</v>
      </c>
      <c r="P224">
        <v>1108</v>
      </c>
      <c r="Q224">
        <v>0</v>
      </c>
      <c r="R224">
        <v>1108</v>
      </c>
    </row>
    <row r="225" spans="1:18" x14ac:dyDescent="0.3">
      <c r="A225" s="5">
        <v>45955</v>
      </c>
      <c r="B225" t="s">
        <v>340</v>
      </c>
      <c r="C225">
        <v>11</v>
      </c>
      <c r="D225">
        <v>36</v>
      </c>
      <c r="E225" s="1">
        <v>1.9993055555555554</v>
      </c>
      <c r="F225" t="s">
        <v>341</v>
      </c>
      <c r="G225">
        <v>0</v>
      </c>
      <c r="H225">
        <v>1081.1455000000001</v>
      </c>
      <c r="I225">
        <v>2.5</v>
      </c>
      <c r="J225">
        <v>1163.79</v>
      </c>
      <c r="K225">
        <v>1.9580666999707901</v>
      </c>
      <c r="L225">
        <v>1158.79</v>
      </c>
      <c r="M225" t="s">
        <v>27</v>
      </c>
      <c r="N225">
        <v>1</v>
      </c>
      <c r="O225">
        <v>1281</v>
      </c>
      <c r="P225">
        <v>1108</v>
      </c>
      <c r="Q225">
        <v>0</v>
      </c>
      <c r="R225">
        <v>1108</v>
      </c>
    </row>
    <row r="226" spans="1:18" x14ac:dyDescent="0.3">
      <c r="A226" s="5">
        <v>45955</v>
      </c>
      <c r="B226" t="s">
        <v>340</v>
      </c>
      <c r="C226">
        <v>11</v>
      </c>
      <c r="D226">
        <v>36</v>
      </c>
      <c r="E226" s="1">
        <v>1.9993055555555554</v>
      </c>
      <c r="F226" t="s">
        <v>341</v>
      </c>
      <c r="G226">
        <v>0</v>
      </c>
      <c r="H226">
        <v>1081.1455000000001</v>
      </c>
      <c r="I226">
        <v>2.5</v>
      </c>
      <c r="J226">
        <v>1163.79</v>
      </c>
      <c r="K226">
        <v>1.9580666999707901</v>
      </c>
      <c r="L226">
        <v>1158.79</v>
      </c>
      <c r="M226" t="s">
        <v>27</v>
      </c>
      <c r="N226">
        <v>1</v>
      </c>
      <c r="O226">
        <v>1281</v>
      </c>
      <c r="P226">
        <v>1108</v>
      </c>
      <c r="Q226">
        <v>0</v>
      </c>
      <c r="R226">
        <v>1108</v>
      </c>
    </row>
    <row r="227" spans="1:18" x14ac:dyDescent="0.3">
      <c r="A227" s="5">
        <v>45955</v>
      </c>
      <c r="B227" t="s">
        <v>342</v>
      </c>
      <c r="C227">
        <v>12</v>
      </c>
      <c r="D227">
        <v>36</v>
      </c>
      <c r="E227" s="1">
        <v>1.9993055555555554</v>
      </c>
      <c r="F227" t="s">
        <v>341</v>
      </c>
      <c r="G227">
        <v>0</v>
      </c>
      <c r="H227">
        <v>1081.1274000000001</v>
      </c>
      <c r="I227">
        <v>2.5</v>
      </c>
      <c r="J227">
        <v>1163.79</v>
      </c>
      <c r="K227">
        <v>1.9580666999707901</v>
      </c>
      <c r="L227">
        <v>1158.79</v>
      </c>
      <c r="M227" t="s">
        <v>27</v>
      </c>
      <c r="N227">
        <v>1</v>
      </c>
      <c r="O227">
        <v>1281</v>
      </c>
      <c r="P227">
        <v>1108</v>
      </c>
      <c r="Q227">
        <v>0</v>
      </c>
      <c r="R227">
        <v>1108</v>
      </c>
    </row>
    <row r="228" spans="1:18" x14ac:dyDescent="0.3">
      <c r="A228" s="5">
        <v>45955</v>
      </c>
      <c r="B228" t="s">
        <v>342</v>
      </c>
      <c r="C228">
        <v>12</v>
      </c>
      <c r="D228">
        <v>36</v>
      </c>
      <c r="E228" s="1">
        <v>1.9993055555555554</v>
      </c>
      <c r="F228" t="s">
        <v>341</v>
      </c>
      <c r="G228">
        <v>0</v>
      </c>
      <c r="H228">
        <v>1081.1274000000001</v>
      </c>
      <c r="I228">
        <v>2.5</v>
      </c>
      <c r="J228">
        <v>1163.79</v>
      </c>
      <c r="K228">
        <v>1.9580666999707901</v>
      </c>
      <c r="L228">
        <v>1158.79</v>
      </c>
      <c r="M228" t="s">
        <v>27</v>
      </c>
      <c r="N228">
        <v>1</v>
      </c>
      <c r="O228">
        <v>1281</v>
      </c>
      <c r="P228">
        <v>1108</v>
      </c>
      <c r="Q228">
        <v>0</v>
      </c>
      <c r="R228">
        <v>1108</v>
      </c>
    </row>
    <row r="229" spans="1:18" x14ac:dyDescent="0.3">
      <c r="A229" s="5">
        <v>45955</v>
      </c>
      <c r="B229" t="s">
        <v>343</v>
      </c>
      <c r="C229">
        <v>21</v>
      </c>
      <c r="D229">
        <v>35</v>
      </c>
      <c r="E229" s="1">
        <v>1.4583333333333333</v>
      </c>
      <c r="F229" t="s">
        <v>344</v>
      </c>
      <c r="G229">
        <v>0</v>
      </c>
      <c r="H229">
        <v>1081.0592999999999</v>
      </c>
      <c r="I229">
        <v>2.5</v>
      </c>
      <c r="J229">
        <v>1163.79</v>
      </c>
      <c r="K229">
        <v>1.9580666999707901</v>
      </c>
      <c r="L229">
        <v>1158.79</v>
      </c>
      <c r="M229" t="s">
        <v>27</v>
      </c>
      <c r="N229">
        <v>1</v>
      </c>
      <c r="O229">
        <v>1281</v>
      </c>
      <c r="P229">
        <v>1108</v>
      </c>
      <c r="Q229">
        <v>0</v>
      </c>
      <c r="R229">
        <v>1108</v>
      </c>
    </row>
    <row r="230" spans="1:18" x14ac:dyDescent="0.3">
      <c r="A230" s="5">
        <v>45955</v>
      </c>
      <c r="B230" t="s">
        <v>345</v>
      </c>
      <c r="C230">
        <v>32</v>
      </c>
      <c r="D230">
        <v>35</v>
      </c>
      <c r="E230" s="1">
        <v>1.9993055555555554</v>
      </c>
      <c r="F230" t="s">
        <v>346</v>
      </c>
      <c r="G230">
        <v>3</v>
      </c>
      <c r="H230">
        <v>1080.712</v>
      </c>
      <c r="I230">
        <v>10</v>
      </c>
      <c r="J230">
        <v>1163.79</v>
      </c>
      <c r="K230">
        <v>7.8322667998831603</v>
      </c>
      <c r="L230">
        <v>601.29</v>
      </c>
      <c r="M230" t="s">
        <v>20</v>
      </c>
      <c r="N230">
        <v>1</v>
      </c>
      <c r="O230">
        <v>1362</v>
      </c>
      <c r="P230">
        <v>1189</v>
      </c>
      <c r="Q230">
        <v>0.5</v>
      </c>
      <c r="R230">
        <v>594.5</v>
      </c>
    </row>
    <row r="231" spans="1:18" x14ac:dyDescent="0.3">
      <c r="A231" s="5">
        <v>45955</v>
      </c>
      <c r="B231" t="s">
        <v>347</v>
      </c>
      <c r="C231">
        <v>10</v>
      </c>
      <c r="D231">
        <v>36</v>
      </c>
      <c r="E231" s="1">
        <v>1.9652777777777777</v>
      </c>
      <c r="F231" t="s">
        <v>348</v>
      </c>
      <c r="G231">
        <v>5</v>
      </c>
      <c r="H231">
        <v>1081.106</v>
      </c>
      <c r="I231">
        <v>0</v>
      </c>
      <c r="J231">
        <v>1163.79</v>
      </c>
      <c r="K231">
        <v>0</v>
      </c>
      <c r="L231">
        <v>1142.5</v>
      </c>
      <c r="M231" t="s">
        <v>27</v>
      </c>
      <c r="N231">
        <v>1</v>
      </c>
      <c r="O231">
        <v>1254</v>
      </c>
      <c r="P231">
        <v>1081</v>
      </c>
      <c r="Q231">
        <v>0</v>
      </c>
      <c r="R231">
        <v>1081</v>
      </c>
    </row>
    <row r="232" spans="1:18" x14ac:dyDescent="0.3">
      <c r="A232" s="5">
        <v>45955</v>
      </c>
      <c r="B232" t="s">
        <v>349</v>
      </c>
      <c r="C232">
        <v>28</v>
      </c>
      <c r="D232">
        <v>36</v>
      </c>
      <c r="E232" s="1">
        <v>1.9993055555555554</v>
      </c>
      <c r="F232" t="s">
        <v>350</v>
      </c>
      <c r="G232">
        <v>0</v>
      </c>
      <c r="H232">
        <v>1080.7067</v>
      </c>
      <c r="I232">
        <v>2.5</v>
      </c>
      <c r="J232">
        <v>1163.79</v>
      </c>
      <c r="K232">
        <v>1.9580666999707901</v>
      </c>
      <c r="L232">
        <v>1158.79</v>
      </c>
      <c r="M232" t="s">
        <v>27</v>
      </c>
      <c r="N232">
        <v>1</v>
      </c>
      <c r="O232">
        <v>1281</v>
      </c>
      <c r="P232">
        <v>1108</v>
      </c>
      <c r="Q232">
        <v>0</v>
      </c>
      <c r="R232">
        <v>1108</v>
      </c>
    </row>
    <row r="233" spans="1:18" x14ac:dyDescent="0.3">
      <c r="A233" s="5">
        <v>45955</v>
      </c>
      <c r="B233" t="s">
        <v>349</v>
      </c>
      <c r="C233">
        <v>28</v>
      </c>
      <c r="D233">
        <v>36</v>
      </c>
      <c r="E233" s="1">
        <v>1.9993055555555554</v>
      </c>
      <c r="F233" t="s">
        <v>350</v>
      </c>
      <c r="G233">
        <v>0</v>
      </c>
      <c r="H233">
        <v>1080.7067</v>
      </c>
      <c r="I233">
        <v>2.5</v>
      </c>
      <c r="J233">
        <v>1163.79</v>
      </c>
      <c r="K233">
        <v>1.9580666999707901</v>
      </c>
      <c r="L233">
        <v>1158.79</v>
      </c>
      <c r="M233" t="s">
        <v>27</v>
      </c>
      <c r="N233">
        <v>1</v>
      </c>
      <c r="O233">
        <v>1281</v>
      </c>
      <c r="P233">
        <v>1108</v>
      </c>
      <c r="Q233">
        <v>0</v>
      </c>
      <c r="R233">
        <v>1108</v>
      </c>
    </row>
    <row r="234" spans="1:18" x14ac:dyDescent="0.3">
      <c r="A234" s="5">
        <v>45955</v>
      </c>
      <c r="B234" t="s">
        <v>351</v>
      </c>
      <c r="C234">
        <v>29</v>
      </c>
      <c r="D234">
        <v>36</v>
      </c>
      <c r="E234" s="1">
        <v>1.9993055555555554</v>
      </c>
      <c r="F234" t="s">
        <v>350</v>
      </c>
      <c r="G234">
        <v>0</v>
      </c>
      <c r="H234">
        <v>1080.6886</v>
      </c>
      <c r="I234">
        <v>2.5</v>
      </c>
      <c r="J234">
        <v>1163.79</v>
      </c>
      <c r="K234">
        <v>1.9580666999707901</v>
      </c>
      <c r="L234">
        <v>1158.79</v>
      </c>
      <c r="M234" t="s">
        <v>27</v>
      </c>
      <c r="N234">
        <v>1</v>
      </c>
      <c r="O234">
        <v>1281</v>
      </c>
      <c r="P234">
        <v>1108</v>
      </c>
      <c r="Q234">
        <v>0</v>
      </c>
      <c r="R234">
        <v>1108</v>
      </c>
    </row>
    <row r="235" spans="1:18" x14ac:dyDescent="0.3">
      <c r="A235" s="5">
        <v>45955</v>
      </c>
      <c r="B235" t="s">
        <v>351</v>
      </c>
      <c r="C235">
        <v>29</v>
      </c>
      <c r="D235">
        <v>36</v>
      </c>
      <c r="E235" s="1">
        <v>1.9993055555555554</v>
      </c>
      <c r="F235" t="s">
        <v>350</v>
      </c>
      <c r="G235">
        <v>0</v>
      </c>
      <c r="H235">
        <v>1080.6886</v>
      </c>
      <c r="I235">
        <v>2.5</v>
      </c>
      <c r="J235">
        <v>1163.79</v>
      </c>
      <c r="K235">
        <v>1.9580666999707901</v>
      </c>
      <c r="L235">
        <v>1158.79</v>
      </c>
      <c r="M235" t="s">
        <v>27</v>
      </c>
      <c r="N235">
        <v>1</v>
      </c>
      <c r="O235">
        <v>1281</v>
      </c>
      <c r="P235">
        <v>1108</v>
      </c>
      <c r="Q235">
        <v>0</v>
      </c>
      <c r="R235">
        <v>1108</v>
      </c>
    </row>
    <row r="236" spans="1:18" x14ac:dyDescent="0.3">
      <c r="A236" s="5">
        <v>45955</v>
      </c>
      <c r="B236" t="s">
        <v>352</v>
      </c>
      <c r="C236">
        <v>12</v>
      </c>
      <c r="D236">
        <v>36</v>
      </c>
      <c r="E236" s="1">
        <v>1.9791666666666665</v>
      </c>
      <c r="F236" t="s">
        <v>353</v>
      </c>
      <c r="G236">
        <v>0</v>
      </c>
      <c r="H236">
        <v>1081.1267</v>
      </c>
      <c r="I236">
        <v>2.5</v>
      </c>
      <c r="J236">
        <v>1163.79</v>
      </c>
      <c r="K236">
        <v>1.9580666999707901</v>
      </c>
      <c r="L236">
        <v>1158.79</v>
      </c>
      <c r="M236" t="s">
        <v>27</v>
      </c>
      <c r="N236">
        <v>1</v>
      </c>
      <c r="O236">
        <v>1281</v>
      </c>
      <c r="P236">
        <v>1108</v>
      </c>
      <c r="Q236">
        <v>0</v>
      </c>
      <c r="R236">
        <v>1108</v>
      </c>
    </row>
    <row r="237" spans="1:18" x14ac:dyDescent="0.3">
      <c r="A237" s="5">
        <v>45955</v>
      </c>
      <c r="B237" t="s">
        <v>354</v>
      </c>
      <c r="C237">
        <v>35</v>
      </c>
      <c r="D237">
        <v>36</v>
      </c>
      <c r="E237" s="1">
        <v>1.9993055555555554</v>
      </c>
      <c r="F237" t="s">
        <v>355</v>
      </c>
      <c r="G237">
        <v>4</v>
      </c>
      <c r="H237">
        <v>1080.6651999999999</v>
      </c>
      <c r="I237">
        <v>7</v>
      </c>
      <c r="J237">
        <v>1163.79</v>
      </c>
      <c r="K237">
        <v>5.4825867599182097</v>
      </c>
      <c r="L237">
        <v>1082.33</v>
      </c>
      <c r="M237" t="s">
        <v>27</v>
      </c>
      <c r="N237">
        <v>1</v>
      </c>
      <c r="O237">
        <v>1329</v>
      </c>
      <c r="P237">
        <v>1156</v>
      </c>
      <c r="Q237">
        <v>0</v>
      </c>
      <c r="R237">
        <v>1156</v>
      </c>
    </row>
    <row r="238" spans="1:18" x14ac:dyDescent="0.3">
      <c r="A238" s="5">
        <v>45955</v>
      </c>
      <c r="B238" t="s">
        <v>356</v>
      </c>
      <c r="C238">
        <v>17</v>
      </c>
      <c r="D238">
        <v>36</v>
      </c>
      <c r="E238" s="1">
        <v>1.4583333333333333</v>
      </c>
      <c r="F238" t="s">
        <v>357</v>
      </c>
      <c r="G238">
        <v>2</v>
      </c>
      <c r="H238">
        <v>1080.6664000000001</v>
      </c>
      <c r="I238">
        <v>5</v>
      </c>
      <c r="J238">
        <v>1163.79</v>
      </c>
      <c r="K238">
        <v>3.9161333999415802</v>
      </c>
      <c r="L238">
        <v>601.29</v>
      </c>
      <c r="M238" t="s">
        <v>60</v>
      </c>
      <c r="N238">
        <v>1</v>
      </c>
      <c r="O238">
        <v>1308</v>
      </c>
      <c r="P238">
        <v>1135</v>
      </c>
      <c r="Q238">
        <v>0.5</v>
      </c>
      <c r="R238">
        <v>567.5</v>
      </c>
    </row>
    <row r="239" spans="1:18" x14ac:dyDescent="0.3">
      <c r="A239" s="5">
        <v>45955</v>
      </c>
      <c r="B239" t="s">
        <v>358</v>
      </c>
      <c r="C239">
        <v>36</v>
      </c>
      <c r="D239">
        <v>36</v>
      </c>
      <c r="E239" s="1">
        <v>1.9791666666666665</v>
      </c>
      <c r="F239" t="s">
        <v>359</v>
      </c>
      <c r="G239">
        <v>0</v>
      </c>
      <c r="H239">
        <v>1080.5604000000001</v>
      </c>
      <c r="I239">
        <v>2.5</v>
      </c>
      <c r="J239">
        <v>1163.79</v>
      </c>
      <c r="K239">
        <v>1.9580666999707901</v>
      </c>
      <c r="L239">
        <v>1158.79</v>
      </c>
      <c r="M239" t="s">
        <v>27</v>
      </c>
      <c r="N239">
        <v>1</v>
      </c>
      <c r="O239">
        <v>1280</v>
      </c>
      <c r="P239">
        <v>1108</v>
      </c>
      <c r="Q239">
        <v>0</v>
      </c>
      <c r="R239">
        <v>1108</v>
      </c>
    </row>
    <row r="240" spans="1:18" x14ac:dyDescent="0.3">
      <c r="A240" s="5">
        <v>45955</v>
      </c>
      <c r="B240" t="s">
        <v>360</v>
      </c>
      <c r="C240">
        <v>24</v>
      </c>
      <c r="D240">
        <v>35</v>
      </c>
      <c r="E240" s="1">
        <v>1.4583333333333333</v>
      </c>
      <c r="F240" t="s">
        <v>361</v>
      </c>
      <c r="G240">
        <v>0</v>
      </c>
      <c r="H240">
        <v>1081.0021999999999</v>
      </c>
      <c r="I240">
        <v>2.5</v>
      </c>
      <c r="J240">
        <v>1163.79</v>
      </c>
      <c r="K240">
        <v>1.9580666999707901</v>
      </c>
      <c r="L240">
        <v>1158.79</v>
      </c>
      <c r="M240" t="s">
        <v>27</v>
      </c>
      <c r="N240">
        <v>1</v>
      </c>
      <c r="O240">
        <v>1281</v>
      </c>
      <c r="P240">
        <v>1108</v>
      </c>
      <c r="Q240">
        <v>0</v>
      </c>
      <c r="R240">
        <v>1108</v>
      </c>
    </row>
    <row r="241" spans="1:18" x14ac:dyDescent="0.3">
      <c r="A241" s="5">
        <v>45955</v>
      </c>
      <c r="B241" t="s">
        <v>362</v>
      </c>
      <c r="C241">
        <v>18</v>
      </c>
      <c r="D241">
        <v>35</v>
      </c>
      <c r="E241" s="1">
        <v>1.4583333333333333</v>
      </c>
      <c r="F241" t="s">
        <v>363</v>
      </c>
      <c r="G241">
        <v>0</v>
      </c>
      <c r="H241">
        <v>1081.1099999999999</v>
      </c>
      <c r="I241">
        <v>2.5</v>
      </c>
      <c r="J241">
        <v>1163.79</v>
      </c>
      <c r="K241">
        <v>1.9580666999707901</v>
      </c>
      <c r="L241">
        <v>1158.79</v>
      </c>
      <c r="M241" t="s">
        <v>27</v>
      </c>
      <c r="N241">
        <v>1</v>
      </c>
      <c r="O241">
        <v>1281</v>
      </c>
      <c r="P241">
        <v>1108</v>
      </c>
      <c r="Q241">
        <v>0</v>
      </c>
      <c r="R241">
        <v>1108</v>
      </c>
    </row>
    <row r="242" spans="1:18" x14ac:dyDescent="0.3">
      <c r="A242" s="5">
        <v>45955</v>
      </c>
      <c r="B242" t="s">
        <v>364</v>
      </c>
      <c r="C242">
        <v>15</v>
      </c>
      <c r="D242">
        <v>36</v>
      </c>
      <c r="E242" s="1">
        <v>1.9791666666666665</v>
      </c>
      <c r="F242" t="s">
        <v>365</v>
      </c>
      <c r="G242">
        <v>0</v>
      </c>
      <c r="H242">
        <v>1081.0696</v>
      </c>
      <c r="I242">
        <v>2.5</v>
      </c>
      <c r="J242">
        <v>1163.79</v>
      </c>
      <c r="K242">
        <v>1.9580666999707901</v>
      </c>
      <c r="L242">
        <v>1158.79</v>
      </c>
      <c r="M242" t="s">
        <v>27</v>
      </c>
      <c r="N242">
        <v>1</v>
      </c>
      <c r="O242">
        <v>1281</v>
      </c>
      <c r="P242">
        <v>1108</v>
      </c>
      <c r="Q242">
        <v>0</v>
      </c>
      <c r="R242">
        <v>1108</v>
      </c>
    </row>
    <row r="243" spans="1:18" x14ac:dyDescent="0.3">
      <c r="A243" s="5">
        <v>45955</v>
      </c>
      <c r="B243" t="s">
        <v>364</v>
      </c>
      <c r="C243">
        <v>15</v>
      </c>
      <c r="D243">
        <v>36</v>
      </c>
      <c r="E243" s="1">
        <v>1.9791666666666665</v>
      </c>
      <c r="F243" t="s">
        <v>365</v>
      </c>
      <c r="G243">
        <v>0</v>
      </c>
      <c r="H243">
        <v>1081.0696</v>
      </c>
      <c r="I243">
        <v>2.5</v>
      </c>
      <c r="J243">
        <v>1163.79</v>
      </c>
      <c r="K243">
        <v>1.9580666999707901</v>
      </c>
      <c r="L243">
        <v>1158.79</v>
      </c>
      <c r="M243" t="s">
        <v>27</v>
      </c>
      <c r="N243">
        <v>1</v>
      </c>
      <c r="O243">
        <v>1281</v>
      </c>
      <c r="P243">
        <v>1108</v>
      </c>
      <c r="Q243">
        <v>0</v>
      </c>
      <c r="R243">
        <v>1108</v>
      </c>
    </row>
    <row r="244" spans="1:18" x14ac:dyDescent="0.3">
      <c r="A244" s="5">
        <v>45955</v>
      </c>
      <c r="B244" t="s">
        <v>366</v>
      </c>
      <c r="C244">
        <v>14</v>
      </c>
      <c r="D244">
        <v>36</v>
      </c>
      <c r="E244" s="1">
        <v>1.9791666666666665</v>
      </c>
      <c r="F244" t="s">
        <v>365</v>
      </c>
      <c r="G244">
        <v>0</v>
      </c>
      <c r="H244">
        <v>1081.0876000000001</v>
      </c>
      <c r="I244">
        <v>2.5</v>
      </c>
      <c r="J244">
        <v>1163.79</v>
      </c>
      <c r="K244">
        <v>1.9580666999707901</v>
      </c>
      <c r="L244">
        <v>1158.79</v>
      </c>
      <c r="M244" t="s">
        <v>27</v>
      </c>
      <c r="N244">
        <v>1</v>
      </c>
      <c r="O244">
        <v>1281</v>
      </c>
      <c r="P244">
        <v>1108</v>
      </c>
      <c r="Q244">
        <v>0</v>
      </c>
      <c r="R244">
        <v>1108</v>
      </c>
    </row>
    <row r="245" spans="1:18" x14ac:dyDescent="0.3">
      <c r="A245" s="5">
        <v>45955</v>
      </c>
      <c r="B245" t="s">
        <v>366</v>
      </c>
      <c r="C245">
        <v>14</v>
      </c>
      <c r="D245">
        <v>36</v>
      </c>
      <c r="E245" s="1">
        <v>1.9791666666666665</v>
      </c>
      <c r="F245" t="s">
        <v>365</v>
      </c>
      <c r="G245">
        <v>0</v>
      </c>
      <c r="H245">
        <v>1081.0876000000001</v>
      </c>
      <c r="I245">
        <v>2.5</v>
      </c>
      <c r="J245">
        <v>1163.79</v>
      </c>
      <c r="K245">
        <v>1.9580666999707901</v>
      </c>
      <c r="L245">
        <v>1158.79</v>
      </c>
      <c r="M245" t="s">
        <v>27</v>
      </c>
      <c r="N245">
        <v>1</v>
      </c>
      <c r="O245">
        <v>1281</v>
      </c>
      <c r="P245">
        <v>1108</v>
      </c>
      <c r="Q245">
        <v>0</v>
      </c>
      <c r="R245">
        <v>1108</v>
      </c>
    </row>
    <row r="246" spans="1:18" x14ac:dyDescent="0.3">
      <c r="A246" s="5">
        <v>45955</v>
      </c>
      <c r="B246" t="s">
        <v>367</v>
      </c>
      <c r="C246">
        <v>17</v>
      </c>
      <c r="D246">
        <v>36</v>
      </c>
      <c r="E246" s="1">
        <v>1.4583333333333333</v>
      </c>
      <c r="F246" t="s">
        <v>368</v>
      </c>
      <c r="G246">
        <v>4</v>
      </c>
      <c r="H246">
        <v>1081.4929</v>
      </c>
      <c r="I246">
        <v>7</v>
      </c>
      <c r="J246">
        <v>1163.79</v>
      </c>
      <c r="K246">
        <v>5.4825867599182097</v>
      </c>
      <c r="L246">
        <v>1082.33</v>
      </c>
      <c r="M246" t="s">
        <v>27</v>
      </c>
      <c r="N246">
        <v>1</v>
      </c>
      <c r="O246">
        <v>1330</v>
      </c>
      <c r="P246">
        <v>1157</v>
      </c>
      <c r="Q246">
        <v>0</v>
      </c>
      <c r="R246">
        <v>1157</v>
      </c>
    </row>
    <row r="247" spans="1:18" x14ac:dyDescent="0.3">
      <c r="A247" s="5">
        <v>45955</v>
      </c>
      <c r="B247" t="s">
        <v>369</v>
      </c>
      <c r="C247">
        <v>2</v>
      </c>
      <c r="D247">
        <v>36</v>
      </c>
      <c r="E247" s="1">
        <v>1.9993055555555554</v>
      </c>
      <c r="F247" t="s">
        <v>97</v>
      </c>
      <c r="G247">
        <v>4</v>
      </c>
      <c r="H247">
        <v>1079.2028</v>
      </c>
      <c r="I247">
        <v>7</v>
      </c>
      <c r="J247">
        <v>1163.79</v>
      </c>
      <c r="K247">
        <v>5.4825867599182097</v>
      </c>
      <c r="L247">
        <v>1202.5899999999999</v>
      </c>
      <c r="M247" t="s">
        <v>27</v>
      </c>
      <c r="N247">
        <v>1</v>
      </c>
      <c r="O247">
        <v>1327</v>
      </c>
      <c r="P247">
        <v>1155</v>
      </c>
      <c r="Q247">
        <v>0</v>
      </c>
      <c r="R247">
        <v>1155</v>
      </c>
    </row>
    <row r="248" spans="1:18" x14ac:dyDescent="0.3">
      <c r="A248" s="5">
        <v>45955</v>
      </c>
      <c r="B248" t="s">
        <v>370</v>
      </c>
      <c r="C248">
        <v>7</v>
      </c>
      <c r="D248">
        <v>36</v>
      </c>
      <c r="E248" s="1">
        <v>1.9993055555555554</v>
      </c>
      <c r="F248" t="s">
        <v>371</v>
      </c>
      <c r="G248">
        <v>5</v>
      </c>
      <c r="H248">
        <v>1081.1559999999999</v>
      </c>
      <c r="I248">
        <v>0</v>
      </c>
      <c r="J248">
        <v>1163.79</v>
      </c>
      <c r="K248">
        <v>0</v>
      </c>
      <c r="L248">
        <v>1142.5</v>
      </c>
      <c r="M248" t="s">
        <v>27</v>
      </c>
      <c r="N248">
        <v>1</v>
      </c>
      <c r="O248">
        <v>1254</v>
      </c>
      <c r="P248">
        <v>1081</v>
      </c>
      <c r="Q248">
        <v>0</v>
      </c>
      <c r="R248">
        <v>1081</v>
      </c>
    </row>
    <row r="249" spans="1:18" x14ac:dyDescent="0.3">
      <c r="A249" s="5">
        <v>45955</v>
      </c>
      <c r="B249" t="s">
        <v>372</v>
      </c>
      <c r="C249">
        <v>35</v>
      </c>
      <c r="D249">
        <v>36</v>
      </c>
      <c r="E249" s="1">
        <v>1.9652777777777777</v>
      </c>
      <c r="F249" t="s">
        <v>373</v>
      </c>
      <c r="G249">
        <v>5</v>
      </c>
      <c r="H249">
        <v>1080.5201</v>
      </c>
      <c r="I249">
        <v>0</v>
      </c>
      <c r="J249">
        <v>1163.79</v>
      </c>
      <c r="K249">
        <v>0</v>
      </c>
      <c r="L249">
        <v>1142.5</v>
      </c>
      <c r="M249" t="s">
        <v>27</v>
      </c>
      <c r="N249">
        <v>1</v>
      </c>
      <c r="O249">
        <v>1253</v>
      </c>
      <c r="P249">
        <v>1081</v>
      </c>
      <c r="Q249">
        <v>0</v>
      </c>
      <c r="R249">
        <v>1081</v>
      </c>
    </row>
    <row r="250" spans="1:18" x14ac:dyDescent="0.3">
      <c r="A250" s="5">
        <v>45955</v>
      </c>
      <c r="B250" t="s">
        <v>374</v>
      </c>
      <c r="C250">
        <v>36</v>
      </c>
      <c r="D250">
        <v>36</v>
      </c>
      <c r="E250" s="1">
        <v>1.4583333333333333</v>
      </c>
      <c r="F250" t="s">
        <v>375</v>
      </c>
      <c r="G250">
        <v>0</v>
      </c>
      <c r="H250">
        <v>1080.7847999999999</v>
      </c>
      <c r="I250">
        <v>2.5</v>
      </c>
      <c r="J250">
        <v>1163.79</v>
      </c>
      <c r="K250">
        <v>1.9580666999707901</v>
      </c>
      <c r="L250">
        <v>1158.79</v>
      </c>
      <c r="M250" t="s">
        <v>27</v>
      </c>
      <c r="N250">
        <v>1</v>
      </c>
      <c r="O250">
        <v>1281</v>
      </c>
      <c r="P250">
        <v>1108</v>
      </c>
      <c r="Q250">
        <v>0</v>
      </c>
      <c r="R250">
        <v>1108</v>
      </c>
    </row>
    <row r="251" spans="1:18" x14ac:dyDescent="0.3">
      <c r="A251" s="5">
        <v>45955</v>
      </c>
      <c r="B251" t="s">
        <v>376</v>
      </c>
      <c r="C251">
        <v>22</v>
      </c>
      <c r="D251">
        <v>36</v>
      </c>
      <c r="E251" s="1">
        <v>1.9791666666666665</v>
      </c>
      <c r="F251" t="s">
        <v>377</v>
      </c>
      <c r="G251">
        <v>4</v>
      </c>
      <c r="H251">
        <v>1080.8071</v>
      </c>
      <c r="I251">
        <v>7</v>
      </c>
      <c r="J251">
        <v>1163.79</v>
      </c>
      <c r="K251">
        <v>5.4825867599182097</v>
      </c>
      <c r="L251">
        <v>1219.83</v>
      </c>
      <c r="M251" t="s">
        <v>27</v>
      </c>
      <c r="N251">
        <v>1</v>
      </c>
      <c r="O251">
        <v>1329</v>
      </c>
      <c r="P251">
        <v>1156</v>
      </c>
      <c r="Q251">
        <v>0</v>
      </c>
      <c r="R251">
        <v>1156</v>
      </c>
    </row>
    <row r="252" spans="1:18" x14ac:dyDescent="0.3">
      <c r="A252" s="5">
        <v>45955</v>
      </c>
      <c r="B252" t="s">
        <v>378</v>
      </c>
      <c r="C252">
        <v>23</v>
      </c>
      <c r="D252">
        <v>36</v>
      </c>
      <c r="E252" s="1">
        <v>1.9791666666666665</v>
      </c>
      <c r="F252" t="s">
        <v>379</v>
      </c>
      <c r="G252">
        <v>3</v>
      </c>
      <c r="H252">
        <v>1080.7891999999999</v>
      </c>
      <c r="I252">
        <v>10</v>
      </c>
      <c r="J252">
        <v>1163.79</v>
      </c>
      <c r="K252">
        <v>7.8322667998831603</v>
      </c>
      <c r="L252">
        <v>609.91</v>
      </c>
      <c r="M252" t="s">
        <v>20</v>
      </c>
      <c r="N252">
        <v>1</v>
      </c>
      <c r="O252">
        <v>1362</v>
      </c>
      <c r="P252">
        <v>1189</v>
      </c>
      <c r="Q252">
        <v>0.5</v>
      </c>
      <c r="R252">
        <v>594.5</v>
      </c>
    </row>
    <row r="253" spans="1:18" x14ac:dyDescent="0.3">
      <c r="A253" s="5">
        <v>45955</v>
      </c>
      <c r="B253" t="s">
        <v>380</v>
      </c>
      <c r="C253">
        <v>16</v>
      </c>
      <c r="D253">
        <v>35</v>
      </c>
      <c r="E253" s="1">
        <v>1.4583333333333333</v>
      </c>
      <c r="F253" t="s">
        <v>381</v>
      </c>
      <c r="G253">
        <v>0</v>
      </c>
      <c r="H253">
        <v>1081.1445000000001</v>
      </c>
      <c r="I253">
        <v>2.5</v>
      </c>
      <c r="J253">
        <v>1163.79</v>
      </c>
      <c r="K253">
        <v>1.9580666999707901</v>
      </c>
      <c r="L253">
        <v>1158.79</v>
      </c>
      <c r="M253" t="s">
        <v>27</v>
      </c>
      <c r="N253">
        <v>1</v>
      </c>
      <c r="O253">
        <v>1281</v>
      </c>
      <c r="P253">
        <v>1108</v>
      </c>
      <c r="Q253">
        <v>0</v>
      </c>
      <c r="R253">
        <v>1108</v>
      </c>
    </row>
    <row r="254" spans="1:18" x14ac:dyDescent="0.3">
      <c r="A254" s="5">
        <v>45955</v>
      </c>
      <c r="B254" t="s">
        <v>382</v>
      </c>
      <c r="C254">
        <v>26</v>
      </c>
      <c r="D254">
        <v>36</v>
      </c>
      <c r="E254" s="1">
        <v>1.9791666666666665</v>
      </c>
      <c r="F254" t="s">
        <v>383</v>
      </c>
      <c r="G254">
        <v>0</v>
      </c>
      <c r="H254">
        <v>1080.7378000000001</v>
      </c>
      <c r="I254">
        <v>2.5</v>
      </c>
      <c r="J254">
        <v>1163.79</v>
      </c>
      <c r="K254">
        <v>1.9580666999707901</v>
      </c>
      <c r="L254">
        <v>1158.79</v>
      </c>
      <c r="M254" t="s">
        <v>27</v>
      </c>
      <c r="N254">
        <v>1</v>
      </c>
      <c r="O254">
        <v>1281</v>
      </c>
      <c r="P254">
        <v>1108</v>
      </c>
      <c r="Q254">
        <v>0</v>
      </c>
      <c r="R254">
        <v>1108</v>
      </c>
    </row>
    <row r="255" spans="1:18" x14ac:dyDescent="0.3">
      <c r="A255" s="5">
        <v>45955</v>
      </c>
      <c r="B255" t="s">
        <v>384</v>
      </c>
      <c r="C255">
        <v>32</v>
      </c>
      <c r="D255">
        <v>36</v>
      </c>
      <c r="E255" s="1">
        <v>1.9791666666666665</v>
      </c>
      <c r="F255" t="s">
        <v>385</v>
      </c>
      <c r="G255">
        <v>2</v>
      </c>
      <c r="H255">
        <v>1080.5732</v>
      </c>
      <c r="I255">
        <v>5</v>
      </c>
      <c r="J255">
        <v>1163.79</v>
      </c>
      <c r="K255">
        <v>3.9161333999415802</v>
      </c>
      <c r="L255">
        <v>601.29</v>
      </c>
      <c r="M255" t="s">
        <v>60</v>
      </c>
      <c r="N255">
        <v>1</v>
      </c>
      <c r="O255">
        <v>1307</v>
      </c>
      <c r="P255">
        <v>1135</v>
      </c>
      <c r="Q255">
        <v>0.5</v>
      </c>
      <c r="R255">
        <v>567.5</v>
      </c>
    </row>
    <row r="256" spans="1:18" x14ac:dyDescent="0.3">
      <c r="A256" s="5">
        <v>45955</v>
      </c>
      <c r="B256" t="s">
        <v>386</v>
      </c>
      <c r="C256">
        <v>19</v>
      </c>
      <c r="D256">
        <v>36</v>
      </c>
      <c r="E256" s="1">
        <v>1.9993055555555554</v>
      </c>
      <c r="F256" t="s">
        <v>387</v>
      </c>
      <c r="G256">
        <v>4</v>
      </c>
      <c r="H256">
        <v>1081.1561999999999</v>
      </c>
      <c r="I256">
        <v>7</v>
      </c>
      <c r="J256">
        <v>1163.79</v>
      </c>
      <c r="K256">
        <v>5.4825867599182097</v>
      </c>
      <c r="L256">
        <v>609.91</v>
      </c>
      <c r="M256" t="s">
        <v>60</v>
      </c>
      <c r="N256">
        <v>1</v>
      </c>
      <c r="O256">
        <v>1330</v>
      </c>
      <c r="P256">
        <v>1157</v>
      </c>
      <c r="Q256">
        <v>0.5</v>
      </c>
      <c r="R256">
        <v>578.5</v>
      </c>
    </row>
    <row r="257" spans="1:18" x14ac:dyDescent="0.3">
      <c r="A257" s="5">
        <v>45955</v>
      </c>
      <c r="B257" t="s">
        <v>388</v>
      </c>
      <c r="C257">
        <v>26</v>
      </c>
      <c r="D257">
        <v>35</v>
      </c>
      <c r="E257" s="1">
        <v>1.9652777777777777</v>
      </c>
      <c r="F257" t="s">
        <v>389</v>
      </c>
      <c r="G257">
        <v>0</v>
      </c>
      <c r="H257">
        <v>1081.0304000000001</v>
      </c>
      <c r="I257">
        <v>2.5</v>
      </c>
      <c r="J257">
        <v>1163.79</v>
      </c>
      <c r="K257">
        <v>1.9580666999707901</v>
      </c>
      <c r="L257">
        <v>1158.79</v>
      </c>
      <c r="M257" t="s">
        <v>27</v>
      </c>
      <c r="N257">
        <v>1</v>
      </c>
      <c r="O257">
        <v>1281</v>
      </c>
      <c r="P257">
        <v>1108</v>
      </c>
      <c r="Q257">
        <v>0</v>
      </c>
      <c r="R257">
        <v>1108</v>
      </c>
    </row>
    <row r="258" spans="1:18" x14ac:dyDescent="0.3">
      <c r="A258" s="5">
        <v>45955</v>
      </c>
      <c r="B258" t="s">
        <v>390</v>
      </c>
      <c r="C258">
        <v>8</v>
      </c>
      <c r="D258">
        <v>36</v>
      </c>
      <c r="E258" s="1">
        <v>1.25</v>
      </c>
      <c r="F258" t="s">
        <v>391</v>
      </c>
      <c r="G258">
        <v>0</v>
      </c>
      <c r="H258">
        <v>1081.4224999999999</v>
      </c>
      <c r="I258">
        <v>2.5</v>
      </c>
      <c r="J258">
        <v>1163.79</v>
      </c>
      <c r="K258">
        <v>1.9580666999707901</v>
      </c>
      <c r="L258">
        <v>1158.79</v>
      </c>
      <c r="M258" t="s">
        <v>27</v>
      </c>
      <c r="N258">
        <v>1</v>
      </c>
      <c r="O258">
        <v>1281</v>
      </c>
      <c r="P258">
        <v>1108</v>
      </c>
      <c r="Q258">
        <v>0</v>
      </c>
      <c r="R258">
        <v>1108</v>
      </c>
    </row>
    <row r="259" spans="1:18" x14ac:dyDescent="0.3">
      <c r="A259" s="5">
        <v>45955</v>
      </c>
      <c r="B259" t="s">
        <v>392</v>
      </c>
      <c r="C259">
        <v>9</v>
      </c>
      <c r="D259">
        <v>36</v>
      </c>
      <c r="E259" s="1">
        <v>1.25</v>
      </c>
      <c r="F259" t="s">
        <v>391</v>
      </c>
      <c r="G259">
        <v>0</v>
      </c>
      <c r="H259">
        <v>1081.4045000000001</v>
      </c>
      <c r="I259">
        <v>2.5</v>
      </c>
      <c r="J259">
        <v>1163.79</v>
      </c>
      <c r="K259">
        <v>1.9580666999707901</v>
      </c>
      <c r="L259">
        <v>1158.79</v>
      </c>
      <c r="M259" t="s">
        <v>27</v>
      </c>
      <c r="N259">
        <v>1</v>
      </c>
      <c r="O259">
        <v>1281</v>
      </c>
      <c r="P259">
        <v>1108</v>
      </c>
      <c r="Q259">
        <v>0</v>
      </c>
      <c r="R259">
        <v>1108</v>
      </c>
    </row>
    <row r="260" spans="1:18" x14ac:dyDescent="0.3">
      <c r="A260" s="5">
        <v>45955</v>
      </c>
      <c r="B260" t="s">
        <v>393</v>
      </c>
      <c r="C260">
        <v>13</v>
      </c>
      <c r="D260">
        <v>36</v>
      </c>
      <c r="E260" s="1">
        <v>1.0833333333333333</v>
      </c>
      <c r="F260" t="s">
        <v>394</v>
      </c>
      <c r="G260">
        <v>0</v>
      </c>
      <c r="H260">
        <v>1081.4947999999999</v>
      </c>
      <c r="I260">
        <v>2.5</v>
      </c>
      <c r="J260">
        <v>1163.79</v>
      </c>
      <c r="K260">
        <v>1.9580666999707901</v>
      </c>
      <c r="L260">
        <v>1158.79</v>
      </c>
      <c r="M260" t="s">
        <v>27</v>
      </c>
      <c r="N260">
        <v>1</v>
      </c>
      <c r="O260">
        <v>1282</v>
      </c>
      <c r="P260">
        <v>1109</v>
      </c>
      <c r="Q260">
        <v>0</v>
      </c>
      <c r="R260">
        <v>1109</v>
      </c>
    </row>
    <row r="261" spans="1:18" x14ac:dyDescent="0.3">
      <c r="A261" s="5">
        <v>45955</v>
      </c>
      <c r="B261" t="s">
        <v>395</v>
      </c>
      <c r="C261">
        <v>25</v>
      </c>
      <c r="D261">
        <v>36</v>
      </c>
      <c r="E261" s="1">
        <v>1.9652777777777777</v>
      </c>
      <c r="F261" t="s">
        <v>396</v>
      </c>
      <c r="G261">
        <v>3</v>
      </c>
      <c r="H261">
        <v>1080.704</v>
      </c>
      <c r="I261">
        <v>10</v>
      </c>
      <c r="J261">
        <v>1163.79</v>
      </c>
      <c r="K261">
        <v>7.8322667998831603</v>
      </c>
      <c r="L261">
        <v>601.29</v>
      </c>
      <c r="M261" t="s">
        <v>20</v>
      </c>
      <c r="N261">
        <v>1</v>
      </c>
      <c r="O261">
        <v>1362</v>
      </c>
      <c r="P261">
        <v>1189</v>
      </c>
      <c r="Q261">
        <v>0.5</v>
      </c>
      <c r="R261">
        <v>594.5</v>
      </c>
    </row>
    <row r="262" spans="1:18" x14ac:dyDescent="0.3">
      <c r="A262" s="5">
        <v>45955</v>
      </c>
      <c r="B262" t="s">
        <v>397</v>
      </c>
      <c r="C262">
        <v>26</v>
      </c>
      <c r="D262">
        <v>36</v>
      </c>
      <c r="E262" s="1">
        <v>1.9652777777777777</v>
      </c>
      <c r="F262" t="s">
        <v>398</v>
      </c>
      <c r="G262">
        <v>3</v>
      </c>
      <c r="H262">
        <v>1080.6862000000001</v>
      </c>
      <c r="I262">
        <v>10</v>
      </c>
      <c r="J262">
        <v>1163.79</v>
      </c>
      <c r="K262">
        <v>7.8322667998831603</v>
      </c>
      <c r="L262">
        <v>601.29</v>
      </c>
      <c r="M262" t="s">
        <v>20</v>
      </c>
      <c r="N262">
        <v>1</v>
      </c>
      <c r="O262">
        <v>1362</v>
      </c>
      <c r="P262">
        <v>1189</v>
      </c>
      <c r="Q262">
        <v>0.5</v>
      </c>
      <c r="R262">
        <v>594.5</v>
      </c>
    </row>
    <row r="263" spans="1:18" x14ac:dyDescent="0.3">
      <c r="A263" s="5">
        <v>45955</v>
      </c>
      <c r="B263" t="s">
        <v>399</v>
      </c>
      <c r="C263">
        <v>27</v>
      </c>
      <c r="D263">
        <v>36</v>
      </c>
      <c r="E263" s="1">
        <v>1.9652777777777777</v>
      </c>
      <c r="F263" t="s">
        <v>400</v>
      </c>
      <c r="G263">
        <v>1</v>
      </c>
      <c r="H263">
        <v>1080.6682000000001</v>
      </c>
      <c r="I263">
        <v>8.5</v>
      </c>
      <c r="J263">
        <v>1163.79</v>
      </c>
      <c r="K263">
        <v>6.6574267799006801</v>
      </c>
      <c r="L263">
        <v>1202.5899999999999</v>
      </c>
      <c r="M263" t="s">
        <v>27</v>
      </c>
      <c r="N263">
        <v>1</v>
      </c>
      <c r="O263">
        <v>1345</v>
      </c>
      <c r="P263">
        <v>1173</v>
      </c>
      <c r="Q263">
        <v>0</v>
      </c>
      <c r="R263">
        <v>1173</v>
      </c>
    </row>
    <row r="264" spans="1:18" x14ac:dyDescent="0.3">
      <c r="A264" s="5">
        <v>45955</v>
      </c>
      <c r="B264" t="s">
        <v>401</v>
      </c>
      <c r="C264">
        <v>35</v>
      </c>
      <c r="D264">
        <v>35</v>
      </c>
      <c r="E264" s="1">
        <v>1.4583333333333333</v>
      </c>
      <c r="F264" t="s">
        <v>402</v>
      </c>
      <c r="G264">
        <v>0</v>
      </c>
      <c r="H264">
        <v>1080.8007</v>
      </c>
      <c r="I264">
        <v>2.5</v>
      </c>
      <c r="J264">
        <v>1163.79</v>
      </c>
      <c r="K264">
        <v>1.9580666999707901</v>
      </c>
      <c r="L264">
        <v>1158.79</v>
      </c>
      <c r="M264" t="s">
        <v>27</v>
      </c>
      <c r="N264">
        <v>1</v>
      </c>
      <c r="O264">
        <v>1281</v>
      </c>
      <c r="P264">
        <v>1108</v>
      </c>
      <c r="Q264">
        <v>0</v>
      </c>
      <c r="R264">
        <v>1108</v>
      </c>
    </row>
    <row r="265" spans="1:18" x14ac:dyDescent="0.3">
      <c r="A265" s="5">
        <v>45955</v>
      </c>
      <c r="B265" t="s">
        <v>403</v>
      </c>
      <c r="C265">
        <v>8</v>
      </c>
      <c r="D265">
        <v>36</v>
      </c>
      <c r="E265" s="1">
        <v>1.9652777777777777</v>
      </c>
      <c r="F265" t="s">
        <v>404</v>
      </c>
      <c r="G265">
        <v>1</v>
      </c>
      <c r="H265">
        <v>1081.1285</v>
      </c>
      <c r="I265">
        <v>8.5</v>
      </c>
      <c r="J265">
        <v>1163.79</v>
      </c>
      <c r="K265">
        <v>6.6574267799006801</v>
      </c>
      <c r="L265">
        <v>1202.5899999999999</v>
      </c>
      <c r="M265" t="s">
        <v>27</v>
      </c>
      <c r="N265">
        <v>1</v>
      </c>
      <c r="O265">
        <v>1346</v>
      </c>
      <c r="P265">
        <v>1173</v>
      </c>
      <c r="Q265">
        <v>0</v>
      </c>
      <c r="R265">
        <v>1173</v>
      </c>
    </row>
    <row r="266" spans="1:18" x14ac:dyDescent="0.3">
      <c r="A266" s="5">
        <v>45955</v>
      </c>
      <c r="B266" t="s">
        <v>405</v>
      </c>
      <c r="C266">
        <v>35</v>
      </c>
      <c r="D266">
        <v>36</v>
      </c>
      <c r="E266" s="1">
        <v>1.9791666666666665</v>
      </c>
      <c r="F266" t="s">
        <v>406</v>
      </c>
      <c r="G266">
        <v>3</v>
      </c>
      <c r="H266">
        <v>1080.5239999999999</v>
      </c>
      <c r="I266">
        <v>10</v>
      </c>
      <c r="J266">
        <v>1163.79</v>
      </c>
      <c r="K266">
        <v>7.8322667998831603</v>
      </c>
      <c r="L266">
        <v>601.29</v>
      </c>
      <c r="M266" t="s">
        <v>20</v>
      </c>
      <c r="N266">
        <v>1</v>
      </c>
      <c r="O266">
        <v>1361</v>
      </c>
      <c r="P266">
        <v>1189</v>
      </c>
      <c r="Q266">
        <v>0.5</v>
      </c>
      <c r="R266">
        <v>594.5</v>
      </c>
    </row>
    <row r="267" spans="1:18" x14ac:dyDescent="0.3">
      <c r="A267" s="5">
        <v>45955</v>
      </c>
      <c r="B267" t="s">
        <v>407</v>
      </c>
      <c r="C267">
        <v>36</v>
      </c>
      <c r="D267">
        <v>36</v>
      </c>
      <c r="E267" s="1">
        <v>1.9652777777777777</v>
      </c>
      <c r="F267" t="s">
        <v>408</v>
      </c>
      <c r="G267">
        <v>1</v>
      </c>
      <c r="H267">
        <v>1080.5061000000001</v>
      </c>
      <c r="I267">
        <v>8.5</v>
      </c>
      <c r="J267">
        <v>1163.79</v>
      </c>
      <c r="K267">
        <v>6.6574267799006801</v>
      </c>
      <c r="L267">
        <v>1202.5899999999999</v>
      </c>
      <c r="M267" t="s">
        <v>27</v>
      </c>
      <c r="N267">
        <v>1</v>
      </c>
      <c r="O267">
        <v>1345</v>
      </c>
      <c r="P267">
        <v>1172</v>
      </c>
      <c r="Q267">
        <v>0</v>
      </c>
      <c r="R267">
        <v>1172</v>
      </c>
    </row>
    <row r="268" spans="1:18" x14ac:dyDescent="0.3">
      <c r="A268" s="5">
        <v>45955</v>
      </c>
      <c r="B268" t="s">
        <v>409</v>
      </c>
      <c r="C268">
        <v>15</v>
      </c>
      <c r="D268">
        <v>36</v>
      </c>
      <c r="E268" s="1">
        <v>1.9652777777777777</v>
      </c>
      <c r="F268" t="s">
        <v>410</v>
      </c>
      <c r="G268">
        <v>1</v>
      </c>
      <c r="H268">
        <v>1081.0026</v>
      </c>
      <c r="I268">
        <v>8.5</v>
      </c>
      <c r="J268">
        <v>1163.79</v>
      </c>
      <c r="K268">
        <v>6.6574267799006801</v>
      </c>
      <c r="L268">
        <v>1202.5899999999999</v>
      </c>
      <c r="M268" t="s">
        <v>27</v>
      </c>
      <c r="N268">
        <v>1</v>
      </c>
      <c r="O268">
        <v>1346</v>
      </c>
      <c r="P268">
        <v>1173</v>
      </c>
      <c r="Q268">
        <v>0</v>
      </c>
      <c r="R268">
        <v>1173</v>
      </c>
    </row>
    <row r="269" spans="1:18" x14ac:dyDescent="0.3">
      <c r="A269" s="5">
        <v>45955</v>
      </c>
      <c r="B269" t="s">
        <v>411</v>
      </c>
      <c r="C269">
        <v>28</v>
      </c>
      <c r="D269">
        <v>36</v>
      </c>
      <c r="E269" s="1">
        <v>1.9652777777777777</v>
      </c>
      <c r="F269" t="s">
        <v>412</v>
      </c>
      <c r="G269">
        <v>1</v>
      </c>
      <c r="H269">
        <v>1080.6501000000001</v>
      </c>
      <c r="I269">
        <v>8.5</v>
      </c>
      <c r="J269">
        <v>1163.79</v>
      </c>
      <c r="K269">
        <v>6.6574267799006801</v>
      </c>
      <c r="L269">
        <v>1202.5899999999999</v>
      </c>
      <c r="M269" t="s">
        <v>27</v>
      </c>
      <c r="N269">
        <v>1</v>
      </c>
      <c r="O269">
        <v>1345</v>
      </c>
      <c r="P269">
        <v>1173</v>
      </c>
      <c r="Q269">
        <v>0</v>
      </c>
      <c r="R269">
        <v>1173</v>
      </c>
    </row>
    <row r="270" spans="1:18" x14ac:dyDescent="0.3">
      <c r="A270" s="5">
        <v>45955</v>
      </c>
      <c r="B270" t="s">
        <v>413</v>
      </c>
      <c r="C270">
        <v>29</v>
      </c>
      <c r="D270">
        <v>36</v>
      </c>
      <c r="E270" s="1">
        <v>1.9652777777777777</v>
      </c>
      <c r="F270" t="s">
        <v>414</v>
      </c>
      <c r="G270">
        <v>1</v>
      </c>
      <c r="H270">
        <v>1080.6321</v>
      </c>
      <c r="I270">
        <v>8.5</v>
      </c>
      <c r="J270">
        <v>1163.79</v>
      </c>
      <c r="K270">
        <v>6.6574267799006801</v>
      </c>
      <c r="L270">
        <v>1202.5899999999999</v>
      </c>
      <c r="M270" t="s">
        <v>27</v>
      </c>
      <c r="N270">
        <v>1</v>
      </c>
      <c r="O270">
        <v>1345</v>
      </c>
      <c r="P270">
        <v>1172</v>
      </c>
      <c r="Q270">
        <v>0</v>
      </c>
      <c r="R270">
        <v>1172</v>
      </c>
    </row>
    <row r="271" spans="1:18" x14ac:dyDescent="0.3">
      <c r="A271" s="5">
        <v>45955</v>
      </c>
      <c r="B271" t="s">
        <v>415</v>
      </c>
      <c r="C271">
        <v>11</v>
      </c>
      <c r="D271">
        <v>36</v>
      </c>
      <c r="E271" s="1">
        <v>1.9791666666666665</v>
      </c>
      <c r="F271" t="s">
        <v>416</v>
      </c>
      <c r="G271">
        <v>5</v>
      </c>
      <c r="H271">
        <v>1081.1375</v>
      </c>
      <c r="I271">
        <v>0</v>
      </c>
      <c r="J271">
        <v>1163.79</v>
      </c>
      <c r="K271">
        <v>0</v>
      </c>
      <c r="L271">
        <v>1158.79</v>
      </c>
      <c r="M271" t="s">
        <v>27</v>
      </c>
      <c r="N271">
        <v>1</v>
      </c>
      <c r="O271">
        <v>1254</v>
      </c>
      <c r="P271">
        <v>1081</v>
      </c>
      <c r="Q271">
        <v>0</v>
      </c>
      <c r="R271">
        <v>1081</v>
      </c>
    </row>
    <row r="272" spans="1:18" x14ac:dyDescent="0.3">
      <c r="A272" s="5">
        <v>45955</v>
      </c>
      <c r="B272" t="s">
        <v>417</v>
      </c>
      <c r="C272">
        <v>3</v>
      </c>
      <c r="D272">
        <v>36</v>
      </c>
      <c r="E272" s="1">
        <v>1.9652777777777777</v>
      </c>
      <c r="F272" t="s">
        <v>418</v>
      </c>
      <c r="G272">
        <v>1</v>
      </c>
      <c r="H272">
        <v>1081.2183</v>
      </c>
      <c r="I272">
        <v>8.5</v>
      </c>
      <c r="J272">
        <v>1163.79</v>
      </c>
      <c r="K272">
        <v>6.6574267799006801</v>
      </c>
      <c r="L272">
        <v>1202.5899999999999</v>
      </c>
      <c r="M272" t="s">
        <v>27</v>
      </c>
      <c r="N272">
        <v>1</v>
      </c>
      <c r="O272">
        <v>1346</v>
      </c>
      <c r="P272">
        <v>1173</v>
      </c>
      <c r="Q272">
        <v>0</v>
      </c>
      <c r="R272">
        <v>1173</v>
      </c>
    </row>
    <row r="273" spans="1:18" x14ac:dyDescent="0.3">
      <c r="A273" s="5">
        <v>45955</v>
      </c>
      <c r="B273" t="s">
        <v>419</v>
      </c>
      <c r="C273">
        <v>14</v>
      </c>
      <c r="D273">
        <v>36</v>
      </c>
      <c r="E273" s="1">
        <v>1.9791666666666665</v>
      </c>
      <c r="F273" t="s">
        <v>420</v>
      </c>
      <c r="G273">
        <v>2</v>
      </c>
      <c r="H273">
        <v>1081.0202999999999</v>
      </c>
      <c r="I273">
        <v>5</v>
      </c>
      <c r="J273">
        <v>1163.79</v>
      </c>
      <c r="K273">
        <v>3.9161333999415802</v>
      </c>
      <c r="L273">
        <v>601.29</v>
      </c>
      <c r="M273" t="s">
        <v>60</v>
      </c>
      <c r="N273">
        <v>1</v>
      </c>
      <c r="O273">
        <v>1308</v>
      </c>
      <c r="P273">
        <v>1135</v>
      </c>
      <c r="Q273">
        <v>0.5</v>
      </c>
      <c r="R273">
        <v>567.5</v>
      </c>
    </row>
    <row r="274" spans="1:18" x14ac:dyDescent="0.3">
      <c r="A274" s="5">
        <v>45955</v>
      </c>
      <c r="B274" t="s">
        <v>421</v>
      </c>
      <c r="C274">
        <v>15</v>
      </c>
      <c r="D274">
        <v>36</v>
      </c>
      <c r="E274" s="1">
        <v>1.9791666666666665</v>
      </c>
      <c r="F274" t="s">
        <v>422</v>
      </c>
      <c r="G274">
        <v>1</v>
      </c>
      <c r="H274">
        <v>1081.0026</v>
      </c>
      <c r="I274">
        <v>8.5</v>
      </c>
      <c r="J274">
        <v>1163.79</v>
      </c>
      <c r="K274">
        <v>6.6574267799006801</v>
      </c>
      <c r="L274">
        <v>1202.5899999999999</v>
      </c>
      <c r="M274" t="s">
        <v>27</v>
      </c>
      <c r="N274">
        <v>1</v>
      </c>
      <c r="O274">
        <v>1346</v>
      </c>
      <c r="P274">
        <v>1173</v>
      </c>
      <c r="Q274">
        <v>0</v>
      </c>
      <c r="R274">
        <v>1173</v>
      </c>
    </row>
    <row r="275" spans="1:18" x14ac:dyDescent="0.3">
      <c r="A275" s="5">
        <v>45955</v>
      </c>
      <c r="B275" t="s">
        <v>423</v>
      </c>
      <c r="C275">
        <v>33</v>
      </c>
      <c r="D275">
        <v>36</v>
      </c>
      <c r="E275" s="1">
        <v>1.9993055555555554</v>
      </c>
      <c r="F275" t="s">
        <v>424</v>
      </c>
      <c r="G275">
        <v>2</v>
      </c>
      <c r="H275">
        <v>1080.5598</v>
      </c>
      <c r="I275">
        <v>5</v>
      </c>
      <c r="J275">
        <v>1163.79</v>
      </c>
      <c r="K275">
        <v>3.9161333999415802</v>
      </c>
      <c r="L275">
        <v>601.29</v>
      </c>
      <c r="M275" t="s">
        <v>60</v>
      </c>
      <c r="N275">
        <v>1</v>
      </c>
      <c r="O275">
        <v>1307</v>
      </c>
      <c r="P275">
        <v>1135</v>
      </c>
      <c r="Q275">
        <v>0.5</v>
      </c>
      <c r="R275">
        <v>567.5</v>
      </c>
    </row>
    <row r="276" spans="1:18" x14ac:dyDescent="0.3">
      <c r="A276" s="5">
        <v>45955</v>
      </c>
      <c r="B276" t="s">
        <v>425</v>
      </c>
      <c r="C276">
        <v>34</v>
      </c>
      <c r="D276">
        <v>36</v>
      </c>
      <c r="E276" s="1">
        <v>1.9993055555555554</v>
      </c>
      <c r="F276" t="s">
        <v>426</v>
      </c>
      <c r="G276">
        <v>1</v>
      </c>
      <c r="H276">
        <v>1080.5417</v>
      </c>
      <c r="I276">
        <v>8.5</v>
      </c>
      <c r="J276">
        <v>1163.79</v>
      </c>
      <c r="K276">
        <v>6.6574267799006801</v>
      </c>
      <c r="L276">
        <v>1202.5899999999999</v>
      </c>
      <c r="M276" t="s">
        <v>27</v>
      </c>
      <c r="N276">
        <v>1</v>
      </c>
      <c r="O276">
        <v>1345</v>
      </c>
      <c r="P276">
        <v>1172</v>
      </c>
      <c r="Q276">
        <v>0</v>
      </c>
      <c r="R276">
        <v>1172</v>
      </c>
    </row>
    <row r="277" spans="1:18" x14ac:dyDescent="0.3">
      <c r="A277" s="5">
        <v>45955</v>
      </c>
      <c r="B277" t="s">
        <v>427</v>
      </c>
      <c r="C277">
        <v>30</v>
      </c>
      <c r="D277">
        <v>36</v>
      </c>
      <c r="E277" s="1">
        <v>1.9791666666666665</v>
      </c>
      <c r="F277" t="s">
        <v>428</v>
      </c>
      <c r="G277">
        <v>1</v>
      </c>
      <c r="H277">
        <v>1080.6135999999999</v>
      </c>
      <c r="I277">
        <v>8.5</v>
      </c>
      <c r="J277">
        <v>1163.79</v>
      </c>
      <c r="K277">
        <v>6.6574267799006801</v>
      </c>
      <c r="L277">
        <v>1202.5899999999999</v>
      </c>
      <c r="M277" t="s">
        <v>27</v>
      </c>
      <c r="N277">
        <v>1</v>
      </c>
      <c r="O277">
        <v>1345</v>
      </c>
      <c r="P277">
        <v>1172</v>
      </c>
      <c r="Q277">
        <v>0</v>
      </c>
      <c r="R277">
        <v>1172</v>
      </c>
    </row>
    <row r="278" spans="1:18" x14ac:dyDescent="0.3">
      <c r="A278" s="5">
        <v>45955</v>
      </c>
      <c r="B278" t="s">
        <v>429</v>
      </c>
      <c r="C278">
        <v>16</v>
      </c>
      <c r="D278">
        <v>36</v>
      </c>
      <c r="E278" s="1">
        <v>1.9791666666666665</v>
      </c>
      <c r="F278" t="s">
        <v>430</v>
      </c>
      <c r="G278">
        <v>1</v>
      </c>
      <c r="H278">
        <v>1080.9839999999999</v>
      </c>
      <c r="I278">
        <v>8.5</v>
      </c>
      <c r="J278">
        <v>1163.79</v>
      </c>
      <c r="K278">
        <v>6.6574267799006801</v>
      </c>
      <c r="L278">
        <v>1202.5899999999999</v>
      </c>
      <c r="M278" t="s">
        <v>27</v>
      </c>
      <c r="N278">
        <v>1</v>
      </c>
      <c r="O278">
        <v>1346</v>
      </c>
      <c r="P278">
        <v>1173</v>
      </c>
      <c r="Q278">
        <v>0</v>
      </c>
      <c r="R278">
        <v>1173</v>
      </c>
    </row>
    <row r="279" spans="1:18" x14ac:dyDescent="0.3">
      <c r="A279" s="5">
        <v>45955</v>
      </c>
      <c r="B279" t="s">
        <v>431</v>
      </c>
      <c r="C279">
        <v>4</v>
      </c>
      <c r="D279">
        <v>36</v>
      </c>
      <c r="E279" s="1">
        <v>1.9993055555555554</v>
      </c>
      <c r="F279" t="s">
        <v>432</v>
      </c>
      <c r="G279">
        <v>1</v>
      </c>
      <c r="H279">
        <v>1081.0815</v>
      </c>
      <c r="I279">
        <v>8.5</v>
      </c>
      <c r="J279">
        <v>1163.79</v>
      </c>
      <c r="K279">
        <v>6.6574267799006801</v>
      </c>
      <c r="L279">
        <v>1202.5899999999999</v>
      </c>
      <c r="M279" t="s">
        <v>27</v>
      </c>
      <c r="N279">
        <v>1</v>
      </c>
      <c r="O279">
        <v>1346</v>
      </c>
      <c r="P279">
        <v>1173</v>
      </c>
      <c r="Q279">
        <v>0</v>
      </c>
      <c r="R279">
        <v>1173</v>
      </c>
    </row>
    <row r="280" spans="1:18" x14ac:dyDescent="0.3">
      <c r="A280" s="5">
        <v>45955</v>
      </c>
      <c r="B280" t="s">
        <v>433</v>
      </c>
      <c r="C280">
        <v>32</v>
      </c>
      <c r="D280">
        <v>36</v>
      </c>
      <c r="E280" s="1">
        <v>1.9993055555555554</v>
      </c>
      <c r="F280" t="s">
        <v>434</v>
      </c>
      <c r="G280">
        <v>2</v>
      </c>
      <c r="H280">
        <v>1080.5776000000001</v>
      </c>
      <c r="I280">
        <v>5</v>
      </c>
      <c r="J280">
        <v>1163.79</v>
      </c>
      <c r="K280">
        <v>3.9161333999415802</v>
      </c>
      <c r="L280">
        <v>601.29</v>
      </c>
      <c r="M280" t="s">
        <v>60</v>
      </c>
      <c r="N280">
        <v>1</v>
      </c>
      <c r="O280">
        <v>1307</v>
      </c>
      <c r="P280">
        <v>1135</v>
      </c>
      <c r="Q280">
        <v>0.5</v>
      </c>
      <c r="R280">
        <v>567.5</v>
      </c>
    </row>
    <row r="281" spans="1:18" x14ac:dyDescent="0.3">
      <c r="A281" s="5">
        <v>45955</v>
      </c>
      <c r="B281" t="s">
        <v>435</v>
      </c>
      <c r="C281">
        <v>35</v>
      </c>
      <c r="D281">
        <v>36</v>
      </c>
      <c r="E281" s="1">
        <v>1.9993055555555554</v>
      </c>
      <c r="F281" t="s">
        <v>436</v>
      </c>
      <c r="G281">
        <v>3</v>
      </c>
      <c r="H281">
        <v>1080.5237999999999</v>
      </c>
      <c r="I281">
        <v>10</v>
      </c>
      <c r="J281">
        <v>1163.79</v>
      </c>
      <c r="K281">
        <v>7.8322667998831603</v>
      </c>
      <c r="L281">
        <v>601.29</v>
      </c>
      <c r="M281" t="s">
        <v>20</v>
      </c>
      <c r="N281">
        <v>1</v>
      </c>
      <c r="O281">
        <v>1361</v>
      </c>
      <c r="P281">
        <v>1189</v>
      </c>
      <c r="Q281">
        <v>0.5</v>
      </c>
      <c r="R281">
        <v>594.5</v>
      </c>
    </row>
    <row r="282" spans="1:18" x14ac:dyDescent="0.3">
      <c r="A282" s="5">
        <v>45956</v>
      </c>
      <c r="B282" t="s">
        <v>437</v>
      </c>
      <c r="C282">
        <v>4</v>
      </c>
      <c r="D282">
        <v>36</v>
      </c>
      <c r="E282" s="1">
        <v>1.25</v>
      </c>
      <c r="F282" t="s">
        <v>438</v>
      </c>
      <c r="G282">
        <v>4</v>
      </c>
      <c r="H282">
        <v>1081.3462</v>
      </c>
      <c r="I282">
        <v>7</v>
      </c>
      <c r="J282">
        <v>1163.79</v>
      </c>
      <c r="K282">
        <v>5.4825867599182097</v>
      </c>
      <c r="L282">
        <v>1082.33</v>
      </c>
      <c r="M282" t="s">
        <v>27</v>
      </c>
      <c r="N282">
        <v>1</v>
      </c>
      <c r="O282">
        <v>1330</v>
      </c>
      <c r="P282">
        <v>1157</v>
      </c>
      <c r="Q282">
        <v>0</v>
      </c>
      <c r="R282">
        <v>1157</v>
      </c>
    </row>
    <row r="283" spans="1:18" x14ac:dyDescent="0.3">
      <c r="A283" s="5">
        <v>45956</v>
      </c>
      <c r="B283" t="s">
        <v>439</v>
      </c>
      <c r="C283">
        <v>7</v>
      </c>
      <c r="D283">
        <v>36</v>
      </c>
      <c r="E283" s="1">
        <v>1.25</v>
      </c>
      <c r="F283" t="s">
        <v>440</v>
      </c>
      <c r="G283">
        <v>1</v>
      </c>
      <c r="H283">
        <v>1081.5958000000001</v>
      </c>
      <c r="I283">
        <v>8.5</v>
      </c>
      <c r="J283">
        <v>1163.79</v>
      </c>
      <c r="K283">
        <v>6.6574267799006801</v>
      </c>
      <c r="L283">
        <v>1158.79</v>
      </c>
      <c r="M283" t="s">
        <v>27</v>
      </c>
      <c r="N283">
        <v>1</v>
      </c>
      <c r="O283">
        <v>1347</v>
      </c>
      <c r="P283">
        <v>1174</v>
      </c>
      <c r="Q283">
        <v>0</v>
      </c>
      <c r="R283">
        <v>1174</v>
      </c>
    </row>
    <row r="284" spans="1:18" x14ac:dyDescent="0.3">
      <c r="A284" s="5">
        <v>45956</v>
      </c>
      <c r="B284" t="s">
        <v>441</v>
      </c>
      <c r="C284">
        <v>13</v>
      </c>
      <c r="D284">
        <v>36</v>
      </c>
      <c r="E284" s="1">
        <v>1.25</v>
      </c>
      <c r="F284" t="s">
        <v>440</v>
      </c>
      <c r="G284">
        <v>1</v>
      </c>
      <c r="H284">
        <v>1081.4882</v>
      </c>
      <c r="I284">
        <v>8.5</v>
      </c>
      <c r="J284">
        <v>1163.79</v>
      </c>
      <c r="K284">
        <v>6.6574267799006801</v>
      </c>
      <c r="L284">
        <v>1158.79</v>
      </c>
      <c r="M284" t="s">
        <v>27</v>
      </c>
      <c r="N284">
        <v>1</v>
      </c>
      <c r="O284">
        <v>1346</v>
      </c>
      <c r="P284">
        <v>1173</v>
      </c>
      <c r="Q284">
        <v>0</v>
      </c>
      <c r="R284">
        <v>1173</v>
      </c>
    </row>
    <row r="285" spans="1:18" x14ac:dyDescent="0.3">
      <c r="A285" s="5">
        <v>45956</v>
      </c>
      <c r="B285" t="s">
        <v>442</v>
      </c>
      <c r="C285">
        <v>32</v>
      </c>
      <c r="D285">
        <v>36</v>
      </c>
      <c r="E285" s="1">
        <v>1.25</v>
      </c>
      <c r="F285" t="s">
        <v>443</v>
      </c>
      <c r="G285">
        <v>5</v>
      </c>
      <c r="H285">
        <v>1080.8405</v>
      </c>
      <c r="I285">
        <v>0</v>
      </c>
      <c r="J285">
        <v>1163.79</v>
      </c>
      <c r="K285">
        <v>0</v>
      </c>
      <c r="L285">
        <v>975.86</v>
      </c>
      <c r="M285" t="s">
        <v>44</v>
      </c>
      <c r="N285">
        <v>1</v>
      </c>
      <c r="O285">
        <v>1254</v>
      </c>
      <c r="P285">
        <v>1081</v>
      </c>
      <c r="Q285">
        <v>0</v>
      </c>
      <c r="R285">
        <v>1081</v>
      </c>
    </row>
    <row r="286" spans="1:18" x14ac:dyDescent="0.3">
      <c r="A286" s="5">
        <v>45956</v>
      </c>
      <c r="B286" t="s">
        <v>444</v>
      </c>
      <c r="C286">
        <v>35</v>
      </c>
      <c r="D286">
        <v>36</v>
      </c>
      <c r="E286" s="1">
        <v>1.25</v>
      </c>
      <c r="F286" t="s">
        <v>445</v>
      </c>
      <c r="G286">
        <v>1</v>
      </c>
      <c r="H286">
        <v>1080.7860000000001</v>
      </c>
      <c r="I286">
        <v>8.5</v>
      </c>
      <c r="J286">
        <v>1163.79</v>
      </c>
      <c r="K286">
        <v>6.6574267799006801</v>
      </c>
      <c r="L286">
        <v>1219.83</v>
      </c>
      <c r="M286" t="s">
        <v>27</v>
      </c>
      <c r="N286">
        <v>1</v>
      </c>
      <c r="O286">
        <v>1346</v>
      </c>
      <c r="P286">
        <v>1173</v>
      </c>
      <c r="Q286">
        <v>0</v>
      </c>
      <c r="R286">
        <v>1173</v>
      </c>
    </row>
    <row r="287" spans="1:18" x14ac:dyDescent="0.3">
      <c r="A287" s="5">
        <v>45956</v>
      </c>
      <c r="B287" t="s">
        <v>446</v>
      </c>
      <c r="C287">
        <v>7</v>
      </c>
      <c r="D287">
        <v>36</v>
      </c>
      <c r="E287" s="1">
        <v>1.25</v>
      </c>
      <c r="F287" t="s">
        <v>447</v>
      </c>
      <c r="G287">
        <v>1</v>
      </c>
      <c r="H287">
        <v>1081.4215999999999</v>
      </c>
      <c r="I287">
        <v>8.5</v>
      </c>
      <c r="J287">
        <v>1163.79</v>
      </c>
      <c r="K287">
        <v>6.6574267799006801</v>
      </c>
      <c r="L287">
        <v>1219.83</v>
      </c>
      <c r="M287" t="s">
        <v>27</v>
      </c>
      <c r="N287">
        <v>1</v>
      </c>
      <c r="O287">
        <v>1346</v>
      </c>
      <c r="P287">
        <v>1173</v>
      </c>
      <c r="Q287">
        <v>0</v>
      </c>
      <c r="R287">
        <v>1173</v>
      </c>
    </row>
    <row r="288" spans="1:18" x14ac:dyDescent="0.3">
      <c r="A288" s="5">
        <v>45956</v>
      </c>
      <c r="B288" t="s">
        <v>448</v>
      </c>
      <c r="C288">
        <v>10</v>
      </c>
      <c r="D288">
        <v>36</v>
      </c>
      <c r="E288" s="1">
        <v>1.25</v>
      </c>
      <c r="F288" t="s">
        <v>449</v>
      </c>
      <c r="G288">
        <v>1</v>
      </c>
      <c r="H288">
        <v>1081.3677</v>
      </c>
      <c r="I288">
        <v>8.5</v>
      </c>
      <c r="J288">
        <v>1163.79</v>
      </c>
      <c r="K288">
        <v>6.6574267799006801</v>
      </c>
      <c r="L288">
        <v>1219.83</v>
      </c>
      <c r="M288" t="s">
        <v>27</v>
      </c>
      <c r="N288">
        <v>1</v>
      </c>
      <c r="O288">
        <v>1346</v>
      </c>
      <c r="P288">
        <v>1173</v>
      </c>
      <c r="Q288">
        <v>0</v>
      </c>
      <c r="R288">
        <v>1173</v>
      </c>
    </row>
    <row r="289" spans="1:18" x14ac:dyDescent="0.3">
      <c r="A289" s="5">
        <v>45956</v>
      </c>
      <c r="B289" t="s">
        <v>450</v>
      </c>
      <c r="C289">
        <v>34</v>
      </c>
      <c r="D289">
        <v>36</v>
      </c>
      <c r="E289" s="1">
        <v>1.25</v>
      </c>
      <c r="F289" t="s">
        <v>451</v>
      </c>
      <c r="G289">
        <v>2</v>
      </c>
      <c r="H289">
        <v>1080.8036999999999</v>
      </c>
      <c r="I289">
        <v>5</v>
      </c>
      <c r="J289">
        <v>1163.79</v>
      </c>
      <c r="K289">
        <v>3.9161333999415802</v>
      </c>
      <c r="L289">
        <v>609.91</v>
      </c>
      <c r="M289" t="s">
        <v>60</v>
      </c>
      <c r="N289">
        <v>1</v>
      </c>
      <c r="O289">
        <v>1308</v>
      </c>
      <c r="P289">
        <v>1135</v>
      </c>
      <c r="Q289">
        <v>0.5</v>
      </c>
      <c r="R289">
        <v>567.5</v>
      </c>
    </row>
    <row r="290" spans="1:18" x14ac:dyDescent="0.3">
      <c r="A290" s="5">
        <v>45956</v>
      </c>
      <c r="B290" t="s">
        <v>452</v>
      </c>
      <c r="C290">
        <v>10</v>
      </c>
      <c r="D290">
        <v>35</v>
      </c>
      <c r="E290" s="1">
        <v>1.9993055555555554</v>
      </c>
      <c r="F290" t="s">
        <v>453</v>
      </c>
      <c r="G290">
        <v>4</v>
      </c>
      <c r="H290">
        <v>1081.2399</v>
      </c>
      <c r="I290">
        <v>7</v>
      </c>
      <c r="J290">
        <v>1163.79</v>
      </c>
      <c r="K290">
        <v>5.4825867599182097</v>
      </c>
      <c r="L290">
        <v>1082.33</v>
      </c>
      <c r="M290" t="s">
        <v>27</v>
      </c>
      <c r="N290">
        <v>1</v>
      </c>
      <c r="O290">
        <v>1330</v>
      </c>
      <c r="P290">
        <v>1157</v>
      </c>
      <c r="Q290">
        <v>0</v>
      </c>
      <c r="R290">
        <v>1157</v>
      </c>
    </row>
    <row r="291" spans="1:18" x14ac:dyDescent="0.3">
      <c r="A291" s="5">
        <v>45956</v>
      </c>
      <c r="B291" t="s">
        <v>454</v>
      </c>
      <c r="C291">
        <v>1</v>
      </c>
      <c r="D291">
        <v>35</v>
      </c>
      <c r="E291" s="1">
        <v>1.4583333333333333</v>
      </c>
      <c r="F291" t="s">
        <v>455</v>
      </c>
      <c r="G291">
        <v>1</v>
      </c>
      <c r="H291">
        <v>1081.4000000000001</v>
      </c>
      <c r="I291">
        <v>8.5</v>
      </c>
      <c r="J291">
        <v>1163.79</v>
      </c>
      <c r="K291">
        <v>6.6574267799006801</v>
      </c>
      <c r="L291">
        <v>1219.83</v>
      </c>
      <c r="M291" t="s">
        <v>27</v>
      </c>
      <c r="N291">
        <v>1</v>
      </c>
      <c r="O291">
        <v>1346</v>
      </c>
      <c r="P291">
        <v>1173</v>
      </c>
      <c r="Q291">
        <v>0</v>
      </c>
      <c r="R291">
        <v>1173</v>
      </c>
    </row>
    <row r="292" spans="1:18" x14ac:dyDescent="0.3">
      <c r="A292" s="5">
        <v>45956</v>
      </c>
      <c r="B292" t="s">
        <v>456</v>
      </c>
      <c r="C292">
        <v>26</v>
      </c>
      <c r="D292">
        <v>36</v>
      </c>
      <c r="E292" s="1">
        <v>1.9993055555555554</v>
      </c>
      <c r="F292" t="s">
        <v>457</v>
      </c>
      <c r="G292">
        <v>4</v>
      </c>
      <c r="H292">
        <v>1080.9351999999999</v>
      </c>
      <c r="I292">
        <v>7</v>
      </c>
      <c r="J292">
        <v>1163.79</v>
      </c>
      <c r="K292">
        <v>5.4825867599182097</v>
      </c>
      <c r="L292">
        <v>1030.17</v>
      </c>
      <c r="M292" t="s">
        <v>27</v>
      </c>
      <c r="N292">
        <v>1</v>
      </c>
      <c r="O292">
        <v>1330</v>
      </c>
      <c r="P292">
        <v>1157</v>
      </c>
      <c r="Q292">
        <v>0</v>
      </c>
      <c r="R292">
        <v>1157</v>
      </c>
    </row>
    <row r="293" spans="1:18" x14ac:dyDescent="0.3">
      <c r="A293" s="5">
        <v>45956</v>
      </c>
      <c r="B293" t="s">
        <v>458</v>
      </c>
      <c r="C293">
        <v>17</v>
      </c>
      <c r="D293">
        <v>36</v>
      </c>
      <c r="E293" s="1">
        <v>1.0833333333333333</v>
      </c>
      <c r="F293" t="s">
        <v>459</v>
      </c>
      <c r="G293">
        <v>0</v>
      </c>
      <c r="H293">
        <v>1081.4141</v>
      </c>
      <c r="I293">
        <v>2.5</v>
      </c>
      <c r="J293">
        <v>1163.79</v>
      </c>
      <c r="K293">
        <v>1.9580666999707901</v>
      </c>
      <c r="L293">
        <v>1158.79</v>
      </c>
      <c r="M293" t="s">
        <v>27</v>
      </c>
      <c r="N293">
        <v>1</v>
      </c>
      <c r="O293">
        <v>1281</v>
      </c>
      <c r="P293">
        <v>1108</v>
      </c>
      <c r="Q293">
        <v>0</v>
      </c>
      <c r="R293">
        <v>1108</v>
      </c>
    </row>
    <row r="294" spans="1:18" x14ac:dyDescent="0.3">
      <c r="A294" s="5">
        <v>45956</v>
      </c>
      <c r="B294" t="s">
        <v>460</v>
      </c>
      <c r="C294">
        <v>15</v>
      </c>
      <c r="D294">
        <v>36</v>
      </c>
      <c r="E294" s="1">
        <v>1.0833333333333333</v>
      </c>
      <c r="F294" t="s">
        <v>461</v>
      </c>
      <c r="G294">
        <v>0</v>
      </c>
      <c r="H294">
        <v>1081.4493</v>
      </c>
      <c r="I294">
        <v>2.5</v>
      </c>
      <c r="J294">
        <v>1163.79</v>
      </c>
      <c r="K294">
        <v>1.9580666999707901</v>
      </c>
      <c r="L294">
        <v>1158.79</v>
      </c>
      <c r="M294" t="s">
        <v>27</v>
      </c>
      <c r="N294">
        <v>1</v>
      </c>
      <c r="O294">
        <v>1282</v>
      </c>
      <c r="P294">
        <v>1108</v>
      </c>
      <c r="Q294">
        <v>0</v>
      </c>
      <c r="R294">
        <v>1108</v>
      </c>
    </row>
    <row r="295" spans="1:18" x14ac:dyDescent="0.3">
      <c r="A295" s="5">
        <v>45956</v>
      </c>
      <c r="B295" t="s">
        <v>460</v>
      </c>
      <c r="C295">
        <v>15</v>
      </c>
      <c r="D295">
        <v>36</v>
      </c>
      <c r="E295" s="1">
        <v>1.0833333333333333</v>
      </c>
      <c r="F295" t="s">
        <v>461</v>
      </c>
      <c r="G295">
        <v>0</v>
      </c>
      <c r="H295">
        <v>1081.4493</v>
      </c>
      <c r="I295">
        <v>2.5</v>
      </c>
      <c r="J295">
        <v>1163.79</v>
      </c>
      <c r="K295">
        <v>1.9580666999707901</v>
      </c>
      <c r="L295">
        <v>1158.79</v>
      </c>
      <c r="M295" t="s">
        <v>27</v>
      </c>
      <c r="N295">
        <v>1</v>
      </c>
      <c r="O295">
        <v>1282</v>
      </c>
      <c r="P295">
        <v>1108</v>
      </c>
      <c r="Q295">
        <v>0</v>
      </c>
      <c r="R295">
        <v>1108</v>
      </c>
    </row>
    <row r="296" spans="1:18" x14ac:dyDescent="0.3">
      <c r="A296" s="5">
        <v>45956</v>
      </c>
      <c r="B296" t="s">
        <v>462</v>
      </c>
      <c r="C296">
        <v>14</v>
      </c>
      <c r="D296">
        <v>36</v>
      </c>
      <c r="E296" s="1">
        <v>1.0833333333333333</v>
      </c>
      <c r="F296" t="s">
        <v>461</v>
      </c>
      <c r="G296">
        <v>0</v>
      </c>
      <c r="H296">
        <v>1081.4673</v>
      </c>
      <c r="I296">
        <v>2.5</v>
      </c>
      <c r="J296">
        <v>1163.79</v>
      </c>
      <c r="K296">
        <v>1.9580666999707901</v>
      </c>
      <c r="L296">
        <v>1158.79</v>
      </c>
      <c r="M296" t="s">
        <v>27</v>
      </c>
      <c r="N296">
        <v>1</v>
      </c>
      <c r="O296">
        <v>1282</v>
      </c>
      <c r="P296">
        <v>1109</v>
      </c>
      <c r="Q296">
        <v>0</v>
      </c>
      <c r="R296">
        <v>1109</v>
      </c>
    </row>
    <row r="297" spans="1:18" x14ac:dyDescent="0.3">
      <c r="A297" s="5">
        <v>45956</v>
      </c>
      <c r="B297" t="s">
        <v>462</v>
      </c>
      <c r="C297">
        <v>14</v>
      </c>
      <c r="D297">
        <v>36</v>
      </c>
      <c r="E297" s="1">
        <v>1.0833333333333333</v>
      </c>
      <c r="F297" t="s">
        <v>461</v>
      </c>
      <c r="G297">
        <v>0</v>
      </c>
      <c r="H297">
        <v>1081.4673</v>
      </c>
      <c r="I297">
        <v>2.5</v>
      </c>
      <c r="J297">
        <v>1163.79</v>
      </c>
      <c r="K297">
        <v>1.9580666999707901</v>
      </c>
      <c r="L297">
        <v>1158.79</v>
      </c>
      <c r="M297" t="s">
        <v>27</v>
      </c>
      <c r="N297">
        <v>1</v>
      </c>
      <c r="O297">
        <v>1282</v>
      </c>
      <c r="P297">
        <v>1109</v>
      </c>
      <c r="Q297">
        <v>0</v>
      </c>
      <c r="R297">
        <v>1109</v>
      </c>
    </row>
    <row r="298" spans="1:18" x14ac:dyDescent="0.3">
      <c r="A298" s="5">
        <v>45956</v>
      </c>
      <c r="B298" t="s">
        <v>463</v>
      </c>
      <c r="C298">
        <v>32</v>
      </c>
      <c r="D298">
        <v>36</v>
      </c>
      <c r="E298" s="1">
        <v>1.25</v>
      </c>
      <c r="F298" t="s">
        <v>464</v>
      </c>
      <c r="G298">
        <v>2</v>
      </c>
      <c r="H298">
        <v>1080.9272000000001</v>
      </c>
      <c r="I298">
        <v>5</v>
      </c>
      <c r="J298">
        <v>1163.79</v>
      </c>
      <c r="K298">
        <v>3.9161333999415802</v>
      </c>
      <c r="L298">
        <v>601.29</v>
      </c>
      <c r="M298" t="s">
        <v>60</v>
      </c>
      <c r="N298">
        <v>1</v>
      </c>
      <c r="O298">
        <v>1308</v>
      </c>
      <c r="P298">
        <v>1135</v>
      </c>
      <c r="Q298">
        <v>0.5</v>
      </c>
      <c r="R298">
        <v>567.5</v>
      </c>
    </row>
    <row r="299" spans="1:18" x14ac:dyDescent="0.3">
      <c r="A299" s="5">
        <v>45956</v>
      </c>
      <c r="B299" t="s">
        <v>465</v>
      </c>
      <c r="C299">
        <v>16</v>
      </c>
      <c r="D299">
        <v>36</v>
      </c>
      <c r="E299" s="1">
        <v>1.9993055555555554</v>
      </c>
      <c r="F299" t="s">
        <v>466</v>
      </c>
      <c r="G299">
        <v>0</v>
      </c>
      <c r="H299">
        <v>1081.0922</v>
      </c>
      <c r="I299">
        <v>2.5</v>
      </c>
      <c r="J299">
        <v>1163.79</v>
      </c>
      <c r="K299">
        <v>1.9580666999707901</v>
      </c>
      <c r="L299">
        <v>1142.5</v>
      </c>
      <c r="M299" t="s">
        <v>27</v>
      </c>
      <c r="N299">
        <v>1</v>
      </c>
      <c r="O299">
        <v>1281</v>
      </c>
      <c r="P299">
        <v>1108</v>
      </c>
      <c r="Q299">
        <v>0</v>
      </c>
      <c r="R299">
        <v>1108</v>
      </c>
    </row>
    <row r="300" spans="1:18" x14ac:dyDescent="0.3">
      <c r="A300" s="5">
        <v>45956</v>
      </c>
      <c r="B300" t="s">
        <v>467</v>
      </c>
      <c r="C300">
        <v>1</v>
      </c>
      <c r="D300">
        <v>36</v>
      </c>
      <c r="E300" s="1">
        <v>1.4583333333333333</v>
      </c>
      <c r="F300" t="s">
        <v>468</v>
      </c>
      <c r="G300">
        <v>0</v>
      </c>
      <c r="H300">
        <v>1081.617</v>
      </c>
      <c r="I300">
        <v>2.5</v>
      </c>
      <c r="J300">
        <v>1163.79</v>
      </c>
      <c r="K300">
        <v>1.9580666999707901</v>
      </c>
      <c r="L300">
        <v>1099.1400000000001</v>
      </c>
      <c r="M300" t="s">
        <v>27</v>
      </c>
      <c r="N300">
        <v>1</v>
      </c>
      <c r="O300">
        <v>1282</v>
      </c>
      <c r="P300">
        <v>1109</v>
      </c>
      <c r="Q300">
        <v>0</v>
      </c>
      <c r="R300">
        <v>1109</v>
      </c>
    </row>
    <row r="301" spans="1:18" x14ac:dyDescent="0.3">
      <c r="A301" s="5">
        <v>45956</v>
      </c>
      <c r="B301" t="s">
        <v>469</v>
      </c>
      <c r="C301">
        <v>32</v>
      </c>
      <c r="D301">
        <v>36</v>
      </c>
      <c r="E301" s="1">
        <v>1.0833333333333333</v>
      </c>
      <c r="F301" t="s">
        <v>470</v>
      </c>
      <c r="G301">
        <v>0</v>
      </c>
      <c r="H301">
        <v>1081.0063</v>
      </c>
      <c r="I301">
        <v>2.5</v>
      </c>
      <c r="J301">
        <v>1163.79</v>
      </c>
      <c r="K301">
        <v>1.9580666999707901</v>
      </c>
      <c r="L301">
        <v>1158.79</v>
      </c>
      <c r="M301" t="s">
        <v>27</v>
      </c>
      <c r="N301">
        <v>1</v>
      </c>
      <c r="O301">
        <v>1281</v>
      </c>
      <c r="P301">
        <v>1108</v>
      </c>
      <c r="Q301">
        <v>0</v>
      </c>
      <c r="R301">
        <v>1108</v>
      </c>
    </row>
    <row r="302" spans="1:18" x14ac:dyDescent="0.3">
      <c r="A302" s="5">
        <v>45956</v>
      </c>
      <c r="B302" t="s">
        <v>471</v>
      </c>
      <c r="C302">
        <v>1</v>
      </c>
      <c r="D302">
        <v>36</v>
      </c>
      <c r="E302" s="1">
        <v>1.9993055555555554</v>
      </c>
      <c r="F302" t="s">
        <v>472</v>
      </c>
      <c r="G302">
        <v>4</v>
      </c>
      <c r="H302">
        <v>1081.5651</v>
      </c>
      <c r="I302">
        <v>7</v>
      </c>
      <c r="J302">
        <v>1163.79</v>
      </c>
      <c r="K302">
        <v>5.4825867599182097</v>
      </c>
      <c r="L302">
        <v>1202.5899999999999</v>
      </c>
      <c r="M302" t="s">
        <v>27</v>
      </c>
      <c r="N302">
        <v>1</v>
      </c>
      <c r="O302">
        <v>1330</v>
      </c>
      <c r="P302">
        <v>1157</v>
      </c>
      <c r="Q302">
        <v>0</v>
      </c>
      <c r="R302">
        <v>1157</v>
      </c>
    </row>
    <row r="303" spans="1:18" x14ac:dyDescent="0.3">
      <c r="A303" s="5">
        <v>45956</v>
      </c>
      <c r="B303" t="s">
        <v>473</v>
      </c>
      <c r="C303">
        <v>21</v>
      </c>
      <c r="D303">
        <v>36</v>
      </c>
      <c r="E303" s="1">
        <v>1.0833333333333333</v>
      </c>
      <c r="F303" t="s">
        <v>474</v>
      </c>
      <c r="G303">
        <v>0</v>
      </c>
      <c r="H303">
        <v>1081.3359</v>
      </c>
      <c r="I303">
        <v>2.5</v>
      </c>
      <c r="J303">
        <v>1163.79</v>
      </c>
      <c r="K303">
        <v>1.9580666999707901</v>
      </c>
      <c r="L303">
        <v>1158.79</v>
      </c>
      <c r="M303" t="s">
        <v>27</v>
      </c>
      <c r="N303">
        <v>1</v>
      </c>
      <c r="O303">
        <v>1281</v>
      </c>
      <c r="P303">
        <v>1108</v>
      </c>
      <c r="Q303">
        <v>0</v>
      </c>
      <c r="R303">
        <v>1108</v>
      </c>
    </row>
    <row r="304" spans="1:18" x14ac:dyDescent="0.3">
      <c r="A304" s="5">
        <v>45956</v>
      </c>
      <c r="B304" t="s">
        <v>475</v>
      </c>
      <c r="C304">
        <v>3</v>
      </c>
      <c r="D304">
        <v>36</v>
      </c>
      <c r="E304" s="1">
        <v>1.0833333333333333</v>
      </c>
      <c r="F304" t="s">
        <v>476</v>
      </c>
      <c r="G304">
        <v>4</v>
      </c>
      <c r="H304">
        <v>1081.6469999999999</v>
      </c>
      <c r="I304">
        <v>7</v>
      </c>
      <c r="J304">
        <v>1163.79</v>
      </c>
      <c r="K304">
        <v>5.4825867599182097</v>
      </c>
      <c r="L304">
        <v>1219.83</v>
      </c>
      <c r="M304" t="s">
        <v>27</v>
      </c>
      <c r="N304">
        <v>1</v>
      </c>
      <c r="O304">
        <v>1330</v>
      </c>
      <c r="P304">
        <v>1157</v>
      </c>
      <c r="Q304">
        <v>0</v>
      </c>
      <c r="R304">
        <v>1157</v>
      </c>
    </row>
    <row r="305" spans="1:18" x14ac:dyDescent="0.3">
      <c r="A305" s="5">
        <v>45956</v>
      </c>
      <c r="B305" t="s">
        <v>475</v>
      </c>
      <c r="C305">
        <v>3</v>
      </c>
      <c r="D305">
        <v>36</v>
      </c>
      <c r="E305" s="1">
        <v>1.25</v>
      </c>
      <c r="F305" t="s">
        <v>476</v>
      </c>
      <c r="G305">
        <v>4</v>
      </c>
      <c r="H305">
        <v>1081.645</v>
      </c>
      <c r="I305">
        <v>7</v>
      </c>
      <c r="J305">
        <v>1163.79</v>
      </c>
      <c r="K305">
        <v>5.4825867599182097</v>
      </c>
      <c r="L305">
        <v>1219.83</v>
      </c>
      <c r="M305" t="s">
        <v>27</v>
      </c>
      <c r="N305">
        <v>1</v>
      </c>
      <c r="O305">
        <v>1330</v>
      </c>
      <c r="P305">
        <v>1157</v>
      </c>
      <c r="Q305">
        <v>0</v>
      </c>
      <c r="R305">
        <v>1157</v>
      </c>
    </row>
    <row r="306" spans="1:18" x14ac:dyDescent="0.3">
      <c r="A306" s="5">
        <v>45956</v>
      </c>
      <c r="B306" t="s">
        <v>477</v>
      </c>
      <c r="C306">
        <v>25</v>
      </c>
      <c r="D306">
        <v>36</v>
      </c>
      <c r="E306" s="1">
        <v>1.0833333333333333</v>
      </c>
      <c r="F306" t="s">
        <v>478</v>
      </c>
      <c r="G306">
        <v>0</v>
      </c>
      <c r="H306">
        <v>1081.1315999999999</v>
      </c>
      <c r="I306">
        <v>2.5</v>
      </c>
      <c r="J306">
        <v>1163.79</v>
      </c>
      <c r="K306">
        <v>1.9580666999707901</v>
      </c>
      <c r="L306">
        <v>1158.79</v>
      </c>
      <c r="M306" t="s">
        <v>27</v>
      </c>
      <c r="N306">
        <v>1</v>
      </c>
      <c r="O306">
        <v>1281</v>
      </c>
      <c r="P306">
        <v>1108</v>
      </c>
      <c r="Q306">
        <v>0</v>
      </c>
      <c r="R306">
        <v>1108</v>
      </c>
    </row>
    <row r="307" spans="1:18" x14ac:dyDescent="0.3">
      <c r="A307" s="5">
        <v>45956</v>
      </c>
      <c r="B307" t="s">
        <v>479</v>
      </c>
      <c r="C307">
        <v>26</v>
      </c>
      <c r="D307">
        <v>36</v>
      </c>
      <c r="E307" s="1">
        <v>1.0833333333333333</v>
      </c>
      <c r="F307" t="s">
        <v>478</v>
      </c>
      <c r="G307">
        <v>0</v>
      </c>
      <c r="H307">
        <v>1081.1134999999999</v>
      </c>
      <c r="I307">
        <v>2.5</v>
      </c>
      <c r="J307">
        <v>1163.79</v>
      </c>
      <c r="K307">
        <v>1.9580666999707901</v>
      </c>
      <c r="L307">
        <v>1158.79</v>
      </c>
      <c r="M307" t="s">
        <v>27</v>
      </c>
      <c r="N307">
        <v>1</v>
      </c>
      <c r="O307">
        <v>1281</v>
      </c>
      <c r="P307">
        <v>1108</v>
      </c>
      <c r="Q307">
        <v>0</v>
      </c>
      <c r="R307">
        <v>1108</v>
      </c>
    </row>
    <row r="308" spans="1:18" x14ac:dyDescent="0.3">
      <c r="A308" s="5">
        <v>45956</v>
      </c>
      <c r="B308" t="s">
        <v>480</v>
      </c>
      <c r="C308">
        <v>4</v>
      </c>
      <c r="D308">
        <v>36</v>
      </c>
      <c r="E308" s="1">
        <v>1.4583333333333333</v>
      </c>
      <c r="F308" t="s">
        <v>481</v>
      </c>
      <c r="G308">
        <v>2</v>
      </c>
      <c r="H308">
        <v>1081.4557</v>
      </c>
      <c r="I308">
        <v>5</v>
      </c>
      <c r="J308">
        <v>1163.79</v>
      </c>
      <c r="K308">
        <v>3.9161333999415802</v>
      </c>
      <c r="L308">
        <v>601.29</v>
      </c>
      <c r="M308" t="s">
        <v>77</v>
      </c>
      <c r="N308">
        <v>1</v>
      </c>
      <c r="O308">
        <v>1309</v>
      </c>
      <c r="P308">
        <v>1136</v>
      </c>
      <c r="Q308">
        <v>0.5</v>
      </c>
      <c r="R308">
        <v>568</v>
      </c>
    </row>
    <row r="309" spans="1:18" x14ac:dyDescent="0.3">
      <c r="A309" s="5">
        <v>45956</v>
      </c>
      <c r="B309" t="s">
        <v>482</v>
      </c>
      <c r="C309">
        <v>7</v>
      </c>
      <c r="D309">
        <v>36</v>
      </c>
      <c r="E309" s="1">
        <v>1.25</v>
      </c>
      <c r="F309" t="s">
        <v>483</v>
      </c>
      <c r="G309">
        <v>0</v>
      </c>
      <c r="H309">
        <v>1081.5648000000001</v>
      </c>
      <c r="I309">
        <v>2.5</v>
      </c>
      <c r="J309">
        <v>1163.79</v>
      </c>
      <c r="K309">
        <v>1.9580666999707901</v>
      </c>
      <c r="L309">
        <v>1142.5</v>
      </c>
      <c r="M309" t="s">
        <v>27</v>
      </c>
      <c r="N309">
        <v>1</v>
      </c>
      <c r="O309">
        <v>1282</v>
      </c>
      <c r="P309">
        <v>1109</v>
      </c>
      <c r="Q309">
        <v>0</v>
      </c>
      <c r="R309">
        <v>1109</v>
      </c>
    </row>
    <row r="310" spans="1:18" x14ac:dyDescent="0.3">
      <c r="A310" s="5">
        <v>45956</v>
      </c>
      <c r="B310" t="s">
        <v>484</v>
      </c>
      <c r="C310">
        <v>18</v>
      </c>
      <c r="D310">
        <v>36</v>
      </c>
      <c r="E310" s="1">
        <v>1.0833333333333333</v>
      </c>
      <c r="F310" t="s">
        <v>485</v>
      </c>
      <c r="G310">
        <v>0</v>
      </c>
      <c r="H310">
        <v>1081.3880999999999</v>
      </c>
      <c r="I310">
        <v>2.5</v>
      </c>
      <c r="J310">
        <v>1163.79</v>
      </c>
      <c r="K310">
        <v>1.9580666999707901</v>
      </c>
      <c r="L310">
        <v>1158.79</v>
      </c>
      <c r="M310" t="s">
        <v>27</v>
      </c>
      <c r="N310">
        <v>1</v>
      </c>
      <c r="O310">
        <v>1281</v>
      </c>
      <c r="P310">
        <v>1108</v>
      </c>
      <c r="Q310">
        <v>0</v>
      </c>
      <c r="R310">
        <v>1108</v>
      </c>
    </row>
    <row r="311" spans="1:18" x14ac:dyDescent="0.3">
      <c r="A311" s="5">
        <v>45956</v>
      </c>
      <c r="B311" t="s">
        <v>486</v>
      </c>
      <c r="C311">
        <v>27</v>
      </c>
      <c r="D311">
        <v>36</v>
      </c>
      <c r="E311" s="1">
        <v>1.25</v>
      </c>
      <c r="F311" t="s">
        <v>487</v>
      </c>
      <c r="G311">
        <v>4</v>
      </c>
      <c r="H311">
        <v>1081.0795000000001</v>
      </c>
      <c r="I311">
        <v>7</v>
      </c>
      <c r="J311">
        <v>1163.79</v>
      </c>
      <c r="K311">
        <v>5.4825867599182097</v>
      </c>
      <c r="L311">
        <v>1219.83</v>
      </c>
      <c r="M311" t="s">
        <v>27</v>
      </c>
      <c r="N311">
        <v>1</v>
      </c>
      <c r="O311">
        <v>1330</v>
      </c>
      <c r="P311">
        <v>1157</v>
      </c>
      <c r="Q311">
        <v>0</v>
      </c>
      <c r="R311">
        <v>1157</v>
      </c>
    </row>
    <row r="312" spans="1:18" x14ac:dyDescent="0.3">
      <c r="A312" s="5">
        <v>45956</v>
      </c>
      <c r="B312" t="s">
        <v>18</v>
      </c>
      <c r="C312">
        <v>5</v>
      </c>
      <c r="D312">
        <v>36</v>
      </c>
      <c r="E312" s="1">
        <v>1.0833333333333333</v>
      </c>
      <c r="F312" t="s">
        <v>19</v>
      </c>
      <c r="G312">
        <v>0</v>
      </c>
      <c r="H312">
        <v>1081.6217999999999</v>
      </c>
      <c r="I312">
        <v>2.5</v>
      </c>
      <c r="J312">
        <v>1163.79</v>
      </c>
      <c r="K312">
        <v>1.9580666999707901</v>
      </c>
      <c r="L312">
        <v>609.91</v>
      </c>
      <c r="M312" t="s">
        <v>60</v>
      </c>
      <c r="N312">
        <v>1</v>
      </c>
      <c r="O312">
        <v>1282</v>
      </c>
      <c r="P312">
        <v>1109</v>
      </c>
      <c r="Q312">
        <v>0.5</v>
      </c>
      <c r="R312">
        <v>554.5</v>
      </c>
    </row>
    <row r="313" spans="1:18" x14ac:dyDescent="0.3">
      <c r="A313" s="5">
        <v>45956</v>
      </c>
      <c r="B313" t="s">
        <v>18</v>
      </c>
      <c r="C313">
        <v>5</v>
      </c>
      <c r="D313">
        <v>36</v>
      </c>
      <c r="E313" s="1">
        <v>1.0833333333333333</v>
      </c>
      <c r="F313" t="s">
        <v>19</v>
      </c>
      <c r="G313">
        <v>0</v>
      </c>
      <c r="H313">
        <v>1081.6217999999999</v>
      </c>
      <c r="I313">
        <v>2.5</v>
      </c>
      <c r="J313">
        <v>1163.79</v>
      </c>
      <c r="K313">
        <v>1.9580666999707901</v>
      </c>
      <c r="L313">
        <v>609.91</v>
      </c>
      <c r="M313" t="s">
        <v>60</v>
      </c>
      <c r="N313">
        <v>1</v>
      </c>
      <c r="O313">
        <v>1282</v>
      </c>
      <c r="P313">
        <v>1109</v>
      </c>
      <c r="Q313">
        <v>0.5</v>
      </c>
      <c r="R313">
        <v>554.5</v>
      </c>
    </row>
    <row r="314" spans="1:18" x14ac:dyDescent="0.3">
      <c r="A314" s="5">
        <v>45956</v>
      </c>
      <c r="B314" t="s">
        <v>488</v>
      </c>
      <c r="C314">
        <v>6</v>
      </c>
      <c r="D314">
        <v>36</v>
      </c>
      <c r="E314" s="1">
        <v>1.0833333333333333</v>
      </c>
      <c r="F314" t="s">
        <v>19</v>
      </c>
      <c r="G314">
        <v>0</v>
      </c>
      <c r="H314">
        <v>1081.604</v>
      </c>
      <c r="I314">
        <v>2.5</v>
      </c>
      <c r="J314">
        <v>1163.79</v>
      </c>
      <c r="K314">
        <v>1.9580666999707901</v>
      </c>
      <c r="L314">
        <v>609.91</v>
      </c>
      <c r="M314" t="s">
        <v>77</v>
      </c>
      <c r="N314">
        <v>1</v>
      </c>
      <c r="O314">
        <v>1282</v>
      </c>
      <c r="P314">
        <v>1109</v>
      </c>
      <c r="Q314">
        <v>0.5</v>
      </c>
      <c r="R314">
        <v>554.5</v>
      </c>
    </row>
    <row r="315" spans="1:18" x14ac:dyDescent="0.3">
      <c r="A315" s="5">
        <v>45956</v>
      </c>
      <c r="B315" t="s">
        <v>488</v>
      </c>
      <c r="C315">
        <v>6</v>
      </c>
      <c r="D315">
        <v>36</v>
      </c>
      <c r="E315" s="1">
        <v>1.0833333333333333</v>
      </c>
      <c r="F315" t="s">
        <v>19</v>
      </c>
      <c r="G315">
        <v>0</v>
      </c>
      <c r="H315">
        <v>1081.604</v>
      </c>
      <c r="I315">
        <v>2.5</v>
      </c>
      <c r="J315">
        <v>1163.79</v>
      </c>
      <c r="K315">
        <v>1.9580666999707901</v>
      </c>
      <c r="L315">
        <v>609.91</v>
      </c>
      <c r="M315" t="s">
        <v>77</v>
      </c>
      <c r="N315">
        <v>1</v>
      </c>
      <c r="O315">
        <v>1282</v>
      </c>
      <c r="P315">
        <v>1109</v>
      </c>
      <c r="Q315">
        <v>0.5</v>
      </c>
      <c r="R315">
        <v>554.5</v>
      </c>
    </row>
    <row r="316" spans="1:18" x14ac:dyDescent="0.3">
      <c r="A316" s="5">
        <v>45956</v>
      </c>
      <c r="B316" t="s">
        <v>489</v>
      </c>
      <c r="C316">
        <v>36</v>
      </c>
      <c r="D316">
        <v>36</v>
      </c>
      <c r="E316" s="1">
        <v>1.0833333333333333</v>
      </c>
      <c r="F316" t="s">
        <v>490</v>
      </c>
      <c r="G316">
        <v>5</v>
      </c>
      <c r="H316">
        <v>1080.9313</v>
      </c>
      <c r="I316">
        <v>0</v>
      </c>
      <c r="J316">
        <v>1163.79</v>
      </c>
      <c r="K316">
        <v>0</v>
      </c>
      <c r="L316">
        <v>1158.79</v>
      </c>
      <c r="M316" t="s">
        <v>27</v>
      </c>
      <c r="N316">
        <v>1</v>
      </c>
      <c r="O316">
        <v>1254</v>
      </c>
      <c r="P316">
        <v>1081</v>
      </c>
      <c r="Q316">
        <v>0</v>
      </c>
      <c r="R316">
        <v>1081</v>
      </c>
    </row>
    <row r="317" spans="1:18" x14ac:dyDescent="0.3">
      <c r="A317" s="5">
        <v>45956</v>
      </c>
      <c r="B317" t="s">
        <v>491</v>
      </c>
      <c r="C317">
        <v>19</v>
      </c>
      <c r="D317">
        <v>36</v>
      </c>
      <c r="E317" s="1">
        <v>1.0833333333333333</v>
      </c>
      <c r="F317" t="s">
        <v>492</v>
      </c>
      <c r="G317">
        <v>0</v>
      </c>
      <c r="H317">
        <v>1081.3694</v>
      </c>
      <c r="I317">
        <v>2.5</v>
      </c>
      <c r="J317">
        <v>1163.79</v>
      </c>
      <c r="K317">
        <v>1.9580666999707901</v>
      </c>
      <c r="L317">
        <v>1158.79</v>
      </c>
      <c r="M317" t="s">
        <v>27</v>
      </c>
      <c r="N317">
        <v>1</v>
      </c>
      <c r="O317">
        <v>1281</v>
      </c>
      <c r="P317">
        <v>1108</v>
      </c>
      <c r="Q317">
        <v>0</v>
      </c>
      <c r="R317">
        <v>1108</v>
      </c>
    </row>
    <row r="318" spans="1:18" x14ac:dyDescent="0.3">
      <c r="A318" s="5">
        <v>45956</v>
      </c>
      <c r="B318" t="s">
        <v>493</v>
      </c>
      <c r="C318">
        <v>20</v>
      </c>
      <c r="D318">
        <v>36</v>
      </c>
      <c r="E318" s="1">
        <v>1.0833333333333333</v>
      </c>
      <c r="F318" t="s">
        <v>492</v>
      </c>
      <c r="G318">
        <v>0</v>
      </c>
      <c r="H318">
        <v>1081.3516</v>
      </c>
      <c r="I318">
        <v>2.5</v>
      </c>
      <c r="J318">
        <v>1163.79</v>
      </c>
      <c r="K318">
        <v>1.9580666999707901</v>
      </c>
      <c r="L318">
        <v>1158.79</v>
      </c>
      <c r="M318" t="s">
        <v>27</v>
      </c>
      <c r="N318">
        <v>1</v>
      </c>
      <c r="O318">
        <v>1281</v>
      </c>
      <c r="P318">
        <v>1108</v>
      </c>
      <c r="Q318">
        <v>0</v>
      </c>
      <c r="R318">
        <v>1108</v>
      </c>
    </row>
    <row r="319" spans="1:18" x14ac:dyDescent="0.3">
      <c r="A319" s="5">
        <v>45956</v>
      </c>
      <c r="B319" t="s">
        <v>494</v>
      </c>
      <c r="C319">
        <v>1</v>
      </c>
      <c r="D319">
        <v>36</v>
      </c>
      <c r="E319" s="1">
        <v>1.9791666666666665</v>
      </c>
      <c r="F319" t="s">
        <v>495</v>
      </c>
      <c r="G319">
        <v>0</v>
      </c>
      <c r="H319">
        <v>1081.5459000000001</v>
      </c>
      <c r="I319">
        <v>2.5</v>
      </c>
      <c r="J319">
        <v>1163.79</v>
      </c>
      <c r="K319">
        <v>1.9580666999707901</v>
      </c>
      <c r="L319">
        <v>1142.5</v>
      </c>
      <c r="M319" t="s">
        <v>27</v>
      </c>
      <c r="N319">
        <v>1</v>
      </c>
      <c r="O319">
        <v>1282</v>
      </c>
      <c r="P319">
        <v>1109</v>
      </c>
      <c r="Q319">
        <v>0</v>
      </c>
      <c r="R319">
        <v>1109</v>
      </c>
    </row>
    <row r="320" spans="1:18" x14ac:dyDescent="0.3">
      <c r="A320" s="5">
        <v>45956</v>
      </c>
      <c r="B320" t="s">
        <v>496</v>
      </c>
      <c r="C320">
        <v>1</v>
      </c>
      <c r="D320">
        <v>36</v>
      </c>
      <c r="E320" s="1">
        <v>1.9993055555555554</v>
      </c>
      <c r="F320" t="s">
        <v>497</v>
      </c>
      <c r="G320">
        <v>5</v>
      </c>
      <c r="H320">
        <v>1081.4617000000001</v>
      </c>
      <c r="I320">
        <v>0</v>
      </c>
      <c r="J320">
        <v>1163.79</v>
      </c>
      <c r="K320">
        <v>0</v>
      </c>
      <c r="L320">
        <v>609.91</v>
      </c>
      <c r="M320" t="s">
        <v>77</v>
      </c>
      <c r="N320">
        <v>1</v>
      </c>
      <c r="O320">
        <v>1254</v>
      </c>
      <c r="P320">
        <v>1081</v>
      </c>
      <c r="Q320">
        <v>0.5</v>
      </c>
      <c r="R320">
        <v>540.5</v>
      </c>
    </row>
    <row r="321" spans="1:18" x14ac:dyDescent="0.3">
      <c r="A321" s="5">
        <v>45956</v>
      </c>
      <c r="B321" t="s">
        <v>143</v>
      </c>
      <c r="C321">
        <v>10</v>
      </c>
      <c r="D321">
        <v>35</v>
      </c>
      <c r="E321" s="1">
        <v>1.9652777777777777</v>
      </c>
      <c r="F321" t="s">
        <v>144</v>
      </c>
      <c r="G321">
        <v>4</v>
      </c>
      <c r="H321">
        <v>1081.2865999999999</v>
      </c>
      <c r="I321">
        <v>7</v>
      </c>
      <c r="J321">
        <v>1163.79</v>
      </c>
      <c r="K321">
        <v>5.4825867599182097</v>
      </c>
      <c r="L321">
        <v>1097.8399999999999</v>
      </c>
      <c r="M321" t="s">
        <v>27</v>
      </c>
      <c r="N321">
        <v>1</v>
      </c>
      <c r="O321">
        <v>1330</v>
      </c>
      <c r="P321">
        <v>1157</v>
      </c>
      <c r="Q321">
        <v>0</v>
      </c>
      <c r="R321">
        <v>1157</v>
      </c>
    </row>
    <row r="322" spans="1:18" x14ac:dyDescent="0.3">
      <c r="A322" s="5">
        <v>45956</v>
      </c>
      <c r="B322" t="s">
        <v>498</v>
      </c>
      <c r="C322">
        <v>30</v>
      </c>
      <c r="D322">
        <v>36</v>
      </c>
      <c r="E322" s="1">
        <v>1.0833333333333333</v>
      </c>
      <c r="F322" t="s">
        <v>97</v>
      </c>
      <c r="G322">
        <v>4</v>
      </c>
      <c r="H322">
        <v>1078.9945</v>
      </c>
      <c r="I322">
        <v>7</v>
      </c>
      <c r="J322">
        <v>1163.79</v>
      </c>
      <c r="K322">
        <v>5.4825867599182097</v>
      </c>
      <c r="L322">
        <v>1202.5899999999999</v>
      </c>
      <c r="M322" t="s">
        <v>27</v>
      </c>
      <c r="N322">
        <v>1</v>
      </c>
      <c r="O322">
        <v>1327</v>
      </c>
      <c r="P322">
        <v>1155</v>
      </c>
      <c r="Q322">
        <v>0</v>
      </c>
      <c r="R322">
        <v>1155</v>
      </c>
    </row>
    <row r="323" spans="1:18" x14ac:dyDescent="0.3">
      <c r="A323" s="5">
        <v>45956</v>
      </c>
      <c r="B323" t="s">
        <v>499</v>
      </c>
      <c r="C323">
        <v>9</v>
      </c>
      <c r="D323">
        <v>36</v>
      </c>
      <c r="E323" s="1">
        <v>1.0833333333333333</v>
      </c>
      <c r="F323" t="s">
        <v>500</v>
      </c>
      <c r="G323">
        <v>0</v>
      </c>
      <c r="H323">
        <v>1081.5485000000001</v>
      </c>
      <c r="I323">
        <v>2.5</v>
      </c>
      <c r="J323">
        <v>1163.79</v>
      </c>
      <c r="K323">
        <v>1.9580666999707901</v>
      </c>
      <c r="L323">
        <v>1158.79</v>
      </c>
      <c r="M323" t="s">
        <v>27</v>
      </c>
      <c r="N323">
        <v>1</v>
      </c>
      <c r="O323">
        <v>1282</v>
      </c>
      <c r="P323">
        <v>1109</v>
      </c>
      <c r="Q323">
        <v>0</v>
      </c>
      <c r="R323">
        <v>1109</v>
      </c>
    </row>
    <row r="324" spans="1:18" x14ac:dyDescent="0.3">
      <c r="A324" s="5">
        <v>45956</v>
      </c>
      <c r="B324" t="s">
        <v>501</v>
      </c>
      <c r="C324">
        <v>11</v>
      </c>
      <c r="D324">
        <v>36</v>
      </c>
      <c r="E324" s="1">
        <v>1.0833333333333333</v>
      </c>
      <c r="F324" t="s">
        <v>502</v>
      </c>
      <c r="G324">
        <v>0</v>
      </c>
      <c r="H324">
        <v>1081.5126</v>
      </c>
      <c r="I324">
        <v>2.5</v>
      </c>
      <c r="J324">
        <v>1163.79</v>
      </c>
      <c r="K324">
        <v>1.9580666999707901</v>
      </c>
      <c r="L324">
        <v>1158.79</v>
      </c>
      <c r="M324" t="s">
        <v>27</v>
      </c>
      <c r="N324">
        <v>1</v>
      </c>
      <c r="O324">
        <v>1282</v>
      </c>
      <c r="P324">
        <v>1109</v>
      </c>
      <c r="Q324">
        <v>0</v>
      </c>
      <c r="R324">
        <v>1109</v>
      </c>
    </row>
    <row r="325" spans="1:18" x14ac:dyDescent="0.3">
      <c r="A325" s="5">
        <v>45956</v>
      </c>
      <c r="B325" t="s">
        <v>503</v>
      </c>
      <c r="C325">
        <v>23</v>
      </c>
      <c r="D325">
        <v>36</v>
      </c>
      <c r="E325" s="1">
        <v>1.9791666666666665</v>
      </c>
      <c r="F325" t="s">
        <v>504</v>
      </c>
      <c r="G325">
        <v>5</v>
      </c>
      <c r="H325">
        <v>1080.7720999999999</v>
      </c>
      <c r="I325">
        <v>0</v>
      </c>
      <c r="J325">
        <v>1163.79</v>
      </c>
      <c r="K325">
        <v>0</v>
      </c>
      <c r="L325">
        <v>1158.79</v>
      </c>
      <c r="M325" t="s">
        <v>27</v>
      </c>
      <c r="N325">
        <v>1</v>
      </c>
      <c r="O325">
        <v>1254</v>
      </c>
      <c r="P325">
        <v>1081</v>
      </c>
      <c r="Q325">
        <v>0</v>
      </c>
      <c r="R325">
        <v>1081</v>
      </c>
    </row>
    <row r="326" spans="1:18" x14ac:dyDescent="0.3">
      <c r="A326" s="5">
        <v>45956</v>
      </c>
      <c r="B326" t="s">
        <v>505</v>
      </c>
      <c r="C326">
        <v>35</v>
      </c>
      <c r="D326">
        <v>36</v>
      </c>
      <c r="E326" s="1">
        <v>1.25</v>
      </c>
      <c r="F326" t="s">
        <v>506</v>
      </c>
      <c r="G326">
        <v>0</v>
      </c>
      <c r="H326">
        <v>1080.9456</v>
      </c>
      <c r="I326">
        <v>2.5</v>
      </c>
      <c r="J326">
        <v>1163.79</v>
      </c>
      <c r="K326">
        <v>1.9580666999707901</v>
      </c>
      <c r="L326">
        <v>1158.79</v>
      </c>
      <c r="M326" t="s">
        <v>27</v>
      </c>
      <c r="N326">
        <v>1</v>
      </c>
      <c r="O326">
        <v>1281</v>
      </c>
      <c r="P326">
        <v>1108</v>
      </c>
      <c r="Q326">
        <v>0</v>
      </c>
      <c r="R326">
        <v>1108</v>
      </c>
    </row>
    <row r="327" spans="1:18" x14ac:dyDescent="0.3">
      <c r="A327" s="5">
        <v>45956</v>
      </c>
      <c r="B327" t="s">
        <v>507</v>
      </c>
      <c r="C327">
        <v>16</v>
      </c>
      <c r="D327">
        <v>36</v>
      </c>
      <c r="E327" s="1">
        <v>1.4583333333333333</v>
      </c>
      <c r="F327" t="s">
        <v>508</v>
      </c>
      <c r="G327">
        <v>0</v>
      </c>
      <c r="H327">
        <v>1081.4175</v>
      </c>
      <c r="I327">
        <v>2.5</v>
      </c>
      <c r="J327">
        <v>1163.79</v>
      </c>
      <c r="K327">
        <v>1.9580666999707901</v>
      </c>
      <c r="L327">
        <v>1158.79</v>
      </c>
      <c r="M327" t="s">
        <v>27</v>
      </c>
      <c r="N327">
        <v>1</v>
      </c>
      <c r="O327">
        <v>1281</v>
      </c>
      <c r="P327">
        <v>1108</v>
      </c>
      <c r="Q327">
        <v>0</v>
      </c>
      <c r="R327">
        <v>1108</v>
      </c>
    </row>
    <row r="328" spans="1:18" x14ac:dyDescent="0.3">
      <c r="A328" s="5">
        <v>45956</v>
      </c>
      <c r="B328" t="s">
        <v>509</v>
      </c>
      <c r="C328">
        <v>23</v>
      </c>
      <c r="D328">
        <v>36</v>
      </c>
      <c r="E328" s="1">
        <v>1.9722222222222223</v>
      </c>
      <c r="F328" t="s">
        <v>510</v>
      </c>
      <c r="G328">
        <v>5</v>
      </c>
      <c r="H328">
        <v>1080.7714000000001</v>
      </c>
      <c r="I328">
        <v>0</v>
      </c>
      <c r="J328">
        <v>1163.79</v>
      </c>
      <c r="K328">
        <v>0</v>
      </c>
      <c r="L328">
        <v>1158.79</v>
      </c>
      <c r="M328" t="s">
        <v>27</v>
      </c>
      <c r="N328">
        <v>1</v>
      </c>
      <c r="O328">
        <v>1254</v>
      </c>
      <c r="P328">
        <v>1081</v>
      </c>
      <c r="Q328">
        <v>0</v>
      </c>
      <c r="R328">
        <v>1081</v>
      </c>
    </row>
    <row r="329" spans="1:18" x14ac:dyDescent="0.3">
      <c r="A329" s="5">
        <v>45956</v>
      </c>
      <c r="B329" t="s">
        <v>511</v>
      </c>
      <c r="C329">
        <v>34</v>
      </c>
      <c r="D329">
        <v>36</v>
      </c>
      <c r="E329" s="1">
        <v>1.0833333333333333</v>
      </c>
      <c r="F329" t="s">
        <v>512</v>
      </c>
      <c r="G329">
        <v>0</v>
      </c>
      <c r="H329">
        <v>1080.9649999999999</v>
      </c>
      <c r="I329">
        <v>2.5</v>
      </c>
      <c r="J329">
        <v>1163.79</v>
      </c>
      <c r="K329">
        <v>1.9580666999707901</v>
      </c>
      <c r="L329">
        <v>1158.79</v>
      </c>
      <c r="M329" t="s">
        <v>27</v>
      </c>
      <c r="N329">
        <v>1</v>
      </c>
      <c r="O329">
        <v>1281</v>
      </c>
      <c r="P329">
        <v>1108</v>
      </c>
      <c r="Q329">
        <v>0</v>
      </c>
      <c r="R329">
        <v>1108</v>
      </c>
    </row>
    <row r="330" spans="1:18" x14ac:dyDescent="0.3">
      <c r="A330" s="5">
        <v>45956</v>
      </c>
      <c r="B330" t="s">
        <v>511</v>
      </c>
      <c r="C330">
        <v>34</v>
      </c>
      <c r="D330">
        <v>36</v>
      </c>
      <c r="E330" s="1">
        <v>1.0833333333333333</v>
      </c>
      <c r="F330" t="s">
        <v>513</v>
      </c>
      <c r="G330">
        <v>0</v>
      </c>
      <c r="H330">
        <v>1080.9649999999999</v>
      </c>
      <c r="I330">
        <v>2.5</v>
      </c>
      <c r="J330">
        <v>1163.79</v>
      </c>
      <c r="K330">
        <v>1.9580666999707901</v>
      </c>
      <c r="L330">
        <v>1158.79</v>
      </c>
      <c r="M330" t="s">
        <v>27</v>
      </c>
      <c r="N330">
        <v>1</v>
      </c>
      <c r="O330">
        <v>1281</v>
      </c>
      <c r="P330">
        <v>1108</v>
      </c>
      <c r="Q330">
        <v>0</v>
      </c>
      <c r="R330">
        <v>1108</v>
      </c>
    </row>
    <row r="331" spans="1:18" x14ac:dyDescent="0.3">
      <c r="A331" s="5">
        <v>45956</v>
      </c>
      <c r="B331" t="s">
        <v>514</v>
      </c>
      <c r="C331">
        <v>33</v>
      </c>
      <c r="D331">
        <v>36</v>
      </c>
      <c r="E331" s="1">
        <v>1.0833333333333333</v>
      </c>
      <c r="F331" t="s">
        <v>512</v>
      </c>
      <c r="G331">
        <v>0</v>
      </c>
      <c r="H331">
        <v>1080.9829</v>
      </c>
      <c r="I331">
        <v>2.5</v>
      </c>
      <c r="J331">
        <v>1163.79</v>
      </c>
      <c r="K331">
        <v>1.9580666999707901</v>
      </c>
      <c r="L331">
        <v>1158.79</v>
      </c>
      <c r="M331" t="s">
        <v>27</v>
      </c>
      <c r="N331">
        <v>1</v>
      </c>
      <c r="O331">
        <v>1281</v>
      </c>
      <c r="P331">
        <v>1108</v>
      </c>
      <c r="Q331">
        <v>0</v>
      </c>
      <c r="R331">
        <v>1108</v>
      </c>
    </row>
    <row r="332" spans="1:18" x14ac:dyDescent="0.3">
      <c r="A332" s="5">
        <v>45956</v>
      </c>
      <c r="B332" t="s">
        <v>514</v>
      </c>
      <c r="C332">
        <v>33</v>
      </c>
      <c r="D332">
        <v>36</v>
      </c>
      <c r="E332" s="1">
        <v>1.0833333333333333</v>
      </c>
      <c r="F332" t="s">
        <v>513</v>
      </c>
      <c r="G332">
        <v>0</v>
      </c>
      <c r="H332">
        <v>1080.9829</v>
      </c>
      <c r="I332">
        <v>2.5</v>
      </c>
      <c r="J332">
        <v>1163.79</v>
      </c>
      <c r="K332">
        <v>1.9580666999707901</v>
      </c>
      <c r="L332">
        <v>1158.79</v>
      </c>
      <c r="M332" t="s">
        <v>27</v>
      </c>
      <c r="N332">
        <v>1</v>
      </c>
      <c r="O332">
        <v>1281</v>
      </c>
      <c r="P332">
        <v>1108</v>
      </c>
      <c r="Q332">
        <v>0</v>
      </c>
      <c r="R332">
        <v>1108</v>
      </c>
    </row>
    <row r="333" spans="1:18" x14ac:dyDescent="0.3">
      <c r="A333" s="5">
        <v>45956</v>
      </c>
      <c r="B333" t="s">
        <v>515</v>
      </c>
      <c r="C333">
        <v>12</v>
      </c>
      <c r="D333">
        <v>36</v>
      </c>
      <c r="E333" s="1">
        <v>1.4583333333333333</v>
      </c>
      <c r="F333" t="s">
        <v>516</v>
      </c>
      <c r="G333">
        <v>0</v>
      </c>
      <c r="H333">
        <v>1081.6014</v>
      </c>
      <c r="I333">
        <v>2.5</v>
      </c>
      <c r="J333">
        <v>1163.79</v>
      </c>
      <c r="K333">
        <v>1.9580666999707901</v>
      </c>
      <c r="L333">
        <v>1142.5</v>
      </c>
      <c r="M333" t="s">
        <v>27</v>
      </c>
      <c r="N333">
        <v>1</v>
      </c>
      <c r="O333">
        <v>1282</v>
      </c>
      <c r="P333">
        <v>1109</v>
      </c>
      <c r="Q333">
        <v>0</v>
      </c>
      <c r="R333">
        <v>1109</v>
      </c>
    </row>
    <row r="334" spans="1:18" x14ac:dyDescent="0.3">
      <c r="A334" s="5">
        <v>45956</v>
      </c>
      <c r="B334" t="s">
        <v>517</v>
      </c>
      <c r="C334">
        <v>8</v>
      </c>
      <c r="D334">
        <v>36</v>
      </c>
      <c r="E334" s="1">
        <v>1.4583333333333333</v>
      </c>
      <c r="F334" t="s">
        <v>518</v>
      </c>
      <c r="G334">
        <v>0</v>
      </c>
      <c r="H334">
        <v>1081.6732999999999</v>
      </c>
      <c r="I334">
        <v>2.5</v>
      </c>
      <c r="J334">
        <v>1163.79</v>
      </c>
      <c r="K334">
        <v>1.9580666999707901</v>
      </c>
      <c r="L334">
        <v>1142.5</v>
      </c>
      <c r="M334" t="s">
        <v>27</v>
      </c>
      <c r="N334">
        <v>1</v>
      </c>
      <c r="O334">
        <v>1282</v>
      </c>
      <c r="P334">
        <v>1109</v>
      </c>
      <c r="Q334">
        <v>0</v>
      </c>
      <c r="R334">
        <v>1109</v>
      </c>
    </row>
    <row r="335" spans="1:18" x14ac:dyDescent="0.3">
      <c r="A335" s="5">
        <v>45956</v>
      </c>
      <c r="B335" t="s">
        <v>519</v>
      </c>
      <c r="C335">
        <v>9</v>
      </c>
      <c r="D335">
        <v>36</v>
      </c>
      <c r="E335" s="1">
        <v>1.4583333333333333</v>
      </c>
      <c r="F335" t="s">
        <v>520</v>
      </c>
      <c r="G335">
        <v>0</v>
      </c>
      <c r="H335">
        <v>1081.6554000000001</v>
      </c>
      <c r="I335">
        <v>2.5</v>
      </c>
      <c r="J335">
        <v>1163.79</v>
      </c>
      <c r="K335">
        <v>1.9580666999707901</v>
      </c>
      <c r="L335">
        <v>1142.5</v>
      </c>
      <c r="M335" t="s">
        <v>27</v>
      </c>
      <c r="N335">
        <v>1</v>
      </c>
      <c r="O335">
        <v>1282</v>
      </c>
      <c r="P335">
        <v>1109</v>
      </c>
      <c r="Q335">
        <v>0</v>
      </c>
      <c r="R335">
        <v>1109</v>
      </c>
    </row>
    <row r="336" spans="1:18" x14ac:dyDescent="0.3">
      <c r="A336" s="5">
        <v>45956</v>
      </c>
      <c r="B336" t="s">
        <v>521</v>
      </c>
      <c r="C336">
        <v>15</v>
      </c>
      <c r="D336">
        <v>36</v>
      </c>
      <c r="E336" s="1">
        <v>1.25</v>
      </c>
      <c r="F336" t="s">
        <v>522</v>
      </c>
      <c r="G336">
        <v>0</v>
      </c>
      <c r="H336">
        <v>1081.4364</v>
      </c>
      <c r="I336">
        <v>2.5</v>
      </c>
      <c r="J336">
        <v>1163.79</v>
      </c>
      <c r="K336">
        <v>1.9580666999707901</v>
      </c>
      <c r="L336">
        <v>1158.79</v>
      </c>
      <c r="M336" t="s">
        <v>27</v>
      </c>
      <c r="N336">
        <v>1</v>
      </c>
      <c r="O336">
        <v>1282</v>
      </c>
      <c r="P336">
        <v>1108</v>
      </c>
      <c r="Q336">
        <v>0</v>
      </c>
      <c r="R336">
        <v>1108</v>
      </c>
    </row>
    <row r="337" spans="1:18" x14ac:dyDescent="0.3">
      <c r="A337" s="5">
        <v>45956</v>
      </c>
      <c r="B337" t="s">
        <v>523</v>
      </c>
      <c r="C337">
        <v>24</v>
      </c>
      <c r="D337">
        <v>36</v>
      </c>
      <c r="E337" s="1">
        <v>1.0833333333333333</v>
      </c>
      <c r="F337" t="s">
        <v>524</v>
      </c>
      <c r="G337">
        <v>5</v>
      </c>
      <c r="H337">
        <v>1081.1439</v>
      </c>
      <c r="I337">
        <v>0</v>
      </c>
      <c r="J337">
        <v>1163.79</v>
      </c>
      <c r="K337">
        <v>0</v>
      </c>
      <c r="L337">
        <v>1158.79</v>
      </c>
      <c r="M337" t="s">
        <v>27</v>
      </c>
      <c r="N337">
        <v>1</v>
      </c>
      <c r="O337">
        <v>1254</v>
      </c>
      <c r="P337">
        <v>1081</v>
      </c>
      <c r="Q337">
        <v>0</v>
      </c>
      <c r="R337">
        <v>1081</v>
      </c>
    </row>
    <row r="338" spans="1:18" x14ac:dyDescent="0.3">
      <c r="A338" s="5">
        <v>45956</v>
      </c>
      <c r="B338" t="s">
        <v>525</v>
      </c>
      <c r="C338">
        <v>31</v>
      </c>
      <c r="D338">
        <v>36</v>
      </c>
      <c r="E338" s="1">
        <v>1.0833333333333333</v>
      </c>
      <c r="F338" t="s">
        <v>526</v>
      </c>
      <c r="G338">
        <v>3</v>
      </c>
      <c r="H338">
        <v>1081.0055</v>
      </c>
      <c r="I338">
        <v>10</v>
      </c>
      <c r="J338">
        <v>1163.79</v>
      </c>
      <c r="K338">
        <v>7.8322667998831603</v>
      </c>
      <c r="L338">
        <v>609.91</v>
      </c>
      <c r="M338" t="s">
        <v>20</v>
      </c>
      <c r="N338">
        <v>1</v>
      </c>
      <c r="O338">
        <v>1362</v>
      </c>
      <c r="P338">
        <v>1189</v>
      </c>
      <c r="Q338">
        <v>0.5</v>
      </c>
      <c r="R338">
        <v>594.5</v>
      </c>
    </row>
    <row r="339" spans="1:18" x14ac:dyDescent="0.3">
      <c r="A339" s="5">
        <v>45956</v>
      </c>
      <c r="B339" t="s">
        <v>527</v>
      </c>
      <c r="C339">
        <v>22</v>
      </c>
      <c r="D339">
        <v>36</v>
      </c>
      <c r="E339" s="1">
        <v>1.0833333333333333</v>
      </c>
      <c r="F339" t="s">
        <v>528</v>
      </c>
      <c r="G339">
        <v>3</v>
      </c>
      <c r="H339">
        <v>1081.1674</v>
      </c>
      <c r="I339">
        <v>10</v>
      </c>
      <c r="J339">
        <v>1163.79</v>
      </c>
      <c r="K339">
        <v>7.8322667998831603</v>
      </c>
      <c r="L339">
        <v>609.91</v>
      </c>
      <c r="M339" t="s">
        <v>20</v>
      </c>
      <c r="N339">
        <v>1</v>
      </c>
      <c r="O339">
        <v>1362</v>
      </c>
      <c r="P339">
        <v>1189</v>
      </c>
      <c r="Q339">
        <v>0.5</v>
      </c>
      <c r="R339">
        <v>594.5</v>
      </c>
    </row>
    <row r="340" spans="1:18" x14ac:dyDescent="0.3">
      <c r="A340" s="5">
        <v>45956</v>
      </c>
      <c r="B340" t="s">
        <v>529</v>
      </c>
      <c r="C340">
        <v>28</v>
      </c>
      <c r="D340">
        <v>36</v>
      </c>
      <c r="E340" s="1">
        <v>1.0833333333333333</v>
      </c>
      <c r="F340" t="s">
        <v>530</v>
      </c>
      <c r="G340">
        <v>3</v>
      </c>
      <c r="H340">
        <v>1081.0596</v>
      </c>
      <c r="I340">
        <v>10</v>
      </c>
      <c r="J340">
        <v>1163.79</v>
      </c>
      <c r="K340">
        <v>7.8322667998831603</v>
      </c>
      <c r="L340">
        <v>609.91</v>
      </c>
      <c r="M340" t="s">
        <v>20</v>
      </c>
      <c r="N340">
        <v>1</v>
      </c>
      <c r="O340">
        <v>1362</v>
      </c>
      <c r="P340">
        <v>1189</v>
      </c>
      <c r="Q340">
        <v>0.5</v>
      </c>
      <c r="R340">
        <v>594.5</v>
      </c>
    </row>
    <row r="341" spans="1:18" x14ac:dyDescent="0.3">
      <c r="A341" s="5">
        <v>45956</v>
      </c>
      <c r="B341" t="s">
        <v>531</v>
      </c>
      <c r="C341">
        <v>6</v>
      </c>
      <c r="D341">
        <v>36</v>
      </c>
      <c r="E341" s="1">
        <v>1.25</v>
      </c>
      <c r="F341" t="s">
        <v>532</v>
      </c>
      <c r="G341">
        <v>0</v>
      </c>
      <c r="H341">
        <v>1081.598</v>
      </c>
      <c r="I341">
        <v>2.5</v>
      </c>
      <c r="J341">
        <v>1163.79</v>
      </c>
      <c r="K341">
        <v>1.9580666999707901</v>
      </c>
      <c r="L341">
        <v>1158.79</v>
      </c>
      <c r="M341" t="s">
        <v>27</v>
      </c>
      <c r="N341">
        <v>1</v>
      </c>
      <c r="O341">
        <v>1282</v>
      </c>
      <c r="P341">
        <v>1109</v>
      </c>
      <c r="Q341">
        <v>0</v>
      </c>
      <c r="R341">
        <v>1109</v>
      </c>
    </row>
    <row r="342" spans="1:18" x14ac:dyDescent="0.3">
      <c r="A342" s="5">
        <v>45957</v>
      </c>
      <c r="B342" t="s">
        <v>533</v>
      </c>
      <c r="C342">
        <v>20</v>
      </c>
      <c r="D342">
        <v>36</v>
      </c>
      <c r="E342" s="1">
        <v>1.25</v>
      </c>
      <c r="F342" t="s">
        <v>534</v>
      </c>
      <c r="G342">
        <v>4</v>
      </c>
      <c r="H342">
        <v>1081.3333</v>
      </c>
      <c r="I342">
        <v>7</v>
      </c>
      <c r="J342">
        <v>1163.79</v>
      </c>
      <c r="K342">
        <v>5.4825867599182097</v>
      </c>
      <c r="L342">
        <v>1219.83</v>
      </c>
      <c r="M342" t="s">
        <v>27</v>
      </c>
      <c r="N342">
        <v>1</v>
      </c>
      <c r="O342">
        <v>1330</v>
      </c>
      <c r="P342">
        <v>1157</v>
      </c>
      <c r="Q342">
        <v>0</v>
      </c>
      <c r="R342">
        <v>1157</v>
      </c>
    </row>
    <row r="343" spans="1:18" x14ac:dyDescent="0.3">
      <c r="A343" s="5">
        <v>45957</v>
      </c>
      <c r="B343" t="s">
        <v>535</v>
      </c>
      <c r="C343">
        <v>22</v>
      </c>
      <c r="D343">
        <v>36</v>
      </c>
      <c r="E343" s="1">
        <v>1.25</v>
      </c>
      <c r="F343" t="s">
        <v>536</v>
      </c>
      <c r="G343">
        <v>3</v>
      </c>
      <c r="H343">
        <v>1081.1638</v>
      </c>
      <c r="I343">
        <v>10</v>
      </c>
      <c r="J343">
        <v>1163.79</v>
      </c>
      <c r="K343">
        <v>7.8322667998831603</v>
      </c>
      <c r="L343">
        <v>609.91</v>
      </c>
      <c r="M343" t="s">
        <v>20</v>
      </c>
      <c r="N343">
        <v>1</v>
      </c>
      <c r="O343">
        <v>1362</v>
      </c>
      <c r="P343">
        <v>1189</v>
      </c>
      <c r="Q343">
        <v>0.5</v>
      </c>
      <c r="R343">
        <v>594.5</v>
      </c>
    </row>
    <row r="344" spans="1:18" x14ac:dyDescent="0.3">
      <c r="A344" s="5">
        <v>45957</v>
      </c>
      <c r="B344" t="s">
        <v>537</v>
      </c>
      <c r="C344">
        <v>2</v>
      </c>
      <c r="D344">
        <v>36</v>
      </c>
      <c r="E344" s="1">
        <v>1.25</v>
      </c>
      <c r="F344" t="s">
        <v>538</v>
      </c>
      <c r="G344">
        <v>4</v>
      </c>
      <c r="H344">
        <v>1081.6559</v>
      </c>
      <c r="I344">
        <v>7</v>
      </c>
      <c r="J344">
        <v>1163.79</v>
      </c>
      <c r="K344">
        <v>5.4825867599182097</v>
      </c>
      <c r="L344">
        <v>1219.83</v>
      </c>
      <c r="M344" t="s">
        <v>27</v>
      </c>
      <c r="N344">
        <v>1</v>
      </c>
      <c r="O344">
        <v>1330</v>
      </c>
      <c r="P344">
        <v>1157</v>
      </c>
      <c r="Q344">
        <v>0</v>
      </c>
      <c r="R344">
        <v>1157</v>
      </c>
    </row>
    <row r="345" spans="1:18" x14ac:dyDescent="0.3">
      <c r="A345" s="5">
        <v>45957</v>
      </c>
      <c r="B345" t="s">
        <v>539</v>
      </c>
      <c r="C345">
        <v>16</v>
      </c>
      <c r="D345">
        <v>36</v>
      </c>
      <c r="E345" s="1">
        <v>1.9993055555555554</v>
      </c>
      <c r="F345" t="s">
        <v>540</v>
      </c>
      <c r="G345">
        <v>3</v>
      </c>
      <c r="H345">
        <v>1081.175</v>
      </c>
      <c r="I345">
        <v>10</v>
      </c>
      <c r="J345">
        <v>1163.79</v>
      </c>
      <c r="K345">
        <v>7.8322667998831603</v>
      </c>
      <c r="L345">
        <v>609.91</v>
      </c>
      <c r="M345" t="s">
        <v>20</v>
      </c>
      <c r="N345">
        <v>1</v>
      </c>
      <c r="O345">
        <v>1362</v>
      </c>
      <c r="P345">
        <v>1189</v>
      </c>
      <c r="Q345">
        <v>0.5</v>
      </c>
      <c r="R345">
        <v>594.5</v>
      </c>
    </row>
    <row r="346" spans="1:18" x14ac:dyDescent="0.3">
      <c r="A346" s="5">
        <v>45957</v>
      </c>
      <c r="B346" t="s">
        <v>541</v>
      </c>
      <c r="C346">
        <v>12</v>
      </c>
      <c r="D346">
        <v>36</v>
      </c>
      <c r="E346" s="1">
        <v>1.25</v>
      </c>
      <c r="F346" t="s">
        <v>542</v>
      </c>
      <c r="G346">
        <v>3</v>
      </c>
      <c r="H346">
        <v>1081.4761000000001</v>
      </c>
      <c r="I346">
        <v>10</v>
      </c>
      <c r="J346">
        <v>1163.79</v>
      </c>
      <c r="K346">
        <v>7.8322667998831603</v>
      </c>
      <c r="L346">
        <v>609.91</v>
      </c>
      <c r="M346" t="s">
        <v>20</v>
      </c>
      <c r="N346">
        <v>1</v>
      </c>
      <c r="O346">
        <v>1363</v>
      </c>
      <c r="P346">
        <v>1190</v>
      </c>
      <c r="Q346">
        <v>0.5</v>
      </c>
      <c r="R346">
        <v>595</v>
      </c>
    </row>
    <row r="347" spans="1:18" x14ac:dyDescent="0.3">
      <c r="A347" s="5">
        <v>45957</v>
      </c>
      <c r="B347" t="s">
        <v>543</v>
      </c>
      <c r="C347">
        <v>1</v>
      </c>
      <c r="D347">
        <v>36</v>
      </c>
      <c r="E347" s="1">
        <v>1.0833333333333333</v>
      </c>
      <c r="F347" t="s">
        <v>544</v>
      </c>
      <c r="G347">
        <v>0</v>
      </c>
      <c r="H347">
        <v>1081.6228000000001</v>
      </c>
      <c r="I347">
        <v>2.5</v>
      </c>
      <c r="J347">
        <v>1163.79</v>
      </c>
      <c r="K347">
        <v>1.9580666999707901</v>
      </c>
      <c r="L347">
        <v>1099.1400000000001</v>
      </c>
      <c r="M347" t="s">
        <v>27</v>
      </c>
      <c r="N347">
        <v>1</v>
      </c>
      <c r="O347">
        <v>1282</v>
      </c>
      <c r="P347">
        <v>1109</v>
      </c>
      <c r="Q347">
        <v>0</v>
      </c>
      <c r="R347">
        <v>1109</v>
      </c>
    </row>
    <row r="348" spans="1:18" x14ac:dyDescent="0.3">
      <c r="A348" s="5">
        <v>45957</v>
      </c>
      <c r="B348" t="s">
        <v>545</v>
      </c>
      <c r="C348">
        <v>1</v>
      </c>
      <c r="D348">
        <v>35</v>
      </c>
      <c r="E348" s="1">
        <v>1.9993055555555554</v>
      </c>
      <c r="F348" t="s">
        <v>546</v>
      </c>
      <c r="G348">
        <v>0</v>
      </c>
      <c r="H348">
        <v>1081.2528</v>
      </c>
      <c r="I348">
        <v>2.5</v>
      </c>
      <c r="J348">
        <v>1163.79</v>
      </c>
      <c r="K348">
        <v>1.9580666999707901</v>
      </c>
      <c r="L348">
        <v>1107.76</v>
      </c>
      <c r="M348" t="s">
        <v>27</v>
      </c>
      <c r="N348">
        <v>1</v>
      </c>
      <c r="O348">
        <v>1281</v>
      </c>
      <c r="P348">
        <v>1108</v>
      </c>
      <c r="Q348">
        <v>0</v>
      </c>
      <c r="R348">
        <v>1108</v>
      </c>
    </row>
    <row r="349" spans="1:18" x14ac:dyDescent="0.3">
      <c r="A349" s="5">
        <v>45957</v>
      </c>
      <c r="B349" t="s">
        <v>547</v>
      </c>
      <c r="C349">
        <v>33</v>
      </c>
      <c r="D349">
        <v>36</v>
      </c>
      <c r="E349" s="1">
        <v>1.25</v>
      </c>
      <c r="F349" t="s">
        <v>548</v>
      </c>
      <c r="G349">
        <v>1</v>
      </c>
      <c r="H349">
        <v>1080.9646</v>
      </c>
      <c r="I349">
        <v>8.5</v>
      </c>
      <c r="J349">
        <v>1163.79</v>
      </c>
      <c r="K349">
        <v>6.6574267799006801</v>
      </c>
      <c r="L349">
        <v>1219.83</v>
      </c>
      <c r="M349" t="s">
        <v>27</v>
      </c>
      <c r="N349">
        <v>1</v>
      </c>
      <c r="O349">
        <v>1346</v>
      </c>
      <c r="P349">
        <v>1173</v>
      </c>
      <c r="Q349">
        <v>0</v>
      </c>
      <c r="R349">
        <v>1173</v>
      </c>
    </row>
    <row r="350" spans="1:18" x14ac:dyDescent="0.3">
      <c r="A350" s="5">
        <v>45957</v>
      </c>
      <c r="B350" t="s">
        <v>549</v>
      </c>
      <c r="C350">
        <v>34</v>
      </c>
      <c r="D350">
        <v>36</v>
      </c>
      <c r="E350" s="1">
        <v>1.25</v>
      </c>
      <c r="F350" t="s">
        <v>550</v>
      </c>
      <c r="G350">
        <v>5</v>
      </c>
      <c r="H350">
        <v>1080.9591</v>
      </c>
      <c r="I350">
        <v>0</v>
      </c>
      <c r="J350">
        <v>1163.79</v>
      </c>
      <c r="K350">
        <v>0</v>
      </c>
      <c r="L350">
        <v>1158.79</v>
      </c>
      <c r="M350" t="s">
        <v>27</v>
      </c>
      <c r="N350">
        <v>1</v>
      </c>
      <c r="O350">
        <v>1254</v>
      </c>
      <c r="P350">
        <v>1081</v>
      </c>
      <c r="Q350">
        <v>0</v>
      </c>
      <c r="R350">
        <v>1081</v>
      </c>
    </row>
    <row r="351" spans="1:18" x14ac:dyDescent="0.3">
      <c r="A351" s="5">
        <v>45957</v>
      </c>
      <c r="B351" t="s">
        <v>551</v>
      </c>
      <c r="C351">
        <v>29</v>
      </c>
      <c r="D351">
        <v>36</v>
      </c>
      <c r="E351" s="1">
        <v>1.25</v>
      </c>
      <c r="F351" t="s">
        <v>552</v>
      </c>
      <c r="G351">
        <v>1</v>
      </c>
      <c r="H351">
        <v>1081.0364</v>
      </c>
      <c r="I351">
        <v>8.5</v>
      </c>
      <c r="J351">
        <v>1163.79</v>
      </c>
      <c r="K351">
        <v>6.6574267799006801</v>
      </c>
      <c r="L351">
        <v>1219.83</v>
      </c>
      <c r="M351" t="s">
        <v>27</v>
      </c>
      <c r="N351">
        <v>1</v>
      </c>
      <c r="O351">
        <v>1346</v>
      </c>
      <c r="P351">
        <v>1173</v>
      </c>
      <c r="Q351">
        <v>0</v>
      </c>
      <c r="R351">
        <v>1173</v>
      </c>
    </row>
    <row r="352" spans="1:18" x14ac:dyDescent="0.3">
      <c r="A352" s="5">
        <v>45957</v>
      </c>
      <c r="B352" t="s">
        <v>553</v>
      </c>
      <c r="C352">
        <v>23</v>
      </c>
      <c r="D352">
        <v>36</v>
      </c>
      <c r="E352" s="1">
        <v>1.25</v>
      </c>
      <c r="F352" t="s">
        <v>554</v>
      </c>
      <c r="G352">
        <v>1</v>
      </c>
      <c r="H352">
        <v>1081.1427000000001</v>
      </c>
      <c r="I352">
        <v>8.5</v>
      </c>
      <c r="J352">
        <v>1163.79</v>
      </c>
      <c r="K352">
        <v>6.6574267799006801</v>
      </c>
      <c r="L352">
        <v>1219.83</v>
      </c>
      <c r="M352" t="s">
        <v>27</v>
      </c>
      <c r="N352">
        <v>1</v>
      </c>
      <c r="O352">
        <v>1346</v>
      </c>
      <c r="P352">
        <v>1173</v>
      </c>
      <c r="Q352">
        <v>0</v>
      </c>
      <c r="R352">
        <v>1173</v>
      </c>
    </row>
    <row r="353" spans="1:18" x14ac:dyDescent="0.3">
      <c r="A353" s="5">
        <v>45957</v>
      </c>
      <c r="B353" t="s">
        <v>555</v>
      </c>
      <c r="C353">
        <v>19</v>
      </c>
      <c r="D353">
        <v>36</v>
      </c>
      <c r="E353" s="1">
        <v>1.25</v>
      </c>
      <c r="F353" t="s">
        <v>556</v>
      </c>
      <c r="G353">
        <v>1</v>
      </c>
      <c r="H353">
        <v>1081.3472999999999</v>
      </c>
      <c r="I353">
        <v>8.5</v>
      </c>
      <c r="J353">
        <v>1163.79</v>
      </c>
      <c r="K353">
        <v>6.6574267799006801</v>
      </c>
      <c r="L353">
        <v>1219.83</v>
      </c>
      <c r="M353" t="s">
        <v>27</v>
      </c>
      <c r="N353">
        <v>1</v>
      </c>
      <c r="O353">
        <v>1346</v>
      </c>
      <c r="P353">
        <v>1173</v>
      </c>
      <c r="Q353">
        <v>0</v>
      </c>
      <c r="R353">
        <v>1173</v>
      </c>
    </row>
    <row r="354" spans="1:18" x14ac:dyDescent="0.3">
      <c r="A354" s="5">
        <v>45957</v>
      </c>
      <c r="B354" t="s">
        <v>557</v>
      </c>
      <c r="C354">
        <v>5</v>
      </c>
      <c r="D354">
        <v>36</v>
      </c>
      <c r="E354" s="1">
        <v>1.25</v>
      </c>
      <c r="F354" t="s">
        <v>558</v>
      </c>
      <c r="G354">
        <v>1</v>
      </c>
      <c r="H354">
        <v>1081.5988</v>
      </c>
      <c r="I354">
        <v>8.5</v>
      </c>
      <c r="J354">
        <v>1163.79</v>
      </c>
      <c r="K354">
        <v>6.6574267799006801</v>
      </c>
      <c r="L354">
        <v>1219.83</v>
      </c>
      <c r="M354" t="s">
        <v>27</v>
      </c>
      <c r="N354">
        <v>1</v>
      </c>
      <c r="O354">
        <v>1347</v>
      </c>
      <c r="P354">
        <v>1174</v>
      </c>
      <c r="Q354">
        <v>0</v>
      </c>
      <c r="R354">
        <v>1174</v>
      </c>
    </row>
    <row r="355" spans="1:18" x14ac:dyDescent="0.3">
      <c r="A355" s="5">
        <v>45957</v>
      </c>
      <c r="B355" t="s">
        <v>559</v>
      </c>
      <c r="C355">
        <v>14</v>
      </c>
      <c r="D355">
        <v>36</v>
      </c>
      <c r="E355" s="1">
        <v>1.25</v>
      </c>
      <c r="F355" t="s">
        <v>560</v>
      </c>
      <c r="G355">
        <v>1</v>
      </c>
      <c r="H355">
        <v>1081.4371000000001</v>
      </c>
      <c r="I355">
        <v>8.5</v>
      </c>
      <c r="J355">
        <v>1163.79</v>
      </c>
      <c r="K355">
        <v>6.6574267799006801</v>
      </c>
      <c r="L355">
        <v>1219.83</v>
      </c>
      <c r="M355" t="s">
        <v>27</v>
      </c>
      <c r="N355">
        <v>1</v>
      </c>
      <c r="O355">
        <v>1346</v>
      </c>
      <c r="P355">
        <v>1173</v>
      </c>
      <c r="Q355">
        <v>0</v>
      </c>
      <c r="R355">
        <v>1173</v>
      </c>
    </row>
    <row r="356" spans="1:18" x14ac:dyDescent="0.3">
      <c r="A356" s="5">
        <v>45957</v>
      </c>
      <c r="B356" t="s">
        <v>561</v>
      </c>
      <c r="C356">
        <v>28</v>
      </c>
      <c r="D356">
        <v>36</v>
      </c>
      <c r="E356" s="1">
        <v>1.25</v>
      </c>
      <c r="F356" t="s">
        <v>562</v>
      </c>
      <c r="G356">
        <v>1</v>
      </c>
      <c r="H356">
        <v>1081.0527</v>
      </c>
      <c r="I356">
        <v>8.5</v>
      </c>
      <c r="J356">
        <v>1163.79</v>
      </c>
      <c r="K356">
        <v>6.6574267799006801</v>
      </c>
      <c r="L356">
        <v>1219.83</v>
      </c>
      <c r="M356" t="s">
        <v>27</v>
      </c>
      <c r="N356">
        <v>1</v>
      </c>
      <c r="O356">
        <v>1346</v>
      </c>
      <c r="P356">
        <v>1173</v>
      </c>
      <c r="Q356">
        <v>0</v>
      </c>
      <c r="R356">
        <v>1173</v>
      </c>
    </row>
    <row r="357" spans="1:18" x14ac:dyDescent="0.3">
      <c r="A357" s="5">
        <v>45957</v>
      </c>
      <c r="B357" t="s">
        <v>563</v>
      </c>
      <c r="C357">
        <v>25</v>
      </c>
      <c r="D357">
        <v>36</v>
      </c>
      <c r="E357" s="1">
        <v>1.9993055555555554</v>
      </c>
      <c r="F357" t="s">
        <v>564</v>
      </c>
      <c r="G357">
        <v>5</v>
      </c>
      <c r="H357">
        <v>1080.8884</v>
      </c>
      <c r="I357">
        <v>0</v>
      </c>
      <c r="J357">
        <v>1163.79</v>
      </c>
      <c r="K357">
        <v>0</v>
      </c>
      <c r="L357">
        <v>1158.79</v>
      </c>
      <c r="M357" t="s">
        <v>27</v>
      </c>
      <c r="N357">
        <v>1</v>
      </c>
      <c r="O357">
        <v>1254</v>
      </c>
      <c r="P357">
        <v>1081</v>
      </c>
      <c r="Q357">
        <v>0</v>
      </c>
      <c r="R357">
        <v>1081</v>
      </c>
    </row>
    <row r="358" spans="1:18" x14ac:dyDescent="0.3">
      <c r="A358" s="5">
        <v>45957</v>
      </c>
      <c r="B358" t="s">
        <v>565</v>
      </c>
      <c r="C358">
        <v>4</v>
      </c>
      <c r="D358">
        <v>36</v>
      </c>
      <c r="E358" s="1">
        <v>1.4583333333333333</v>
      </c>
      <c r="F358" t="s">
        <v>566</v>
      </c>
      <c r="G358">
        <v>3</v>
      </c>
      <c r="H358">
        <v>1081.403</v>
      </c>
      <c r="I358">
        <v>10</v>
      </c>
      <c r="J358">
        <v>1163.79</v>
      </c>
      <c r="K358">
        <v>7.8322667998831603</v>
      </c>
      <c r="L358">
        <v>601.29</v>
      </c>
      <c r="M358" t="s">
        <v>20</v>
      </c>
      <c r="N358">
        <v>1</v>
      </c>
      <c r="O358">
        <v>1363</v>
      </c>
      <c r="P358">
        <v>1190</v>
      </c>
      <c r="Q358">
        <v>0.5</v>
      </c>
      <c r="R358">
        <v>595</v>
      </c>
    </row>
    <row r="359" spans="1:18" x14ac:dyDescent="0.3">
      <c r="A359" s="5">
        <v>45957</v>
      </c>
      <c r="B359" t="s">
        <v>567</v>
      </c>
      <c r="C359">
        <v>14</v>
      </c>
      <c r="D359">
        <v>36</v>
      </c>
      <c r="E359" s="1">
        <v>1.25</v>
      </c>
      <c r="F359" t="s">
        <v>568</v>
      </c>
      <c r="G359">
        <v>0</v>
      </c>
      <c r="H359">
        <v>1081.4739</v>
      </c>
      <c r="I359">
        <v>2.5</v>
      </c>
      <c r="J359">
        <v>1163.79</v>
      </c>
      <c r="K359">
        <v>1.9580666999707901</v>
      </c>
      <c r="L359">
        <v>1142.5</v>
      </c>
      <c r="M359" t="s">
        <v>27</v>
      </c>
      <c r="N359">
        <v>1</v>
      </c>
      <c r="O359">
        <v>1282</v>
      </c>
      <c r="P359">
        <v>1109</v>
      </c>
      <c r="Q359">
        <v>0</v>
      </c>
      <c r="R359">
        <v>1109</v>
      </c>
    </row>
    <row r="360" spans="1:18" x14ac:dyDescent="0.3">
      <c r="A360" s="5">
        <v>45957</v>
      </c>
      <c r="B360" t="s">
        <v>569</v>
      </c>
      <c r="C360">
        <v>15</v>
      </c>
      <c r="D360">
        <v>36</v>
      </c>
      <c r="E360" s="1">
        <v>1.25</v>
      </c>
      <c r="F360" t="s">
        <v>568</v>
      </c>
      <c r="G360">
        <v>0</v>
      </c>
      <c r="H360">
        <v>1081.4558</v>
      </c>
      <c r="I360">
        <v>2.5</v>
      </c>
      <c r="J360">
        <v>1163.79</v>
      </c>
      <c r="K360">
        <v>1.9580666999707901</v>
      </c>
      <c r="L360">
        <v>1142.5</v>
      </c>
      <c r="M360" t="s">
        <v>27</v>
      </c>
      <c r="N360">
        <v>1</v>
      </c>
      <c r="O360">
        <v>1282</v>
      </c>
      <c r="P360">
        <v>1108</v>
      </c>
      <c r="Q360">
        <v>0</v>
      </c>
      <c r="R360">
        <v>1108</v>
      </c>
    </row>
    <row r="361" spans="1:18" x14ac:dyDescent="0.3">
      <c r="A361" s="5">
        <v>45957</v>
      </c>
      <c r="B361" t="s">
        <v>570</v>
      </c>
      <c r="C361">
        <v>2</v>
      </c>
      <c r="D361">
        <v>36</v>
      </c>
      <c r="E361" s="1">
        <v>1.9993055555555554</v>
      </c>
      <c r="F361" t="s">
        <v>571</v>
      </c>
      <c r="G361">
        <v>3</v>
      </c>
      <c r="H361">
        <v>1081.4187999999999</v>
      </c>
      <c r="I361">
        <v>10</v>
      </c>
      <c r="J361">
        <v>1163.79</v>
      </c>
      <c r="K361">
        <v>7.8322667998831603</v>
      </c>
      <c r="L361">
        <v>609.91</v>
      </c>
      <c r="M361" t="s">
        <v>20</v>
      </c>
      <c r="N361">
        <v>1</v>
      </c>
      <c r="O361">
        <v>1363</v>
      </c>
      <c r="P361">
        <v>1190</v>
      </c>
      <c r="Q361">
        <v>0.5</v>
      </c>
      <c r="R361">
        <v>595</v>
      </c>
    </row>
    <row r="362" spans="1:18" x14ac:dyDescent="0.3">
      <c r="A362" s="5">
        <v>45957</v>
      </c>
      <c r="B362" t="s">
        <v>572</v>
      </c>
      <c r="C362">
        <v>35</v>
      </c>
      <c r="D362">
        <v>36</v>
      </c>
      <c r="E362" s="1">
        <v>1.9993055555555554</v>
      </c>
      <c r="F362" t="s">
        <v>573</v>
      </c>
      <c r="G362">
        <v>5</v>
      </c>
      <c r="H362">
        <v>1080.7053000000001</v>
      </c>
      <c r="I362">
        <v>0</v>
      </c>
      <c r="J362">
        <v>1163.79</v>
      </c>
      <c r="K362">
        <v>0</v>
      </c>
      <c r="L362">
        <v>1158.79</v>
      </c>
      <c r="M362" t="s">
        <v>27</v>
      </c>
      <c r="N362">
        <v>1</v>
      </c>
      <c r="O362">
        <v>1254</v>
      </c>
      <c r="P362">
        <v>1081</v>
      </c>
      <c r="Q362">
        <v>0</v>
      </c>
      <c r="R362">
        <v>1081</v>
      </c>
    </row>
    <row r="363" spans="1:18" x14ac:dyDescent="0.3">
      <c r="A363" s="5">
        <v>45957</v>
      </c>
      <c r="B363" t="s">
        <v>574</v>
      </c>
      <c r="C363">
        <v>36</v>
      </c>
      <c r="D363">
        <v>36</v>
      </c>
      <c r="E363" s="1">
        <v>1.9993055555555554</v>
      </c>
      <c r="F363" t="s">
        <v>575</v>
      </c>
      <c r="G363">
        <v>5</v>
      </c>
      <c r="H363">
        <v>1080.6875</v>
      </c>
      <c r="I363">
        <v>0</v>
      </c>
      <c r="J363">
        <v>1163.79</v>
      </c>
      <c r="K363">
        <v>0</v>
      </c>
      <c r="L363">
        <v>1158.79</v>
      </c>
      <c r="M363" t="s">
        <v>27</v>
      </c>
      <c r="N363">
        <v>1</v>
      </c>
      <c r="O363">
        <v>1254</v>
      </c>
      <c r="P363">
        <v>1081</v>
      </c>
      <c r="Q363">
        <v>0</v>
      </c>
      <c r="R363">
        <v>1081</v>
      </c>
    </row>
    <row r="364" spans="1:18" x14ac:dyDescent="0.3">
      <c r="A364" s="5">
        <v>45957</v>
      </c>
      <c r="B364" t="s">
        <v>576</v>
      </c>
      <c r="C364">
        <v>27</v>
      </c>
      <c r="D364">
        <v>36</v>
      </c>
      <c r="E364" s="1">
        <v>1.9993055555555554</v>
      </c>
      <c r="F364" t="s">
        <v>577</v>
      </c>
      <c r="G364">
        <v>5</v>
      </c>
      <c r="H364">
        <v>1080.8490999999999</v>
      </c>
      <c r="I364">
        <v>0</v>
      </c>
      <c r="J364">
        <v>1163.79</v>
      </c>
      <c r="K364">
        <v>0</v>
      </c>
      <c r="L364">
        <v>1158.79</v>
      </c>
      <c r="M364" t="s">
        <v>27</v>
      </c>
      <c r="N364">
        <v>1</v>
      </c>
      <c r="O364">
        <v>1254</v>
      </c>
      <c r="P364">
        <v>1081</v>
      </c>
      <c r="Q364">
        <v>0</v>
      </c>
      <c r="R364">
        <v>1081</v>
      </c>
    </row>
    <row r="365" spans="1:18" x14ac:dyDescent="0.3">
      <c r="A365" s="5">
        <v>45957</v>
      </c>
      <c r="B365" t="s">
        <v>578</v>
      </c>
      <c r="C365">
        <v>29</v>
      </c>
      <c r="D365">
        <v>35</v>
      </c>
      <c r="E365" s="1">
        <v>1.9652777777777777</v>
      </c>
      <c r="F365" t="s">
        <v>579</v>
      </c>
      <c r="G365">
        <v>5</v>
      </c>
      <c r="H365">
        <v>1080.8134</v>
      </c>
      <c r="I365">
        <v>0</v>
      </c>
      <c r="J365">
        <v>1163.79</v>
      </c>
      <c r="K365">
        <v>0</v>
      </c>
      <c r="L365">
        <v>1158.79</v>
      </c>
      <c r="M365" t="s">
        <v>27</v>
      </c>
      <c r="N365">
        <v>1</v>
      </c>
      <c r="O365">
        <v>1254</v>
      </c>
      <c r="P365">
        <v>1081</v>
      </c>
      <c r="Q365">
        <v>0</v>
      </c>
      <c r="R365">
        <v>1081</v>
      </c>
    </row>
    <row r="366" spans="1:18" x14ac:dyDescent="0.3">
      <c r="A366" s="5">
        <v>45957</v>
      </c>
      <c r="B366" t="s">
        <v>580</v>
      </c>
      <c r="C366">
        <v>7</v>
      </c>
      <c r="D366">
        <v>36</v>
      </c>
      <c r="E366" s="1">
        <v>1.9993055555555554</v>
      </c>
      <c r="F366" t="s">
        <v>581</v>
      </c>
      <c r="G366">
        <v>5</v>
      </c>
      <c r="H366">
        <v>1081.3413</v>
      </c>
      <c r="I366">
        <v>0</v>
      </c>
      <c r="J366">
        <v>1163.79</v>
      </c>
      <c r="K366">
        <v>0</v>
      </c>
      <c r="L366">
        <v>1158.79</v>
      </c>
      <c r="M366" t="s">
        <v>27</v>
      </c>
      <c r="N366">
        <v>1</v>
      </c>
      <c r="O366">
        <v>1254</v>
      </c>
      <c r="P366">
        <v>1081</v>
      </c>
      <c r="Q366">
        <v>0</v>
      </c>
      <c r="R366">
        <v>1081</v>
      </c>
    </row>
    <row r="367" spans="1:18" x14ac:dyDescent="0.3">
      <c r="A367" s="5">
        <v>45957</v>
      </c>
      <c r="B367" t="s">
        <v>582</v>
      </c>
      <c r="C367">
        <v>10</v>
      </c>
      <c r="D367">
        <v>36</v>
      </c>
      <c r="E367" s="1">
        <v>1.25</v>
      </c>
      <c r="F367" t="s">
        <v>583</v>
      </c>
      <c r="G367">
        <v>2</v>
      </c>
      <c r="H367">
        <v>1081.4505999999999</v>
      </c>
      <c r="I367">
        <v>5</v>
      </c>
      <c r="J367">
        <v>1163.79</v>
      </c>
      <c r="K367">
        <v>3.9161333999415802</v>
      </c>
      <c r="L367">
        <v>601.29</v>
      </c>
      <c r="M367" t="s">
        <v>60</v>
      </c>
      <c r="N367">
        <v>1</v>
      </c>
      <c r="O367">
        <v>1309</v>
      </c>
      <c r="P367">
        <v>1136</v>
      </c>
      <c r="Q367">
        <v>0.5</v>
      </c>
      <c r="R367">
        <v>568</v>
      </c>
    </row>
    <row r="368" spans="1:18" x14ac:dyDescent="0.3">
      <c r="A368" s="5">
        <v>45957</v>
      </c>
      <c r="B368" t="s">
        <v>584</v>
      </c>
      <c r="C368">
        <v>13</v>
      </c>
      <c r="D368">
        <v>36</v>
      </c>
      <c r="E368" s="1">
        <v>1.9993055555555554</v>
      </c>
      <c r="F368" t="s">
        <v>585</v>
      </c>
      <c r="G368">
        <v>0</v>
      </c>
      <c r="H368">
        <v>1081.4776999999999</v>
      </c>
      <c r="I368">
        <v>2.5</v>
      </c>
      <c r="J368">
        <v>1163.79</v>
      </c>
      <c r="K368">
        <v>1.9580666999707901</v>
      </c>
      <c r="L368">
        <v>1142.5</v>
      </c>
      <c r="M368" t="s">
        <v>27</v>
      </c>
      <c r="N368">
        <v>1</v>
      </c>
      <c r="O368">
        <v>1282</v>
      </c>
      <c r="P368">
        <v>1109</v>
      </c>
      <c r="Q368">
        <v>0</v>
      </c>
      <c r="R368">
        <v>1109</v>
      </c>
    </row>
    <row r="369" spans="1:18" x14ac:dyDescent="0.3">
      <c r="A369" s="5">
        <v>45957</v>
      </c>
      <c r="B369" t="s">
        <v>586</v>
      </c>
      <c r="C369">
        <v>1</v>
      </c>
      <c r="D369">
        <v>36</v>
      </c>
      <c r="E369" s="1">
        <v>1.9993055555555554</v>
      </c>
      <c r="F369" t="s">
        <v>587</v>
      </c>
      <c r="G369">
        <v>2</v>
      </c>
      <c r="H369">
        <v>1081.3601000000001</v>
      </c>
      <c r="I369">
        <v>5</v>
      </c>
      <c r="J369">
        <v>1163.79</v>
      </c>
      <c r="K369">
        <v>3.9161333999415802</v>
      </c>
      <c r="L369">
        <v>601.29</v>
      </c>
      <c r="M369" t="s">
        <v>60</v>
      </c>
      <c r="N369">
        <v>1</v>
      </c>
      <c r="O369">
        <v>1308</v>
      </c>
      <c r="P369">
        <v>1135</v>
      </c>
      <c r="Q369">
        <v>0.5</v>
      </c>
      <c r="R369">
        <v>567.5</v>
      </c>
    </row>
    <row r="370" spans="1:18" x14ac:dyDescent="0.3">
      <c r="A370" s="5">
        <v>45957</v>
      </c>
      <c r="B370" t="s">
        <v>588</v>
      </c>
      <c r="C370">
        <v>5</v>
      </c>
      <c r="D370">
        <v>36</v>
      </c>
      <c r="E370" s="1">
        <v>1.9993055555555554</v>
      </c>
      <c r="F370" t="s">
        <v>589</v>
      </c>
      <c r="G370">
        <v>4</v>
      </c>
      <c r="H370">
        <v>1081.2881</v>
      </c>
      <c r="I370">
        <v>7</v>
      </c>
      <c r="J370">
        <v>1163.79</v>
      </c>
      <c r="K370">
        <v>5.4825867599182097</v>
      </c>
      <c r="L370">
        <v>1202.5899999999999</v>
      </c>
      <c r="M370" t="s">
        <v>27</v>
      </c>
      <c r="N370">
        <v>1</v>
      </c>
      <c r="O370">
        <v>1330</v>
      </c>
      <c r="P370">
        <v>1157</v>
      </c>
      <c r="Q370">
        <v>0</v>
      </c>
      <c r="R370">
        <v>1157</v>
      </c>
    </row>
    <row r="371" spans="1:18" x14ac:dyDescent="0.3">
      <c r="A371" s="5">
        <v>45957</v>
      </c>
      <c r="B371" t="s">
        <v>590</v>
      </c>
      <c r="C371">
        <v>6</v>
      </c>
      <c r="D371">
        <v>36</v>
      </c>
      <c r="E371" s="1">
        <v>1.9993055555555554</v>
      </c>
      <c r="F371" t="s">
        <v>591</v>
      </c>
      <c r="G371">
        <v>4</v>
      </c>
      <c r="H371">
        <v>1081.2702999999999</v>
      </c>
      <c r="I371">
        <v>7</v>
      </c>
      <c r="J371">
        <v>1163.79</v>
      </c>
      <c r="K371">
        <v>5.4825867599182097</v>
      </c>
      <c r="L371">
        <v>1202.5899999999999</v>
      </c>
      <c r="M371" t="s">
        <v>27</v>
      </c>
      <c r="N371">
        <v>1</v>
      </c>
      <c r="O371">
        <v>1330</v>
      </c>
      <c r="P371">
        <v>1157</v>
      </c>
      <c r="Q371">
        <v>0</v>
      </c>
      <c r="R371">
        <v>1157</v>
      </c>
    </row>
    <row r="372" spans="1:18" x14ac:dyDescent="0.3">
      <c r="A372" s="5">
        <v>45957</v>
      </c>
      <c r="B372" t="s">
        <v>592</v>
      </c>
      <c r="C372">
        <v>30</v>
      </c>
      <c r="D372">
        <v>36</v>
      </c>
      <c r="E372" s="1">
        <v>1.0833333333333333</v>
      </c>
      <c r="F372" t="s">
        <v>593</v>
      </c>
      <c r="G372">
        <v>2</v>
      </c>
      <c r="H372">
        <v>1081.0065</v>
      </c>
      <c r="I372">
        <v>5</v>
      </c>
      <c r="J372">
        <v>1163.79</v>
      </c>
      <c r="K372">
        <v>3.9161333999415802</v>
      </c>
      <c r="L372">
        <v>601.29</v>
      </c>
      <c r="M372" t="s">
        <v>60</v>
      </c>
      <c r="N372">
        <v>1</v>
      </c>
      <c r="O372">
        <v>1308</v>
      </c>
      <c r="P372">
        <v>1135</v>
      </c>
      <c r="Q372">
        <v>0.5</v>
      </c>
      <c r="R372">
        <v>567.5</v>
      </c>
    </row>
    <row r="373" spans="1:18" x14ac:dyDescent="0.3">
      <c r="A373" s="5">
        <v>45957</v>
      </c>
      <c r="B373" t="s">
        <v>594</v>
      </c>
      <c r="C373">
        <v>31</v>
      </c>
      <c r="D373">
        <v>36</v>
      </c>
      <c r="E373" s="1">
        <v>1.0833333333333333</v>
      </c>
      <c r="F373" t="s">
        <v>595</v>
      </c>
      <c r="G373">
        <v>2</v>
      </c>
      <c r="H373">
        <v>1080.9885999999999</v>
      </c>
      <c r="I373">
        <v>5</v>
      </c>
      <c r="J373">
        <v>1163.79</v>
      </c>
      <c r="K373">
        <v>3.9161333999415802</v>
      </c>
      <c r="L373">
        <v>601.29</v>
      </c>
      <c r="M373" t="s">
        <v>60</v>
      </c>
      <c r="N373">
        <v>1</v>
      </c>
      <c r="O373">
        <v>1308</v>
      </c>
      <c r="P373">
        <v>1135</v>
      </c>
      <c r="Q373">
        <v>0.5</v>
      </c>
      <c r="R373">
        <v>567.5</v>
      </c>
    </row>
    <row r="374" spans="1:18" x14ac:dyDescent="0.3">
      <c r="A374" s="5">
        <v>45957</v>
      </c>
      <c r="B374" t="s">
        <v>596</v>
      </c>
      <c r="C374">
        <v>32</v>
      </c>
      <c r="D374">
        <v>36</v>
      </c>
      <c r="E374" s="1">
        <v>1.4583333333333333</v>
      </c>
      <c r="F374" t="s">
        <v>597</v>
      </c>
      <c r="G374">
        <v>3</v>
      </c>
      <c r="H374">
        <v>1080.953</v>
      </c>
      <c r="I374">
        <v>10</v>
      </c>
      <c r="J374">
        <v>1163.79</v>
      </c>
      <c r="K374">
        <v>7.8322667998831603</v>
      </c>
      <c r="L374">
        <v>601.29</v>
      </c>
      <c r="M374" t="s">
        <v>20</v>
      </c>
      <c r="N374">
        <v>1</v>
      </c>
      <c r="O374">
        <v>1362</v>
      </c>
      <c r="P374">
        <v>1189</v>
      </c>
      <c r="Q374">
        <v>0.5</v>
      </c>
      <c r="R374">
        <v>594.5</v>
      </c>
    </row>
    <row r="375" spans="1:18" x14ac:dyDescent="0.3">
      <c r="A375" s="5">
        <v>45957</v>
      </c>
      <c r="B375" t="s">
        <v>598</v>
      </c>
      <c r="C375">
        <v>31</v>
      </c>
      <c r="D375">
        <v>36</v>
      </c>
      <c r="E375" s="1">
        <v>1.4583333333333333</v>
      </c>
      <c r="F375" t="s">
        <v>599</v>
      </c>
      <c r="G375">
        <v>4</v>
      </c>
      <c r="H375">
        <v>1080.971</v>
      </c>
      <c r="I375">
        <v>7</v>
      </c>
      <c r="J375">
        <v>1163.79</v>
      </c>
      <c r="K375">
        <v>5.4825867599182097</v>
      </c>
      <c r="L375">
        <v>1202.5899999999999</v>
      </c>
      <c r="M375" t="s">
        <v>27</v>
      </c>
      <c r="N375">
        <v>1</v>
      </c>
      <c r="O375">
        <v>1330</v>
      </c>
      <c r="P375">
        <v>1157</v>
      </c>
      <c r="Q375">
        <v>0</v>
      </c>
      <c r="R375">
        <v>1157</v>
      </c>
    </row>
    <row r="376" spans="1:18" x14ac:dyDescent="0.3">
      <c r="A376" s="5">
        <v>45957</v>
      </c>
      <c r="B376" t="s">
        <v>600</v>
      </c>
      <c r="C376">
        <v>30</v>
      </c>
      <c r="D376">
        <v>36</v>
      </c>
      <c r="E376" s="1">
        <v>1.4583333333333333</v>
      </c>
      <c r="F376" t="s">
        <v>601</v>
      </c>
      <c r="G376">
        <v>4</v>
      </c>
      <c r="H376">
        <v>1080.989</v>
      </c>
      <c r="I376">
        <v>7</v>
      </c>
      <c r="J376">
        <v>1163.79</v>
      </c>
      <c r="K376">
        <v>5.4825867599182097</v>
      </c>
      <c r="L376">
        <v>1202.5899999999999</v>
      </c>
      <c r="M376" t="s">
        <v>27</v>
      </c>
      <c r="N376">
        <v>1</v>
      </c>
      <c r="O376">
        <v>1330</v>
      </c>
      <c r="P376">
        <v>1157</v>
      </c>
      <c r="Q376">
        <v>0</v>
      </c>
      <c r="R376">
        <v>1157</v>
      </c>
    </row>
    <row r="377" spans="1:18" x14ac:dyDescent="0.3">
      <c r="A377" s="5">
        <v>45957</v>
      </c>
      <c r="B377" t="s">
        <v>602</v>
      </c>
      <c r="C377">
        <v>18</v>
      </c>
      <c r="D377">
        <v>36</v>
      </c>
      <c r="E377" s="1">
        <v>1.9993055555555554</v>
      </c>
      <c r="F377" t="s">
        <v>603</v>
      </c>
      <c r="G377">
        <v>4</v>
      </c>
      <c r="H377">
        <v>1081.1420000000001</v>
      </c>
      <c r="I377">
        <v>7</v>
      </c>
      <c r="J377">
        <v>1163.79</v>
      </c>
      <c r="K377">
        <v>5.4825867599182097</v>
      </c>
      <c r="L377">
        <v>1158.79</v>
      </c>
      <c r="M377" t="s">
        <v>27</v>
      </c>
      <c r="N377">
        <v>1</v>
      </c>
      <c r="O377">
        <v>1330</v>
      </c>
      <c r="P377">
        <v>1157</v>
      </c>
      <c r="Q377">
        <v>0</v>
      </c>
      <c r="R377">
        <v>1157</v>
      </c>
    </row>
    <row r="378" spans="1:18" x14ac:dyDescent="0.3">
      <c r="A378" s="5">
        <v>45957</v>
      </c>
      <c r="B378" t="s">
        <v>604</v>
      </c>
      <c r="C378">
        <v>16</v>
      </c>
      <c r="D378">
        <v>36</v>
      </c>
      <c r="E378" s="1">
        <v>1.25</v>
      </c>
      <c r="F378" t="s">
        <v>605</v>
      </c>
      <c r="G378">
        <v>0</v>
      </c>
      <c r="H378">
        <v>1081.3411000000001</v>
      </c>
      <c r="I378">
        <v>2.5</v>
      </c>
      <c r="J378">
        <v>1163.79</v>
      </c>
      <c r="K378">
        <v>1.9580666999707901</v>
      </c>
      <c r="L378">
        <v>1142.5</v>
      </c>
      <c r="M378" t="s">
        <v>27</v>
      </c>
      <c r="N378">
        <v>1</v>
      </c>
      <c r="O378">
        <v>1281</v>
      </c>
      <c r="P378">
        <v>1108</v>
      </c>
      <c r="Q378">
        <v>0</v>
      </c>
      <c r="R378">
        <v>1108</v>
      </c>
    </row>
    <row r="379" spans="1:18" x14ac:dyDescent="0.3">
      <c r="A379" s="5">
        <v>45957</v>
      </c>
      <c r="B379" t="s">
        <v>606</v>
      </c>
      <c r="C379">
        <v>30</v>
      </c>
      <c r="D379">
        <v>36</v>
      </c>
      <c r="E379" s="1">
        <v>1.9993055555555554</v>
      </c>
      <c r="F379" t="s">
        <v>607</v>
      </c>
      <c r="G379">
        <v>4</v>
      </c>
      <c r="H379">
        <v>1080.7936999999999</v>
      </c>
      <c r="I379">
        <v>7</v>
      </c>
      <c r="J379">
        <v>1163.79</v>
      </c>
      <c r="K379">
        <v>5.4825867599182097</v>
      </c>
      <c r="L379">
        <v>1158.79</v>
      </c>
      <c r="M379" t="s">
        <v>27</v>
      </c>
      <c r="N379">
        <v>1</v>
      </c>
      <c r="O379">
        <v>1329</v>
      </c>
      <c r="P379">
        <v>1156</v>
      </c>
      <c r="Q379">
        <v>0</v>
      </c>
      <c r="R379">
        <v>1156</v>
      </c>
    </row>
    <row r="380" spans="1:18" x14ac:dyDescent="0.3">
      <c r="A380" s="5">
        <v>45957</v>
      </c>
      <c r="B380" t="s">
        <v>608</v>
      </c>
      <c r="C380">
        <v>35</v>
      </c>
      <c r="D380">
        <v>36</v>
      </c>
      <c r="E380" s="1">
        <v>1.9993055555555554</v>
      </c>
      <c r="F380" t="s">
        <v>609</v>
      </c>
      <c r="G380">
        <v>2</v>
      </c>
      <c r="H380">
        <v>1080.8035</v>
      </c>
      <c r="I380">
        <v>5</v>
      </c>
      <c r="J380">
        <v>1163.79</v>
      </c>
      <c r="K380">
        <v>3.9161333999415802</v>
      </c>
      <c r="L380">
        <v>601.29</v>
      </c>
      <c r="M380" t="s">
        <v>60</v>
      </c>
      <c r="N380">
        <v>1</v>
      </c>
      <c r="O380">
        <v>1308</v>
      </c>
      <c r="P380">
        <v>1135</v>
      </c>
      <c r="Q380">
        <v>0.5</v>
      </c>
      <c r="R380">
        <v>567.5</v>
      </c>
    </row>
    <row r="381" spans="1:18" x14ac:dyDescent="0.3">
      <c r="A381" s="5">
        <v>45957</v>
      </c>
      <c r="B381" t="s">
        <v>610</v>
      </c>
      <c r="C381">
        <v>24</v>
      </c>
      <c r="D381">
        <v>35</v>
      </c>
      <c r="E381" s="1">
        <v>1.9993055555555554</v>
      </c>
      <c r="F381" t="s">
        <v>611</v>
      </c>
      <c r="G381">
        <v>0</v>
      </c>
      <c r="H381">
        <v>1080.8291999999999</v>
      </c>
      <c r="I381">
        <v>2.5</v>
      </c>
      <c r="J381">
        <v>1163.79</v>
      </c>
      <c r="K381">
        <v>1.9580666999707901</v>
      </c>
      <c r="L381">
        <v>1142.5</v>
      </c>
      <c r="M381" t="s">
        <v>27</v>
      </c>
      <c r="N381">
        <v>1</v>
      </c>
      <c r="O381">
        <v>1281</v>
      </c>
      <c r="P381">
        <v>1108</v>
      </c>
      <c r="Q381">
        <v>0</v>
      </c>
      <c r="R381">
        <v>1108</v>
      </c>
    </row>
    <row r="382" spans="1:18" x14ac:dyDescent="0.3">
      <c r="A382" s="5">
        <v>45957</v>
      </c>
      <c r="B382" t="s">
        <v>610</v>
      </c>
      <c r="C382">
        <v>24</v>
      </c>
      <c r="D382">
        <v>35</v>
      </c>
      <c r="E382" s="1">
        <v>1.9993055555555554</v>
      </c>
      <c r="F382" t="s">
        <v>611</v>
      </c>
      <c r="G382">
        <v>0</v>
      </c>
      <c r="H382">
        <v>1080.8291999999999</v>
      </c>
      <c r="I382">
        <v>2.5</v>
      </c>
      <c r="J382">
        <v>1163.79</v>
      </c>
      <c r="K382">
        <v>1.9580666999707901</v>
      </c>
      <c r="L382">
        <v>1142.5</v>
      </c>
      <c r="M382" t="s">
        <v>27</v>
      </c>
      <c r="N382">
        <v>1</v>
      </c>
      <c r="O382">
        <v>1281</v>
      </c>
      <c r="P382">
        <v>1108</v>
      </c>
      <c r="Q382">
        <v>0</v>
      </c>
      <c r="R382">
        <v>1108</v>
      </c>
    </row>
    <row r="383" spans="1:18" x14ac:dyDescent="0.3">
      <c r="A383" s="5">
        <v>45957</v>
      </c>
      <c r="B383" t="s">
        <v>612</v>
      </c>
      <c r="C383">
        <v>21</v>
      </c>
      <c r="D383">
        <v>35</v>
      </c>
      <c r="E383" s="1">
        <v>1.9993055555555554</v>
      </c>
      <c r="F383" t="s">
        <v>611</v>
      </c>
      <c r="G383">
        <v>0</v>
      </c>
      <c r="H383">
        <v>1080.883</v>
      </c>
      <c r="I383">
        <v>2.5</v>
      </c>
      <c r="J383">
        <v>1163.79</v>
      </c>
      <c r="K383">
        <v>1.9580666999707901</v>
      </c>
      <c r="L383">
        <v>1142.5</v>
      </c>
      <c r="M383" t="s">
        <v>27</v>
      </c>
      <c r="N383">
        <v>1</v>
      </c>
      <c r="O383">
        <v>1281</v>
      </c>
      <c r="P383">
        <v>1108</v>
      </c>
      <c r="Q383">
        <v>0</v>
      </c>
      <c r="R383">
        <v>1108</v>
      </c>
    </row>
    <row r="384" spans="1:18" x14ac:dyDescent="0.3">
      <c r="A384" s="5">
        <v>45957</v>
      </c>
      <c r="B384" t="s">
        <v>612</v>
      </c>
      <c r="C384">
        <v>21</v>
      </c>
      <c r="D384">
        <v>35</v>
      </c>
      <c r="E384" s="1">
        <v>1.9993055555555554</v>
      </c>
      <c r="F384" t="s">
        <v>611</v>
      </c>
      <c r="G384">
        <v>0</v>
      </c>
      <c r="H384">
        <v>1080.883</v>
      </c>
      <c r="I384">
        <v>2.5</v>
      </c>
      <c r="J384">
        <v>1163.79</v>
      </c>
      <c r="K384">
        <v>1.9580666999707901</v>
      </c>
      <c r="L384">
        <v>1142.5</v>
      </c>
      <c r="M384" t="s">
        <v>27</v>
      </c>
      <c r="N384">
        <v>1</v>
      </c>
      <c r="O384">
        <v>1281</v>
      </c>
      <c r="P384">
        <v>1108</v>
      </c>
      <c r="Q384">
        <v>0</v>
      </c>
      <c r="R384">
        <v>1108</v>
      </c>
    </row>
    <row r="385" spans="1:18" x14ac:dyDescent="0.3">
      <c r="A385" s="5">
        <v>45957</v>
      </c>
      <c r="B385" t="s">
        <v>613</v>
      </c>
      <c r="C385">
        <v>18</v>
      </c>
      <c r="D385">
        <v>35</v>
      </c>
      <c r="E385" s="1">
        <v>1.9993055555555554</v>
      </c>
      <c r="F385" t="s">
        <v>611</v>
      </c>
      <c r="G385">
        <v>0</v>
      </c>
      <c r="H385">
        <v>1080.9369999999999</v>
      </c>
      <c r="I385">
        <v>2.5</v>
      </c>
      <c r="J385">
        <v>1163.79</v>
      </c>
      <c r="K385">
        <v>1.9580666999707901</v>
      </c>
      <c r="L385">
        <v>1142.5</v>
      </c>
      <c r="M385" t="s">
        <v>27</v>
      </c>
      <c r="N385">
        <v>1</v>
      </c>
      <c r="O385">
        <v>1281</v>
      </c>
      <c r="P385">
        <v>1108</v>
      </c>
      <c r="Q385">
        <v>0</v>
      </c>
      <c r="R385">
        <v>1108</v>
      </c>
    </row>
    <row r="386" spans="1:18" x14ac:dyDescent="0.3">
      <c r="A386" s="5">
        <v>45957</v>
      </c>
      <c r="B386" t="s">
        <v>613</v>
      </c>
      <c r="C386">
        <v>18</v>
      </c>
      <c r="D386">
        <v>35</v>
      </c>
      <c r="E386" s="1">
        <v>1.9993055555555554</v>
      </c>
      <c r="F386" t="s">
        <v>611</v>
      </c>
      <c r="G386">
        <v>0</v>
      </c>
      <c r="H386">
        <v>1080.9369999999999</v>
      </c>
      <c r="I386">
        <v>2.5</v>
      </c>
      <c r="J386">
        <v>1163.79</v>
      </c>
      <c r="K386">
        <v>1.9580666999707901</v>
      </c>
      <c r="L386">
        <v>1142.5</v>
      </c>
      <c r="M386" t="s">
        <v>27</v>
      </c>
      <c r="N386">
        <v>1</v>
      </c>
      <c r="O386">
        <v>1281</v>
      </c>
      <c r="P386">
        <v>1108</v>
      </c>
      <c r="Q386">
        <v>0</v>
      </c>
      <c r="R386">
        <v>1108</v>
      </c>
    </row>
    <row r="387" spans="1:18" x14ac:dyDescent="0.3">
      <c r="A387" s="5">
        <v>45957</v>
      </c>
      <c r="B387" t="s">
        <v>614</v>
      </c>
      <c r="C387">
        <v>24</v>
      </c>
      <c r="D387">
        <v>36</v>
      </c>
      <c r="E387" s="1">
        <v>1.0833333333333333</v>
      </c>
      <c r="F387" t="s">
        <v>615</v>
      </c>
      <c r="G387">
        <v>0</v>
      </c>
      <c r="H387">
        <v>1081.0653</v>
      </c>
      <c r="I387">
        <v>2.5</v>
      </c>
      <c r="J387">
        <v>1163.79</v>
      </c>
      <c r="K387">
        <v>1.9580666999707901</v>
      </c>
      <c r="L387">
        <v>1142.5</v>
      </c>
      <c r="M387" t="s">
        <v>27</v>
      </c>
      <c r="N387">
        <v>1</v>
      </c>
      <c r="O387">
        <v>1281</v>
      </c>
      <c r="P387">
        <v>1108</v>
      </c>
      <c r="Q387">
        <v>0</v>
      </c>
      <c r="R387">
        <v>1108</v>
      </c>
    </row>
    <row r="388" spans="1:18" x14ac:dyDescent="0.3">
      <c r="A388" s="5">
        <v>45957</v>
      </c>
      <c r="B388" t="s">
        <v>616</v>
      </c>
      <c r="C388">
        <v>9</v>
      </c>
      <c r="D388">
        <v>35</v>
      </c>
      <c r="E388" s="1">
        <v>1.9652777777777777</v>
      </c>
      <c r="F388" t="s">
        <v>617</v>
      </c>
      <c r="G388">
        <v>5</v>
      </c>
      <c r="H388">
        <v>1081.3021000000001</v>
      </c>
      <c r="I388">
        <v>0</v>
      </c>
      <c r="J388">
        <v>1163.79</v>
      </c>
      <c r="K388">
        <v>0</v>
      </c>
      <c r="L388">
        <v>1158.79</v>
      </c>
      <c r="M388" t="s">
        <v>27</v>
      </c>
      <c r="N388">
        <v>1</v>
      </c>
      <c r="O388">
        <v>1254</v>
      </c>
      <c r="P388">
        <v>1081</v>
      </c>
      <c r="Q388">
        <v>0</v>
      </c>
      <c r="R388">
        <v>1081</v>
      </c>
    </row>
    <row r="389" spans="1:18" x14ac:dyDescent="0.3">
      <c r="A389" s="5">
        <v>45957</v>
      </c>
      <c r="B389" t="s">
        <v>618</v>
      </c>
      <c r="C389">
        <v>6</v>
      </c>
      <c r="D389">
        <v>35</v>
      </c>
      <c r="E389" s="1">
        <v>1.9652777777777777</v>
      </c>
      <c r="F389" t="s">
        <v>617</v>
      </c>
      <c r="G389">
        <v>5</v>
      </c>
      <c r="H389">
        <v>1081.3561999999999</v>
      </c>
      <c r="I389">
        <v>0</v>
      </c>
      <c r="J389">
        <v>1163.79</v>
      </c>
      <c r="K389">
        <v>0</v>
      </c>
      <c r="L389">
        <v>1158.79</v>
      </c>
      <c r="M389" t="s">
        <v>27</v>
      </c>
      <c r="N389">
        <v>1</v>
      </c>
      <c r="O389">
        <v>1254</v>
      </c>
      <c r="P389">
        <v>1081</v>
      </c>
      <c r="Q389">
        <v>0</v>
      </c>
      <c r="R389">
        <v>1081</v>
      </c>
    </row>
    <row r="390" spans="1:18" x14ac:dyDescent="0.3">
      <c r="A390" s="5">
        <v>45957</v>
      </c>
      <c r="B390" t="s">
        <v>619</v>
      </c>
      <c r="C390">
        <v>1</v>
      </c>
      <c r="D390">
        <v>36</v>
      </c>
      <c r="E390" s="1">
        <v>1.0833333333333333</v>
      </c>
      <c r="F390" t="s">
        <v>620</v>
      </c>
      <c r="G390">
        <v>0</v>
      </c>
      <c r="H390">
        <v>1081.6283000000001</v>
      </c>
      <c r="I390">
        <v>2.5</v>
      </c>
      <c r="J390">
        <v>1163.79</v>
      </c>
      <c r="K390">
        <v>1.9580666999707901</v>
      </c>
      <c r="L390">
        <v>1142.5</v>
      </c>
      <c r="M390" t="s">
        <v>27</v>
      </c>
      <c r="N390">
        <v>1</v>
      </c>
      <c r="O390">
        <v>1282</v>
      </c>
      <c r="P390">
        <v>1109</v>
      </c>
      <c r="Q390">
        <v>0</v>
      </c>
      <c r="R390">
        <v>1109</v>
      </c>
    </row>
    <row r="391" spans="1:18" x14ac:dyDescent="0.3">
      <c r="A391" s="5">
        <v>45957</v>
      </c>
      <c r="B391" t="s">
        <v>619</v>
      </c>
      <c r="C391">
        <v>1</v>
      </c>
      <c r="D391">
        <v>36</v>
      </c>
      <c r="E391" s="1">
        <v>1.0833333333333333</v>
      </c>
      <c r="F391" t="s">
        <v>620</v>
      </c>
      <c r="G391">
        <v>0</v>
      </c>
      <c r="H391">
        <v>1081.6283000000001</v>
      </c>
      <c r="I391">
        <v>2.5</v>
      </c>
      <c r="J391">
        <v>1163.79</v>
      </c>
      <c r="K391">
        <v>1.9580666999707901</v>
      </c>
      <c r="L391">
        <v>1142.5</v>
      </c>
      <c r="M391" t="s">
        <v>27</v>
      </c>
      <c r="N391">
        <v>1</v>
      </c>
      <c r="O391">
        <v>1282</v>
      </c>
      <c r="P391">
        <v>1109</v>
      </c>
      <c r="Q391">
        <v>0</v>
      </c>
      <c r="R391">
        <v>1109</v>
      </c>
    </row>
    <row r="392" spans="1:18" x14ac:dyDescent="0.3">
      <c r="A392" s="5">
        <v>45957</v>
      </c>
      <c r="B392" t="s">
        <v>619</v>
      </c>
      <c r="C392">
        <v>1</v>
      </c>
      <c r="D392">
        <v>36</v>
      </c>
      <c r="E392" s="1">
        <v>1.0833333333333333</v>
      </c>
      <c r="F392" t="s">
        <v>620</v>
      </c>
      <c r="G392">
        <v>0</v>
      </c>
      <c r="H392">
        <v>1081.6283000000001</v>
      </c>
      <c r="I392">
        <v>2.5</v>
      </c>
      <c r="J392">
        <v>1163.79</v>
      </c>
      <c r="K392">
        <v>1.9580666999707901</v>
      </c>
      <c r="L392">
        <v>1142.5</v>
      </c>
      <c r="M392" t="s">
        <v>27</v>
      </c>
      <c r="N392">
        <v>1</v>
      </c>
      <c r="O392">
        <v>1282</v>
      </c>
      <c r="P392">
        <v>1109</v>
      </c>
      <c r="Q392">
        <v>0</v>
      </c>
      <c r="R392">
        <v>1109</v>
      </c>
    </row>
    <row r="393" spans="1:18" x14ac:dyDescent="0.3">
      <c r="A393" s="5">
        <v>45957</v>
      </c>
      <c r="B393" t="s">
        <v>619</v>
      </c>
      <c r="C393">
        <v>1</v>
      </c>
      <c r="D393">
        <v>36</v>
      </c>
      <c r="E393" s="1">
        <v>1.0833333333333333</v>
      </c>
      <c r="F393" t="s">
        <v>620</v>
      </c>
      <c r="G393">
        <v>0</v>
      </c>
      <c r="H393">
        <v>1081.6283000000001</v>
      </c>
      <c r="I393">
        <v>2.5</v>
      </c>
      <c r="J393">
        <v>1163.79</v>
      </c>
      <c r="K393">
        <v>1.9580666999707901</v>
      </c>
      <c r="L393">
        <v>1142.5</v>
      </c>
      <c r="M393" t="s">
        <v>27</v>
      </c>
      <c r="N393">
        <v>1</v>
      </c>
      <c r="O393">
        <v>1282</v>
      </c>
      <c r="P393">
        <v>1109</v>
      </c>
      <c r="Q393">
        <v>0</v>
      </c>
      <c r="R393">
        <v>1109</v>
      </c>
    </row>
    <row r="394" spans="1:18" x14ac:dyDescent="0.3">
      <c r="A394" s="5">
        <v>45957</v>
      </c>
      <c r="B394" t="s">
        <v>619</v>
      </c>
      <c r="C394">
        <v>1</v>
      </c>
      <c r="D394">
        <v>36</v>
      </c>
      <c r="E394" s="1">
        <v>1.0833333333333333</v>
      </c>
      <c r="F394" t="s">
        <v>620</v>
      </c>
      <c r="G394">
        <v>0</v>
      </c>
      <c r="H394">
        <v>1081.6283000000001</v>
      </c>
      <c r="I394">
        <v>2.5</v>
      </c>
      <c r="J394">
        <v>1163.79</v>
      </c>
      <c r="K394">
        <v>1.9580666999707901</v>
      </c>
      <c r="L394">
        <v>1142.5</v>
      </c>
      <c r="M394" t="s">
        <v>27</v>
      </c>
      <c r="N394">
        <v>1</v>
      </c>
      <c r="O394">
        <v>1282</v>
      </c>
      <c r="P394">
        <v>1109</v>
      </c>
      <c r="Q394">
        <v>0</v>
      </c>
      <c r="R394">
        <v>1109</v>
      </c>
    </row>
    <row r="395" spans="1:18" x14ac:dyDescent="0.3">
      <c r="A395" s="5">
        <v>45957</v>
      </c>
      <c r="B395" t="s">
        <v>621</v>
      </c>
      <c r="C395">
        <v>3</v>
      </c>
      <c r="D395">
        <v>36</v>
      </c>
      <c r="E395" s="1">
        <v>1.0833333333333333</v>
      </c>
      <c r="F395" t="s">
        <v>620</v>
      </c>
      <c r="G395">
        <v>0</v>
      </c>
      <c r="H395">
        <v>1081.5924</v>
      </c>
      <c r="I395">
        <v>2.5</v>
      </c>
      <c r="J395">
        <v>1163.79</v>
      </c>
      <c r="K395">
        <v>1.9580666999707901</v>
      </c>
      <c r="L395">
        <v>1142.5</v>
      </c>
      <c r="M395" t="s">
        <v>27</v>
      </c>
      <c r="N395">
        <v>1</v>
      </c>
      <c r="O395">
        <v>1282</v>
      </c>
      <c r="P395">
        <v>1109</v>
      </c>
      <c r="Q395">
        <v>0</v>
      </c>
      <c r="R395">
        <v>1109</v>
      </c>
    </row>
    <row r="396" spans="1:18" x14ac:dyDescent="0.3">
      <c r="A396" s="5">
        <v>45957</v>
      </c>
      <c r="B396" t="s">
        <v>621</v>
      </c>
      <c r="C396">
        <v>3</v>
      </c>
      <c r="D396">
        <v>36</v>
      </c>
      <c r="E396" s="1">
        <v>1.0833333333333333</v>
      </c>
      <c r="F396" t="s">
        <v>620</v>
      </c>
      <c r="G396">
        <v>0</v>
      </c>
      <c r="H396">
        <v>1081.5924</v>
      </c>
      <c r="I396">
        <v>2.5</v>
      </c>
      <c r="J396">
        <v>1163.79</v>
      </c>
      <c r="K396">
        <v>1.9580666999707901</v>
      </c>
      <c r="L396">
        <v>1142.5</v>
      </c>
      <c r="M396" t="s">
        <v>27</v>
      </c>
      <c r="N396">
        <v>1</v>
      </c>
      <c r="O396">
        <v>1282</v>
      </c>
      <c r="P396">
        <v>1109</v>
      </c>
      <c r="Q396">
        <v>0</v>
      </c>
      <c r="R396">
        <v>1109</v>
      </c>
    </row>
    <row r="397" spans="1:18" x14ac:dyDescent="0.3">
      <c r="A397" s="5">
        <v>45957</v>
      </c>
      <c r="B397" t="s">
        <v>621</v>
      </c>
      <c r="C397">
        <v>3</v>
      </c>
      <c r="D397">
        <v>36</v>
      </c>
      <c r="E397" s="1">
        <v>1.0833333333333333</v>
      </c>
      <c r="F397" t="s">
        <v>620</v>
      </c>
      <c r="G397">
        <v>0</v>
      </c>
      <c r="H397">
        <v>1081.5924</v>
      </c>
      <c r="I397">
        <v>2.5</v>
      </c>
      <c r="J397">
        <v>1163.79</v>
      </c>
      <c r="K397">
        <v>1.9580666999707901</v>
      </c>
      <c r="L397">
        <v>1142.5</v>
      </c>
      <c r="M397" t="s">
        <v>27</v>
      </c>
      <c r="N397">
        <v>1</v>
      </c>
      <c r="O397">
        <v>1282</v>
      </c>
      <c r="P397">
        <v>1109</v>
      </c>
      <c r="Q397">
        <v>0</v>
      </c>
      <c r="R397">
        <v>1109</v>
      </c>
    </row>
    <row r="398" spans="1:18" x14ac:dyDescent="0.3">
      <c r="A398" s="5">
        <v>45957</v>
      </c>
      <c r="B398" t="s">
        <v>621</v>
      </c>
      <c r="C398">
        <v>3</v>
      </c>
      <c r="D398">
        <v>36</v>
      </c>
      <c r="E398" s="1">
        <v>1.0833333333333333</v>
      </c>
      <c r="F398" t="s">
        <v>620</v>
      </c>
      <c r="G398">
        <v>0</v>
      </c>
      <c r="H398">
        <v>1081.5924</v>
      </c>
      <c r="I398">
        <v>2.5</v>
      </c>
      <c r="J398">
        <v>1163.79</v>
      </c>
      <c r="K398">
        <v>1.9580666999707901</v>
      </c>
      <c r="L398">
        <v>1142.5</v>
      </c>
      <c r="M398" t="s">
        <v>27</v>
      </c>
      <c r="N398">
        <v>1</v>
      </c>
      <c r="O398">
        <v>1282</v>
      </c>
      <c r="P398">
        <v>1109</v>
      </c>
      <c r="Q398">
        <v>0</v>
      </c>
      <c r="R398">
        <v>1109</v>
      </c>
    </row>
    <row r="399" spans="1:18" x14ac:dyDescent="0.3">
      <c r="A399" s="5">
        <v>45957</v>
      </c>
      <c r="B399" t="s">
        <v>621</v>
      </c>
      <c r="C399">
        <v>3</v>
      </c>
      <c r="D399">
        <v>36</v>
      </c>
      <c r="E399" s="1">
        <v>1.0833333333333333</v>
      </c>
      <c r="F399" t="s">
        <v>620</v>
      </c>
      <c r="G399">
        <v>0</v>
      </c>
      <c r="H399">
        <v>1081.5924</v>
      </c>
      <c r="I399">
        <v>2.5</v>
      </c>
      <c r="J399">
        <v>1163.79</v>
      </c>
      <c r="K399">
        <v>1.9580666999707901</v>
      </c>
      <c r="L399">
        <v>1142.5</v>
      </c>
      <c r="M399" t="s">
        <v>27</v>
      </c>
      <c r="N399">
        <v>1</v>
      </c>
      <c r="O399">
        <v>1282</v>
      </c>
      <c r="P399">
        <v>1109</v>
      </c>
      <c r="Q399">
        <v>0</v>
      </c>
      <c r="R399">
        <v>1109</v>
      </c>
    </row>
    <row r="400" spans="1:18" x14ac:dyDescent="0.3">
      <c r="A400" s="5">
        <v>45957</v>
      </c>
      <c r="B400" t="s">
        <v>622</v>
      </c>
      <c r="C400">
        <v>5</v>
      </c>
      <c r="D400">
        <v>36</v>
      </c>
      <c r="E400" s="1">
        <v>1.0833333333333333</v>
      </c>
      <c r="F400" t="s">
        <v>620</v>
      </c>
      <c r="G400">
        <v>0</v>
      </c>
      <c r="H400">
        <v>1081.5565999999999</v>
      </c>
      <c r="I400">
        <v>2.5</v>
      </c>
      <c r="J400">
        <v>1163.79</v>
      </c>
      <c r="K400">
        <v>1.9580666999707901</v>
      </c>
      <c r="L400">
        <v>1142.5</v>
      </c>
      <c r="M400" t="s">
        <v>27</v>
      </c>
      <c r="N400">
        <v>1</v>
      </c>
      <c r="O400">
        <v>1282</v>
      </c>
      <c r="P400">
        <v>1109</v>
      </c>
      <c r="Q400">
        <v>0</v>
      </c>
      <c r="R400">
        <v>1109</v>
      </c>
    </row>
    <row r="401" spans="1:18" x14ac:dyDescent="0.3">
      <c r="A401" s="5">
        <v>45957</v>
      </c>
      <c r="B401" t="s">
        <v>622</v>
      </c>
      <c r="C401">
        <v>5</v>
      </c>
      <c r="D401">
        <v>36</v>
      </c>
      <c r="E401" s="1">
        <v>1.0833333333333333</v>
      </c>
      <c r="F401" t="s">
        <v>620</v>
      </c>
      <c r="G401">
        <v>0</v>
      </c>
      <c r="H401">
        <v>1081.5565999999999</v>
      </c>
      <c r="I401">
        <v>2.5</v>
      </c>
      <c r="J401">
        <v>1163.79</v>
      </c>
      <c r="K401">
        <v>1.9580666999707901</v>
      </c>
      <c r="L401">
        <v>1142.5</v>
      </c>
      <c r="M401" t="s">
        <v>27</v>
      </c>
      <c r="N401">
        <v>1</v>
      </c>
      <c r="O401">
        <v>1282</v>
      </c>
      <c r="P401">
        <v>1109</v>
      </c>
      <c r="Q401">
        <v>0</v>
      </c>
      <c r="R401">
        <v>1109</v>
      </c>
    </row>
    <row r="402" spans="1:18" x14ac:dyDescent="0.3">
      <c r="A402" s="5">
        <v>45957</v>
      </c>
      <c r="B402" t="s">
        <v>622</v>
      </c>
      <c r="C402">
        <v>5</v>
      </c>
      <c r="D402">
        <v>36</v>
      </c>
      <c r="E402" s="1">
        <v>1.0833333333333333</v>
      </c>
      <c r="F402" t="s">
        <v>620</v>
      </c>
      <c r="G402">
        <v>0</v>
      </c>
      <c r="H402">
        <v>1081.5565999999999</v>
      </c>
      <c r="I402">
        <v>2.5</v>
      </c>
      <c r="J402">
        <v>1163.79</v>
      </c>
      <c r="K402">
        <v>1.9580666999707901</v>
      </c>
      <c r="L402">
        <v>1142.5</v>
      </c>
      <c r="M402" t="s">
        <v>27</v>
      </c>
      <c r="N402">
        <v>1</v>
      </c>
      <c r="O402">
        <v>1282</v>
      </c>
      <c r="P402">
        <v>1109</v>
      </c>
      <c r="Q402">
        <v>0</v>
      </c>
      <c r="R402">
        <v>1109</v>
      </c>
    </row>
    <row r="403" spans="1:18" x14ac:dyDescent="0.3">
      <c r="A403" s="5">
        <v>45957</v>
      </c>
      <c r="B403" t="s">
        <v>622</v>
      </c>
      <c r="C403">
        <v>5</v>
      </c>
      <c r="D403">
        <v>36</v>
      </c>
      <c r="E403" s="1">
        <v>1.0833333333333333</v>
      </c>
      <c r="F403" t="s">
        <v>620</v>
      </c>
      <c r="G403">
        <v>0</v>
      </c>
      <c r="H403">
        <v>1081.5565999999999</v>
      </c>
      <c r="I403">
        <v>2.5</v>
      </c>
      <c r="J403">
        <v>1163.79</v>
      </c>
      <c r="K403">
        <v>1.9580666999707901</v>
      </c>
      <c r="L403">
        <v>1142.5</v>
      </c>
      <c r="M403" t="s">
        <v>27</v>
      </c>
      <c r="N403">
        <v>1</v>
      </c>
      <c r="O403">
        <v>1282</v>
      </c>
      <c r="P403">
        <v>1109</v>
      </c>
      <c r="Q403">
        <v>0</v>
      </c>
      <c r="R403">
        <v>1109</v>
      </c>
    </row>
    <row r="404" spans="1:18" x14ac:dyDescent="0.3">
      <c r="A404" s="5">
        <v>45957</v>
      </c>
      <c r="B404" t="s">
        <v>622</v>
      </c>
      <c r="C404">
        <v>5</v>
      </c>
      <c r="D404">
        <v>36</v>
      </c>
      <c r="E404" s="1">
        <v>1.0833333333333333</v>
      </c>
      <c r="F404" t="s">
        <v>620</v>
      </c>
      <c r="G404">
        <v>0</v>
      </c>
      <c r="H404">
        <v>1081.5565999999999</v>
      </c>
      <c r="I404">
        <v>2.5</v>
      </c>
      <c r="J404">
        <v>1163.79</v>
      </c>
      <c r="K404">
        <v>1.9580666999707901</v>
      </c>
      <c r="L404">
        <v>1142.5</v>
      </c>
      <c r="M404" t="s">
        <v>27</v>
      </c>
      <c r="N404">
        <v>1</v>
      </c>
      <c r="O404">
        <v>1282</v>
      </c>
      <c r="P404">
        <v>1109</v>
      </c>
      <c r="Q404">
        <v>0</v>
      </c>
      <c r="R404">
        <v>1109</v>
      </c>
    </row>
    <row r="405" spans="1:18" x14ac:dyDescent="0.3">
      <c r="A405" s="5">
        <v>45957</v>
      </c>
      <c r="B405" t="s">
        <v>623</v>
      </c>
      <c r="C405">
        <v>6</v>
      </c>
      <c r="D405">
        <v>36</v>
      </c>
      <c r="E405" s="1">
        <v>1.0833333333333333</v>
      </c>
      <c r="F405" t="s">
        <v>620</v>
      </c>
      <c r="G405">
        <v>0</v>
      </c>
      <c r="H405">
        <v>1081.5387000000001</v>
      </c>
      <c r="I405">
        <v>2.5</v>
      </c>
      <c r="J405">
        <v>1163.79</v>
      </c>
      <c r="K405">
        <v>1.9580666999707901</v>
      </c>
      <c r="L405">
        <v>1142.5</v>
      </c>
      <c r="M405" t="s">
        <v>27</v>
      </c>
      <c r="N405">
        <v>1</v>
      </c>
      <c r="O405">
        <v>1282</v>
      </c>
      <c r="P405">
        <v>1109</v>
      </c>
      <c r="Q405">
        <v>0</v>
      </c>
      <c r="R405">
        <v>1109</v>
      </c>
    </row>
    <row r="406" spans="1:18" x14ac:dyDescent="0.3">
      <c r="A406" s="5">
        <v>45957</v>
      </c>
      <c r="B406" t="s">
        <v>623</v>
      </c>
      <c r="C406">
        <v>6</v>
      </c>
      <c r="D406">
        <v>36</v>
      </c>
      <c r="E406" s="1">
        <v>1.0833333333333333</v>
      </c>
      <c r="F406" t="s">
        <v>620</v>
      </c>
      <c r="G406">
        <v>0</v>
      </c>
      <c r="H406">
        <v>1081.5387000000001</v>
      </c>
      <c r="I406">
        <v>2.5</v>
      </c>
      <c r="J406">
        <v>1163.79</v>
      </c>
      <c r="K406">
        <v>1.9580666999707901</v>
      </c>
      <c r="L406">
        <v>1142.5</v>
      </c>
      <c r="M406" t="s">
        <v>27</v>
      </c>
      <c r="N406">
        <v>1</v>
      </c>
      <c r="O406">
        <v>1282</v>
      </c>
      <c r="P406">
        <v>1109</v>
      </c>
      <c r="Q406">
        <v>0</v>
      </c>
      <c r="R406">
        <v>1109</v>
      </c>
    </row>
    <row r="407" spans="1:18" x14ac:dyDescent="0.3">
      <c r="A407" s="5">
        <v>45957</v>
      </c>
      <c r="B407" t="s">
        <v>623</v>
      </c>
      <c r="C407">
        <v>6</v>
      </c>
      <c r="D407">
        <v>36</v>
      </c>
      <c r="E407" s="1">
        <v>1.0833333333333333</v>
      </c>
      <c r="F407" t="s">
        <v>620</v>
      </c>
      <c r="G407">
        <v>0</v>
      </c>
      <c r="H407">
        <v>1081.5387000000001</v>
      </c>
      <c r="I407">
        <v>2.5</v>
      </c>
      <c r="J407">
        <v>1163.79</v>
      </c>
      <c r="K407">
        <v>1.9580666999707901</v>
      </c>
      <c r="L407">
        <v>1142.5</v>
      </c>
      <c r="M407" t="s">
        <v>27</v>
      </c>
      <c r="N407">
        <v>1</v>
      </c>
      <c r="O407">
        <v>1282</v>
      </c>
      <c r="P407">
        <v>1109</v>
      </c>
      <c r="Q407">
        <v>0</v>
      </c>
      <c r="R407">
        <v>1109</v>
      </c>
    </row>
    <row r="408" spans="1:18" x14ac:dyDescent="0.3">
      <c r="A408" s="5">
        <v>45957</v>
      </c>
      <c r="B408" t="s">
        <v>623</v>
      </c>
      <c r="C408">
        <v>6</v>
      </c>
      <c r="D408">
        <v>36</v>
      </c>
      <c r="E408" s="1">
        <v>1.0833333333333333</v>
      </c>
      <c r="F408" t="s">
        <v>620</v>
      </c>
      <c r="G408">
        <v>0</v>
      </c>
      <c r="H408">
        <v>1081.5387000000001</v>
      </c>
      <c r="I408">
        <v>2.5</v>
      </c>
      <c r="J408">
        <v>1163.79</v>
      </c>
      <c r="K408">
        <v>1.9580666999707901</v>
      </c>
      <c r="L408">
        <v>1142.5</v>
      </c>
      <c r="M408" t="s">
        <v>27</v>
      </c>
      <c r="N408">
        <v>1</v>
      </c>
      <c r="O408">
        <v>1282</v>
      </c>
      <c r="P408">
        <v>1109</v>
      </c>
      <c r="Q408">
        <v>0</v>
      </c>
      <c r="R408">
        <v>1109</v>
      </c>
    </row>
    <row r="409" spans="1:18" x14ac:dyDescent="0.3">
      <c r="A409" s="5">
        <v>45957</v>
      </c>
      <c r="B409" t="s">
        <v>623</v>
      </c>
      <c r="C409">
        <v>6</v>
      </c>
      <c r="D409">
        <v>36</v>
      </c>
      <c r="E409" s="1">
        <v>1.0833333333333333</v>
      </c>
      <c r="F409" t="s">
        <v>620</v>
      </c>
      <c r="G409">
        <v>0</v>
      </c>
      <c r="H409">
        <v>1081.5387000000001</v>
      </c>
      <c r="I409">
        <v>2.5</v>
      </c>
      <c r="J409">
        <v>1163.79</v>
      </c>
      <c r="K409">
        <v>1.9580666999707901</v>
      </c>
      <c r="L409">
        <v>1142.5</v>
      </c>
      <c r="M409" t="s">
        <v>27</v>
      </c>
      <c r="N409">
        <v>1</v>
      </c>
      <c r="O409">
        <v>1282</v>
      </c>
      <c r="P409">
        <v>1109</v>
      </c>
      <c r="Q409">
        <v>0</v>
      </c>
      <c r="R409">
        <v>1109</v>
      </c>
    </row>
    <row r="410" spans="1:18" x14ac:dyDescent="0.3">
      <c r="A410" s="5">
        <v>45957</v>
      </c>
      <c r="B410" t="s">
        <v>624</v>
      </c>
      <c r="C410">
        <v>2</v>
      </c>
      <c r="D410">
        <v>36</v>
      </c>
      <c r="E410" s="1">
        <v>1.0833333333333333</v>
      </c>
      <c r="F410" t="s">
        <v>620</v>
      </c>
      <c r="G410">
        <v>0</v>
      </c>
      <c r="H410">
        <v>1081.6102000000001</v>
      </c>
      <c r="I410">
        <v>2.5</v>
      </c>
      <c r="J410">
        <v>1163.79</v>
      </c>
      <c r="K410">
        <v>1.9580666999707901</v>
      </c>
      <c r="L410">
        <v>1142.5</v>
      </c>
      <c r="M410" t="s">
        <v>27</v>
      </c>
      <c r="N410">
        <v>1</v>
      </c>
      <c r="O410">
        <v>1282</v>
      </c>
      <c r="P410">
        <v>1109</v>
      </c>
      <c r="Q410">
        <v>0</v>
      </c>
      <c r="R410">
        <v>1109</v>
      </c>
    </row>
    <row r="411" spans="1:18" x14ac:dyDescent="0.3">
      <c r="A411" s="5">
        <v>45957</v>
      </c>
      <c r="B411" t="s">
        <v>624</v>
      </c>
      <c r="C411">
        <v>2</v>
      </c>
      <c r="D411">
        <v>36</v>
      </c>
      <c r="E411" s="1">
        <v>1.0833333333333333</v>
      </c>
      <c r="F411" t="s">
        <v>620</v>
      </c>
      <c r="G411">
        <v>0</v>
      </c>
      <c r="H411">
        <v>1081.6102000000001</v>
      </c>
      <c r="I411">
        <v>2.5</v>
      </c>
      <c r="J411">
        <v>1163.79</v>
      </c>
      <c r="K411">
        <v>1.9580666999707901</v>
      </c>
      <c r="L411">
        <v>1142.5</v>
      </c>
      <c r="M411" t="s">
        <v>27</v>
      </c>
      <c r="N411">
        <v>1</v>
      </c>
      <c r="O411">
        <v>1282</v>
      </c>
      <c r="P411">
        <v>1109</v>
      </c>
      <c r="Q411">
        <v>0</v>
      </c>
      <c r="R411">
        <v>1109</v>
      </c>
    </row>
    <row r="412" spans="1:18" x14ac:dyDescent="0.3">
      <c r="A412" s="5">
        <v>45957</v>
      </c>
      <c r="B412" t="s">
        <v>624</v>
      </c>
      <c r="C412">
        <v>2</v>
      </c>
      <c r="D412">
        <v>36</v>
      </c>
      <c r="E412" s="1">
        <v>1.0833333333333333</v>
      </c>
      <c r="F412" t="s">
        <v>620</v>
      </c>
      <c r="G412">
        <v>0</v>
      </c>
      <c r="H412">
        <v>1081.6102000000001</v>
      </c>
      <c r="I412">
        <v>2.5</v>
      </c>
      <c r="J412">
        <v>1163.79</v>
      </c>
      <c r="K412">
        <v>1.9580666999707901</v>
      </c>
      <c r="L412">
        <v>1142.5</v>
      </c>
      <c r="M412" t="s">
        <v>27</v>
      </c>
      <c r="N412">
        <v>1</v>
      </c>
      <c r="O412">
        <v>1282</v>
      </c>
      <c r="P412">
        <v>1109</v>
      </c>
      <c r="Q412">
        <v>0</v>
      </c>
      <c r="R412">
        <v>1109</v>
      </c>
    </row>
    <row r="413" spans="1:18" x14ac:dyDescent="0.3">
      <c r="A413" s="5">
        <v>45957</v>
      </c>
      <c r="B413" t="s">
        <v>624</v>
      </c>
      <c r="C413">
        <v>2</v>
      </c>
      <c r="D413">
        <v>36</v>
      </c>
      <c r="E413" s="1">
        <v>1.0833333333333333</v>
      </c>
      <c r="F413" t="s">
        <v>620</v>
      </c>
      <c r="G413">
        <v>0</v>
      </c>
      <c r="H413">
        <v>1081.6102000000001</v>
      </c>
      <c r="I413">
        <v>2.5</v>
      </c>
      <c r="J413">
        <v>1163.79</v>
      </c>
      <c r="K413">
        <v>1.9580666999707901</v>
      </c>
      <c r="L413">
        <v>1142.5</v>
      </c>
      <c r="M413" t="s">
        <v>27</v>
      </c>
      <c r="N413">
        <v>1</v>
      </c>
      <c r="O413">
        <v>1282</v>
      </c>
      <c r="P413">
        <v>1109</v>
      </c>
      <c r="Q413">
        <v>0</v>
      </c>
      <c r="R413">
        <v>1109</v>
      </c>
    </row>
    <row r="414" spans="1:18" x14ac:dyDescent="0.3">
      <c r="A414" s="5">
        <v>45957</v>
      </c>
      <c r="B414" t="s">
        <v>624</v>
      </c>
      <c r="C414">
        <v>2</v>
      </c>
      <c r="D414">
        <v>36</v>
      </c>
      <c r="E414" s="1">
        <v>1.0833333333333333</v>
      </c>
      <c r="F414" t="s">
        <v>620</v>
      </c>
      <c r="G414">
        <v>0</v>
      </c>
      <c r="H414">
        <v>1081.6102000000001</v>
      </c>
      <c r="I414">
        <v>2.5</v>
      </c>
      <c r="J414">
        <v>1163.79</v>
      </c>
      <c r="K414">
        <v>1.9580666999707901</v>
      </c>
      <c r="L414">
        <v>1142.5</v>
      </c>
      <c r="M414" t="s">
        <v>27</v>
      </c>
      <c r="N414">
        <v>1</v>
      </c>
      <c r="O414">
        <v>1282</v>
      </c>
      <c r="P414">
        <v>1109</v>
      </c>
      <c r="Q414">
        <v>0</v>
      </c>
      <c r="R414">
        <v>1109</v>
      </c>
    </row>
    <row r="415" spans="1:18" x14ac:dyDescent="0.3">
      <c r="A415" s="5">
        <v>45957</v>
      </c>
      <c r="B415" t="s">
        <v>625</v>
      </c>
      <c r="C415">
        <v>31</v>
      </c>
      <c r="D415">
        <v>36</v>
      </c>
      <c r="E415" s="1">
        <v>1.25</v>
      </c>
      <c r="F415" t="s">
        <v>626</v>
      </c>
      <c r="G415">
        <v>0</v>
      </c>
      <c r="H415">
        <v>1080.9263000000001</v>
      </c>
      <c r="I415">
        <v>2.5</v>
      </c>
      <c r="J415">
        <v>1163.79</v>
      </c>
      <c r="K415">
        <v>1.9580666999707901</v>
      </c>
      <c r="L415">
        <v>1142.5</v>
      </c>
      <c r="M415" t="s">
        <v>27</v>
      </c>
      <c r="N415">
        <v>1</v>
      </c>
      <c r="O415">
        <v>1281</v>
      </c>
      <c r="P415">
        <v>1108</v>
      </c>
      <c r="Q415">
        <v>0</v>
      </c>
      <c r="R415">
        <v>1108</v>
      </c>
    </row>
    <row r="416" spans="1:18" x14ac:dyDescent="0.3">
      <c r="A416" s="5">
        <v>45957</v>
      </c>
      <c r="B416" t="s">
        <v>625</v>
      </c>
      <c r="C416">
        <v>31</v>
      </c>
      <c r="D416">
        <v>36</v>
      </c>
      <c r="E416" s="1">
        <v>1.25</v>
      </c>
      <c r="F416" t="s">
        <v>626</v>
      </c>
      <c r="G416">
        <v>0</v>
      </c>
      <c r="H416">
        <v>1080.9263000000001</v>
      </c>
      <c r="I416">
        <v>2.5</v>
      </c>
      <c r="J416">
        <v>1163.79</v>
      </c>
      <c r="K416">
        <v>1.9580666999707901</v>
      </c>
      <c r="L416">
        <v>1142.5</v>
      </c>
      <c r="M416" t="s">
        <v>27</v>
      </c>
      <c r="N416">
        <v>1</v>
      </c>
      <c r="O416">
        <v>1281</v>
      </c>
      <c r="P416">
        <v>1108</v>
      </c>
      <c r="Q416">
        <v>0</v>
      </c>
      <c r="R416">
        <v>1108</v>
      </c>
    </row>
    <row r="417" spans="1:18" x14ac:dyDescent="0.3">
      <c r="A417" s="5">
        <v>45957</v>
      </c>
      <c r="B417" t="s">
        <v>627</v>
      </c>
      <c r="C417">
        <v>30</v>
      </c>
      <c r="D417">
        <v>36</v>
      </c>
      <c r="E417" s="1">
        <v>1.25</v>
      </c>
      <c r="F417" t="s">
        <v>626</v>
      </c>
      <c r="G417">
        <v>0</v>
      </c>
      <c r="H417">
        <v>1080.9440999999999</v>
      </c>
      <c r="I417">
        <v>2.5</v>
      </c>
      <c r="J417">
        <v>1163.79</v>
      </c>
      <c r="K417">
        <v>1.9580666999707901</v>
      </c>
      <c r="L417">
        <v>601.29</v>
      </c>
      <c r="M417" t="s">
        <v>60</v>
      </c>
      <c r="N417">
        <v>1</v>
      </c>
      <c r="O417">
        <v>1281</v>
      </c>
      <c r="P417">
        <v>1108</v>
      </c>
      <c r="Q417">
        <v>0.5</v>
      </c>
      <c r="R417">
        <v>554</v>
      </c>
    </row>
    <row r="418" spans="1:18" x14ac:dyDescent="0.3">
      <c r="A418" s="5">
        <v>45957</v>
      </c>
      <c r="B418" t="s">
        <v>627</v>
      </c>
      <c r="C418">
        <v>30</v>
      </c>
      <c r="D418">
        <v>36</v>
      </c>
      <c r="E418" s="1">
        <v>1.25</v>
      </c>
      <c r="F418" t="s">
        <v>626</v>
      </c>
      <c r="G418">
        <v>0</v>
      </c>
      <c r="H418">
        <v>1080.9440999999999</v>
      </c>
      <c r="I418">
        <v>2.5</v>
      </c>
      <c r="J418">
        <v>1163.79</v>
      </c>
      <c r="K418">
        <v>1.9580666999707901</v>
      </c>
      <c r="L418">
        <v>601.29</v>
      </c>
      <c r="M418" t="s">
        <v>60</v>
      </c>
      <c r="N418">
        <v>1</v>
      </c>
      <c r="O418">
        <v>1281</v>
      </c>
      <c r="P418">
        <v>1108</v>
      </c>
      <c r="Q418">
        <v>0.5</v>
      </c>
      <c r="R418">
        <v>554</v>
      </c>
    </row>
    <row r="419" spans="1:18" x14ac:dyDescent="0.3">
      <c r="A419" s="5">
        <v>45957</v>
      </c>
      <c r="B419" t="s">
        <v>628</v>
      </c>
      <c r="C419">
        <v>31</v>
      </c>
      <c r="D419">
        <v>36</v>
      </c>
      <c r="E419" s="1">
        <v>1.4583333333333333</v>
      </c>
      <c r="F419" t="s">
        <v>629</v>
      </c>
      <c r="G419">
        <v>2</v>
      </c>
      <c r="H419">
        <v>1080.9514999999999</v>
      </c>
      <c r="I419">
        <v>5</v>
      </c>
      <c r="J419">
        <v>1163.79</v>
      </c>
      <c r="K419">
        <v>3.9161333999415802</v>
      </c>
      <c r="L419">
        <v>601.29</v>
      </c>
      <c r="M419" t="s">
        <v>60</v>
      </c>
      <c r="N419">
        <v>1</v>
      </c>
      <c r="O419">
        <v>1308</v>
      </c>
      <c r="P419">
        <v>1135</v>
      </c>
      <c r="Q419">
        <v>0.5</v>
      </c>
      <c r="R419">
        <v>567.5</v>
      </c>
    </row>
    <row r="420" spans="1:18" x14ac:dyDescent="0.3">
      <c r="A420" s="5">
        <v>45957</v>
      </c>
      <c r="B420" t="s">
        <v>630</v>
      </c>
      <c r="C420">
        <v>3</v>
      </c>
      <c r="D420">
        <v>35</v>
      </c>
      <c r="E420" s="1">
        <v>1.9993055555555554</v>
      </c>
      <c r="F420" t="s">
        <v>631</v>
      </c>
      <c r="G420">
        <v>4</v>
      </c>
      <c r="H420">
        <v>1080.8033</v>
      </c>
      <c r="I420">
        <v>7</v>
      </c>
      <c r="J420">
        <v>1163.79</v>
      </c>
      <c r="K420">
        <v>5.4825867599182097</v>
      </c>
      <c r="L420">
        <v>1202.5899999999999</v>
      </c>
      <c r="M420" t="s">
        <v>27</v>
      </c>
      <c r="N420">
        <v>1</v>
      </c>
      <c r="O420">
        <v>1329</v>
      </c>
      <c r="P420">
        <v>1156</v>
      </c>
      <c r="Q420">
        <v>0</v>
      </c>
      <c r="R420">
        <v>1156</v>
      </c>
    </row>
    <row r="421" spans="1:18" x14ac:dyDescent="0.3">
      <c r="A421" s="5">
        <v>45957</v>
      </c>
      <c r="B421" t="s">
        <v>632</v>
      </c>
      <c r="C421">
        <v>2</v>
      </c>
      <c r="D421">
        <v>35</v>
      </c>
      <c r="E421" s="1">
        <v>1.9993055555555554</v>
      </c>
      <c r="F421" t="s">
        <v>633</v>
      </c>
      <c r="G421">
        <v>4</v>
      </c>
      <c r="H421">
        <v>1080.8213000000001</v>
      </c>
      <c r="I421">
        <v>7</v>
      </c>
      <c r="J421">
        <v>1163.79</v>
      </c>
      <c r="K421">
        <v>5.4825867599182097</v>
      </c>
      <c r="L421">
        <v>1202.5899999999999</v>
      </c>
      <c r="M421" t="s">
        <v>27</v>
      </c>
      <c r="N421">
        <v>1</v>
      </c>
      <c r="O421">
        <v>1329</v>
      </c>
      <c r="P421">
        <v>1156</v>
      </c>
      <c r="Q421">
        <v>0</v>
      </c>
      <c r="R421">
        <v>1156</v>
      </c>
    </row>
    <row r="422" spans="1:18" x14ac:dyDescent="0.3">
      <c r="A422" s="5">
        <v>45957</v>
      </c>
      <c r="B422" t="s">
        <v>634</v>
      </c>
      <c r="C422">
        <v>4</v>
      </c>
      <c r="D422">
        <v>36</v>
      </c>
      <c r="E422" s="1">
        <v>1.9993055555555554</v>
      </c>
      <c r="F422" t="s">
        <v>635</v>
      </c>
      <c r="G422">
        <v>5</v>
      </c>
      <c r="H422">
        <v>1081.2579000000001</v>
      </c>
      <c r="I422">
        <v>0</v>
      </c>
      <c r="J422">
        <v>1163.79</v>
      </c>
      <c r="K422">
        <v>0</v>
      </c>
      <c r="L422">
        <v>1158.79</v>
      </c>
      <c r="M422" t="s">
        <v>27</v>
      </c>
      <c r="N422">
        <v>1</v>
      </c>
      <c r="O422">
        <v>1254</v>
      </c>
      <c r="P422">
        <v>1081</v>
      </c>
      <c r="Q422">
        <v>0</v>
      </c>
      <c r="R422">
        <v>1081</v>
      </c>
    </row>
    <row r="423" spans="1:18" x14ac:dyDescent="0.3">
      <c r="A423" s="5">
        <v>45957</v>
      </c>
      <c r="B423" t="s">
        <v>636</v>
      </c>
      <c r="C423">
        <v>21</v>
      </c>
      <c r="D423">
        <v>36</v>
      </c>
      <c r="E423" s="1">
        <v>1.9993055555555554</v>
      </c>
      <c r="F423" t="s">
        <v>637</v>
      </c>
      <c r="G423">
        <v>5</v>
      </c>
      <c r="H423">
        <v>1081.0847000000001</v>
      </c>
      <c r="I423">
        <v>0</v>
      </c>
      <c r="J423">
        <v>1163.79</v>
      </c>
      <c r="K423">
        <v>0</v>
      </c>
      <c r="L423">
        <v>609.91</v>
      </c>
      <c r="M423" t="s">
        <v>77</v>
      </c>
      <c r="N423">
        <v>1</v>
      </c>
      <c r="O423">
        <v>1254</v>
      </c>
      <c r="P423">
        <v>1081</v>
      </c>
      <c r="Q423">
        <v>0.5</v>
      </c>
      <c r="R423">
        <v>540.5</v>
      </c>
    </row>
    <row r="424" spans="1:18" x14ac:dyDescent="0.3">
      <c r="A424" s="5">
        <v>45957</v>
      </c>
      <c r="B424" t="s">
        <v>638</v>
      </c>
      <c r="C424">
        <v>14</v>
      </c>
      <c r="D424">
        <v>36</v>
      </c>
      <c r="E424" s="1">
        <v>1.9993055555555554</v>
      </c>
      <c r="F424" t="s">
        <v>639</v>
      </c>
      <c r="G424">
        <v>5</v>
      </c>
      <c r="H424">
        <v>1081.2098000000001</v>
      </c>
      <c r="I424">
        <v>0</v>
      </c>
      <c r="J424">
        <v>1163.79</v>
      </c>
      <c r="K424">
        <v>0</v>
      </c>
      <c r="L424">
        <v>1158.79</v>
      </c>
      <c r="M424" t="s">
        <v>27</v>
      </c>
      <c r="N424">
        <v>1</v>
      </c>
      <c r="O424">
        <v>1254</v>
      </c>
      <c r="P424">
        <v>1081</v>
      </c>
      <c r="Q424">
        <v>0</v>
      </c>
      <c r="R424">
        <v>1081</v>
      </c>
    </row>
    <row r="425" spans="1:18" x14ac:dyDescent="0.3">
      <c r="A425" s="5">
        <v>45957</v>
      </c>
      <c r="B425" t="s">
        <v>640</v>
      </c>
      <c r="C425">
        <v>10</v>
      </c>
      <c r="D425">
        <v>36</v>
      </c>
      <c r="E425" s="1">
        <v>1.9993055555555554</v>
      </c>
      <c r="F425" t="s">
        <v>641</v>
      </c>
      <c r="G425">
        <v>1</v>
      </c>
      <c r="H425">
        <v>1080.7476999999999</v>
      </c>
      <c r="I425">
        <v>8.5</v>
      </c>
      <c r="J425">
        <v>1163.79</v>
      </c>
      <c r="K425">
        <v>6.6574267799006801</v>
      </c>
      <c r="L425">
        <v>1219.83</v>
      </c>
      <c r="M425" t="s">
        <v>27</v>
      </c>
      <c r="N425">
        <v>1</v>
      </c>
      <c r="O425">
        <v>1346</v>
      </c>
      <c r="P425">
        <v>1173</v>
      </c>
      <c r="Q425">
        <v>0</v>
      </c>
      <c r="R425">
        <v>1173</v>
      </c>
    </row>
    <row r="426" spans="1:18" x14ac:dyDescent="0.3">
      <c r="A426" s="5">
        <v>45957</v>
      </c>
      <c r="B426" t="s">
        <v>642</v>
      </c>
      <c r="C426">
        <v>7</v>
      </c>
      <c r="D426">
        <v>36</v>
      </c>
      <c r="E426" s="1">
        <v>1.9993055555555554</v>
      </c>
      <c r="F426" t="s">
        <v>643</v>
      </c>
      <c r="G426">
        <v>2</v>
      </c>
      <c r="H426">
        <v>1080.55</v>
      </c>
      <c r="I426">
        <v>5</v>
      </c>
      <c r="J426">
        <v>1163.79</v>
      </c>
      <c r="K426">
        <v>3.9161333999415802</v>
      </c>
      <c r="L426">
        <v>601.29</v>
      </c>
      <c r="M426" t="s">
        <v>60</v>
      </c>
      <c r="N426">
        <v>1</v>
      </c>
      <c r="O426">
        <v>1307</v>
      </c>
      <c r="P426">
        <v>1135</v>
      </c>
      <c r="Q426">
        <v>0.5</v>
      </c>
      <c r="R426">
        <v>567.5</v>
      </c>
    </row>
    <row r="427" spans="1:18" x14ac:dyDescent="0.3">
      <c r="A427" s="5">
        <v>45957</v>
      </c>
      <c r="B427" t="s">
        <v>644</v>
      </c>
      <c r="C427">
        <v>28</v>
      </c>
      <c r="D427">
        <v>36</v>
      </c>
      <c r="E427" s="1">
        <v>1.9993055555555554</v>
      </c>
      <c r="F427" t="s">
        <v>645</v>
      </c>
      <c r="G427">
        <v>5</v>
      </c>
      <c r="H427">
        <v>1080.8251</v>
      </c>
      <c r="I427">
        <v>0</v>
      </c>
      <c r="J427">
        <v>1163.79</v>
      </c>
      <c r="K427">
        <v>0</v>
      </c>
      <c r="L427">
        <v>1158.79</v>
      </c>
      <c r="M427" t="s">
        <v>27</v>
      </c>
      <c r="N427">
        <v>1</v>
      </c>
      <c r="O427">
        <v>1254</v>
      </c>
      <c r="P427">
        <v>1081</v>
      </c>
      <c r="Q427">
        <v>0</v>
      </c>
      <c r="R427">
        <v>1081</v>
      </c>
    </row>
    <row r="428" spans="1:18" x14ac:dyDescent="0.3">
      <c r="A428" s="5">
        <v>45957</v>
      </c>
      <c r="B428" t="s">
        <v>646</v>
      </c>
      <c r="C428">
        <v>22</v>
      </c>
      <c r="D428">
        <v>36</v>
      </c>
      <c r="E428" s="1">
        <v>1.9993055555555554</v>
      </c>
      <c r="F428" t="s">
        <v>647</v>
      </c>
      <c r="G428">
        <v>5</v>
      </c>
      <c r="H428">
        <v>1080.932</v>
      </c>
      <c r="I428">
        <v>0</v>
      </c>
      <c r="J428">
        <v>1163.79</v>
      </c>
      <c r="K428">
        <v>0</v>
      </c>
      <c r="L428">
        <v>1158.79</v>
      </c>
      <c r="M428" t="s">
        <v>27</v>
      </c>
      <c r="N428">
        <v>1</v>
      </c>
      <c r="O428">
        <v>1254</v>
      </c>
      <c r="P428">
        <v>1081</v>
      </c>
      <c r="Q428">
        <v>0</v>
      </c>
      <c r="R428">
        <v>1081</v>
      </c>
    </row>
    <row r="429" spans="1:18" x14ac:dyDescent="0.3">
      <c r="A429" s="5">
        <v>45957</v>
      </c>
      <c r="B429" t="s">
        <v>648</v>
      </c>
      <c r="C429">
        <v>3</v>
      </c>
      <c r="D429">
        <v>36</v>
      </c>
      <c r="E429" s="1">
        <v>1.4583333333333333</v>
      </c>
      <c r="F429" t="s">
        <v>649</v>
      </c>
      <c r="G429">
        <v>2</v>
      </c>
      <c r="H429">
        <v>1081.7172</v>
      </c>
      <c r="I429">
        <v>5</v>
      </c>
      <c r="J429">
        <v>1163.79</v>
      </c>
      <c r="K429">
        <v>3.9161333999415802</v>
      </c>
      <c r="L429">
        <v>601.29</v>
      </c>
      <c r="M429" t="s">
        <v>60</v>
      </c>
      <c r="N429">
        <v>1</v>
      </c>
      <c r="O429">
        <v>1309</v>
      </c>
      <c r="P429">
        <v>1136</v>
      </c>
      <c r="Q429">
        <v>0.5</v>
      </c>
      <c r="R429">
        <v>568</v>
      </c>
    </row>
    <row r="430" spans="1:18" x14ac:dyDescent="0.3">
      <c r="A430" s="5">
        <v>45957</v>
      </c>
      <c r="B430" t="s">
        <v>650</v>
      </c>
      <c r="C430">
        <v>16</v>
      </c>
      <c r="D430">
        <v>36</v>
      </c>
      <c r="E430" s="1">
        <v>1.0833333333333333</v>
      </c>
      <c r="F430" t="s">
        <v>651</v>
      </c>
      <c r="G430">
        <v>0</v>
      </c>
      <c r="H430">
        <v>1081.3373999999999</v>
      </c>
      <c r="I430">
        <v>2.5</v>
      </c>
      <c r="J430">
        <v>1163.79</v>
      </c>
      <c r="K430">
        <v>1.9580666999707901</v>
      </c>
      <c r="L430">
        <v>1142.5</v>
      </c>
      <c r="M430" t="s">
        <v>27</v>
      </c>
      <c r="N430">
        <v>1</v>
      </c>
      <c r="O430">
        <v>1281</v>
      </c>
      <c r="P430">
        <v>1108</v>
      </c>
      <c r="Q430">
        <v>0</v>
      </c>
      <c r="R430">
        <v>1108</v>
      </c>
    </row>
    <row r="431" spans="1:18" x14ac:dyDescent="0.3">
      <c r="A431" s="5">
        <v>45957</v>
      </c>
      <c r="B431" t="s">
        <v>652</v>
      </c>
      <c r="C431">
        <v>31</v>
      </c>
      <c r="D431">
        <v>36</v>
      </c>
      <c r="E431" s="1">
        <v>1.9993055555555554</v>
      </c>
      <c r="F431" t="s">
        <v>653</v>
      </c>
      <c r="G431">
        <v>0</v>
      </c>
      <c r="H431">
        <v>1080.7702999999999</v>
      </c>
      <c r="I431">
        <v>2.5</v>
      </c>
      <c r="J431">
        <v>1163.79</v>
      </c>
      <c r="K431">
        <v>1.9580666999707901</v>
      </c>
      <c r="L431">
        <v>1158.79</v>
      </c>
      <c r="M431" t="s">
        <v>27</v>
      </c>
      <c r="N431">
        <v>1</v>
      </c>
      <c r="O431">
        <v>1281</v>
      </c>
      <c r="P431">
        <v>1108</v>
      </c>
      <c r="Q431">
        <v>0</v>
      </c>
      <c r="R431">
        <v>1108</v>
      </c>
    </row>
    <row r="432" spans="1:18" x14ac:dyDescent="0.3">
      <c r="A432" s="5">
        <v>45957</v>
      </c>
      <c r="B432" t="s">
        <v>654</v>
      </c>
      <c r="C432">
        <v>8</v>
      </c>
      <c r="D432">
        <v>36</v>
      </c>
      <c r="E432" s="1">
        <v>1.0833333333333333</v>
      </c>
      <c r="F432" t="s">
        <v>655</v>
      </c>
      <c r="G432">
        <v>0</v>
      </c>
      <c r="H432">
        <v>1081.4816000000001</v>
      </c>
      <c r="I432">
        <v>2.5</v>
      </c>
      <c r="J432">
        <v>1163.79</v>
      </c>
      <c r="K432">
        <v>1.9580666999707901</v>
      </c>
      <c r="L432">
        <v>1142.5</v>
      </c>
      <c r="M432" t="s">
        <v>27</v>
      </c>
      <c r="N432">
        <v>1</v>
      </c>
      <c r="O432">
        <v>1282</v>
      </c>
      <c r="P432">
        <v>1109</v>
      </c>
      <c r="Q432">
        <v>0</v>
      </c>
      <c r="R432">
        <v>1109</v>
      </c>
    </row>
    <row r="433" spans="1:18" x14ac:dyDescent="0.3">
      <c r="A433" s="5">
        <v>45957</v>
      </c>
      <c r="B433" t="s">
        <v>654</v>
      </c>
      <c r="C433">
        <v>8</v>
      </c>
      <c r="D433">
        <v>36</v>
      </c>
      <c r="E433" s="1">
        <v>1.0833333333333333</v>
      </c>
      <c r="F433" t="s">
        <v>655</v>
      </c>
      <c r="G433">
        <v>0</v>
      </c>
      <c r="H433">
        <v>1081.4816000000001</v>
      </c>
      <c r="I433">
        <v>2.5</v>
      </c>
      <c r="J433">
        <v>1163.79</v>
      </c>
      <c r="K433">
        <v>1.9580666999707901</v>
      </c>
      <c r="L433">
        <v>1142.5</v>
      </c>
      <c r="M433" t="s">
        <v>27</v>
      </c>
      <c r="N433">
        <v>1</v>
      </c>
      <c r="O433">
        <v>1282</v>
      </c>
      <c r="P433">
        <v>1109</v>
      </c>
      <c r="Q433">
        <v>0</v>
      </c>
      <c r="R433">
        <v>1109</v>
      </c>
    </row>
    <row r="434" spans="1:18" x14ac:dyDescent="0.3">
      <c r="A434" s="5">
        <v>45957</v>
      </c>
      <c r="B434" t="s">
        <v>654</v>
      </c>
      <c r="C434">
        <v>8</v>
      </c>
      <c r="D434">
        <v>36</v>
      </c>
      <c r="E434" s="1">
        <v>1.0833333333333333</v>
      </c>
      <c r="F434" t="s">
        <v>655</v>
      </c>
      <c r="G434">
        <v>0</v>
      </c>
      <c r="H434">
        <v>1081.4816000000001</v>
      </c>
      <c r="I434">
        <v>2.5</v>
      </c>
      <c r="J434">
        <v>1163.79</v>
      </c>
      <c r="K434">
        <v>1.9580666999707901</v>
      </c>
      <c r="L434">
        <v>1142.5</v>
      </c>
      <c r="M434" t="s">
        <v>27</v>
      </c>
      <c r="N434">
        <v>1</v>
      </c>
      <c r="O434">
        <v>1282</v>
      </c>
      <c r="P434">
        <v>1109</v>
      </c>
      <c r="Q434">
        <v>0</v>
      </c>
      <c r="R434">
        <v>1109</v>
      </c>
    </row>
    <row r="435" spans="1:18" x14ac:dyDescent="0.3">
      <c r="A435" s="5">
        <v>45957</v>
      </c>
      <c r="B435" t="s">
        <v>654</v>
      </c>
      <c r="C435">
        <v>8</v>
      </c>
      <c r="D435">
        <v>36</v>
      </c>
      <c r="E435" s="1">
        <v>1.0833333333333333</v>
      </c>
      <c r="F435" t="s">
        <v>655</v>
      </c>
      <c r="G435">
        <v>0</v>
      </c>
      <c r="H435">
        <v>1081.4816000000001</v>
      </c>
      <c r="I435">
        <v>2.5</v>
      </c>
      <c r="J435">
        <v>1163.79</v>
      </c>
      <c r="K435">
        <v>1.9580666999707901</v>
      </c>
      <c r="L435">
        <v>1142.5</v>
      </c>
      <c r="M435" t="s">
        <v>27</v>
      </c>
      <c r="N435">
        <v>1</v>
      </c>
      <c r="O435">
        <v>1282</v>
      </c>
      <c r="P435">
        <v>1109</v>
      </c>
      <c r="Q435">
        <v>0</v>
      </c>
      <c r="R435">
        <v>1109</v>
      </c>
    </row>
    <row r="436" spans="1:18" x14ac:dyDescent="0.3">
      <c r="A436" s="5">
        <v>45957</v>
      </c>
      <c r="B436" t="s">
        <v>654</v>
      </c>
      <c r="C436">
        <v>8</v>
      </c>
      <c r="D436">
        <v>36</v>
      </c>
      <c r="E436" s="1">
        <v>1.0833333333333333</v>
      </c>
      <c r="F436" t="s">
        <v>655</v>
      </c>
      <c r="G436">
        <v>0</v>
      </c>
      <c r="H436">
        <v>1081.4816000000001</v>
      </c>
      <c r="I436">
        <v>2.5</v>
      </c>
      <c r="J436">
        <v>1163.79</v>
      </c>
      <c r="K436">
        <v>1.9580666999707901</v>
      </c>
      <c r="L436">
        <v>1142.5</v>
      </c>
      <c r="M436" t="s">
        <v>27</v>
      </c>
      <c r="N436">
        <v>1</v>
      </c>
      <c r="O436">
        <v>1282</v>
      </c>
      <c r="P436">
        <v>1109</v>
      </c>
      <c r="Q436">
        <v>0</v>
      </c>
      <c r="R436">
        <v>1109</v>
      </c>
    </row>
    <row r="437" spans="1:18" x14ac:dyDescent="0.3">
      <c r="A437" s="5">
        <v>45957</v>
      </c>
      <c r="B437" t="s">
        <v>654</v>
      </c>
      <c r="C437">
        <v>8</v>
      </c>
      <c r="D437">
        <v>36</v>
      </c>
      <c r="E437" s="1">
        <v>1.0833333333333333</v>
      </c>
      <c r="F437" t="s">
        <v>655</v>
      </c>
      <c r="G437">
        <v>0</v>
      </c>
      <c r="H437">
        <v>1081.4816000000001</v>
      </c>
      <c r="I437">
        <v>2.5</v>
      </c>
      <c r="J437">
        <v>1163.79</v>
      </c>
      <c r="K437">
        <v>1.9580666999707901</v>
      </c>
      <c r="L437">
        <v>1142.5</v>
      </c>
      <c r="M437" t="s">
        <v>27</v>
      </c>
      <c r="N437">
        <v>1</v>
      </c>
      <c r="O437">
        <v>1282</v>
      </c>
      <c r="P437">
        <v>1109</v>
      </c>
      <c r="Q437">
        <v>0</v>
      </c>
      <c r="R437">
        <v>1109</v>
      </c>
    </row>
    <row r="438" spans="1:18" x14ac:dyDescent="0.3">
      <c r="A438" s="5">
        <v>45957</v>
      </c>
      <c r="B438" t="s">
        <v>654</v>
      </c>
      <c r="C438">
        <v>8</v>
      </c>
      <c r="D438">
        <v>36</v>
      </c>
      <c r="E438" s="1">
        <v>1.0833333333333333</v>
      </c>
      <c r="F438" t="s">
        <v>655</v>
      </c>
      <c r="G438">
        <v>0</v>
      </c>
      <c r="H438">
        <v>1081.4816000000001</v>
      </c>
      <c r="I438">
        <v>2.5</v>
      </c>
      <c r="J438">
        <v>1163.79</v>
      </c>
      <c r="K438">
        <v>1.9580666999707901</v>
      </c>
      <c r="L438">
        <v>1142.5</v>
      </c>
      <c r="M438" t="s">
        <v>27</v>
      </c>
      <c r="N438">
        <v>1</v>
      </c>
      <c r="O438">
        <v>1282</v>
      </c>
      <c r="P438">
        <v>1109</v>
      </c>
      <c r="Q438">
        <v>0</v>
      </c>
      <c r="R438">
        <v>1109</v>
      </c>
    </row>
    <row r="439" spans="1:18" x14ac:dyDescent="0.3">
      <c r="A439" s="5">
        <v>45957</v>
      </c>
      <c r="B439" t="s">
        <v>656</v>
      </c>
      <c r="C439">
        <v>12</v>
      </c>
      <c r="D439">
        <v>36</v>
      </c>
      <c r="E439" s="1">
        <v>1.0833333333333333</v>
      </c>
      <c r="F439" t="s">
        <v>655</v>
      </c>
      <c r="G439">
        <v>0</v>
      </c>
      <c r="H439">
        <v>1081.4094</v>
      </c>
      <c r="I439">
        <v>2.5</v>
      </c>
      <c r="J439">
        <v>1163.79</v>
      </c>
      <c r="K439">
        <v>1.9580666999707901</v>
      </c>
      <c r="L439">
        <v>1142.5</v>
      </c>
      <c r="M439" t="s">
        <v>27</v>
      </c>
      <c r="N439">
        <v>1</v>
      </c>
      <c r="O439">
        <v>1281</v>
      </c>
      <c r="P439">
        <v>1108</v>
      </c>
      <c r="Q439">
        <v>0</v>
      </c>
      <c r="R439">
        <v>1108</v>
      </c>
    </row>
    <row r="440" spans="1:18" x14ac:dyDescent="0.3">
      <c r="A440" s="5">
        <v>45957</v>
      </c>
      <c r="B440" t="s">
        <v>656</v>
      </c>
      <c r="C440">
        <v>12</v>
      </c>
      <c r="D440">
        <v>36</v>
      </c>
      <c r="E440" s="1">
        <v>1.0833333333333333</v>
      </c>
      <c r="F440" t="s">
        <v>655</v>
      </c>
      <c r="G440">
        <v>0</v>
      </c>
      <c r="H440">
        <v>1081.4094</v>
      </c>
      <c r="I440">
        <v>2.5</v>
      </c>
      <c r="J440">
        <v>1163.79</v>
      </c>
      <c r="K440">
        <v>1.9580666999707901</v>
      </c>
      <c r="L440">
        <v>1142.5</v>
      </c>
      <c r="M440" t="s">
        <v>27</v>
      </c>
      <c r="N440">
        <v>1</v>
      </c>
      <c r="O440">
        <v>1281</v>
      </c>
      <c r="P440">
        <v>1108</v>
      </c>
      <c r="Q440">
        <v>0</v>
      </c>
      <c r="R440">
        <v>1108</v>
      </c>
    </row>
    <row r="441" spans="1:18" x14ac:dyDescent="0.3">
      <c r="A441" s="5">
        <v>45957</v>
      </c>
      <c r="B441" t="s">
        <v>656</v>
      </c>
      <c r="C441">
        <v>12</v>
      </c>
      <c r="D441">
        <v>36</v>
      </c>
      <c r="E441" s="1">
        <v>1.0833333333333333</v>
      </c>
      <c r="F441" t="s">
        <v>655</v>
      </c>
      <c r="G441">
        <v>0</v>
      </c>
      <c r="H441">
        <v>1081.4094</v>
      </c>
      <c r="I441">
        <v>2.5</v>
      </c>
      <c r="J441">
        <v>1163.79</v>
      </c>
      <c r="K441">
        <v>1.9580666999707901</v>
      </c>
      <c r="L441">
        <v>1142.5</v>
      </c>
      <c r="M441" t="s">
        <v>27</v>
      </c>
      <c r="N441">
        <v>1</v>
      </c>
      <c r="O441">
        <v>1281</v>
      </c>
      <c r="P441">
        <v>1108</v>
      </c>
      <c r="Q441">
        <v>0</v>
      </c>
      <c r="R441">
        <v>1108</v>
      </c>
    </row>
    <row r="442" spans="1:18" x14ac:dyDescent="0.3">
      <c r="A442" s="5">
        <v>45957</v>
      </c>
      <c r="B442" t="s">
        <v>656</v>
      </c>
      <c r="C442">
        <v>12</v>
      </c>
      <c r="D442">
        <v>36</v>
      </c>
      <c r="E442" s="1">
        <v>1.0833333333333333</v>
      </c>
      <c r="F442" t="s">
        <v>655</v>
      </c>
      <c r="G442">
        <v>0</v>
      </c>
      <c r="H442">
        <v>1081.4094</v>
      </c>
      <c r="I442">
        <v>2.5</v>
      </c>
      <c r="J442">
        <v>1163.79</v>
      </c>
      <c r="K442">
        <v>1.9580666999707901</v>
      </c>
      <c r="L442">
        <v>1142.5</v>
      </c>
      <c r="M442" t="s">
        <v>27</v>
      </c>
      <c r="N442">
        <v>1</v>
      </c>
      <c r="O442">
        <v>1281</v>
      </c>
      <c r="P442">
        <v>1108</v>
      </c>
      <c r="Q442">
        <v>0</v>
      </c>
      <c r="R442">
        <v>1108</v>
      </c>
    </row>
    <row r="443" spans="1:18" x14ac:dyDescent="0.3">
      <c r="A443" s="5">
        <v>45957</v>
      </c>
      <c r="B443" t="s">
        <v>656</v>
      </c>
      <c r="C443">
        <v>12</v>
      </c>
      <c r="D443">
        <v>36</v>
      </c>
      <c r="E443" s="1">
        <v>1.0833333333333333</v>
      </c>
      <c r="F443" t="s">
        <v>655</v>
      </c>
      <c r="G443">
        <v>0</v>
      </c>
      <c r="H443">
        <v>1081.4094</v>
      </c>
      <c r="I443">
        <v>2.5</v>
      </c>
      <c r="J443">
        <v>1163.79</v>
      </c>
      <c r="K443">
        <v>1.9580666999707901</v>
      </c>
      <c r="L443">
        <v>1142.5</v>
      </c>
      <c r="M443" t="s">
        <v>27</v>
      </c>
      <c r="N443">
        <v>1</v>
      </c>
      <c r="O443">
        <v>1281</v>
      </c>
      <c r="P443">
        <v>1108</v>
      </c>
      <c r="Q443">
        <v>0</v>
      </c>
      <c r="R443">
        <v>1108</v>
      </c>
    </row>
    <row r="444" spans="1:18" x14ac:dyDescent="0.3">
      <c r="A444" s="5">
        <v>45957</v>
      </c>
      <c r="B444" t="s">
        <v>656</v>
      </c>
      <c r="C444">
        <v>12</v>
      </c>
      <c r="D444">
        <v>36</v>
      </c>
      <c r="E444" s="1">
        <v>1.0833333333333333</v>
      </c>
      <c r="F444" t="s">
        <v>655</v>
      </c>
      <c r="G444">
        <v>0</v>
      </c>
      <c r="H444">
        <v>1081.4094</v>
      </c>
      <c r="I444">
        <v>2.5</v>
      </c>
      <c r="J444">
        <v>1163.79</v>
      </c>
      <c r="K444">
        <v>1.9580666999707901</v>
      </c>
      <c r="L444">
        <v>1142.5</v>
      </c>
      <c r="M444" t="s">
        <v>27</v>
      </c>
      <c r="N444">
        <v>1</v>
      </c>
      <c r="O444">
        <v>1281</v>
      </c>
      <c r="P444">
        <v>1108</v>
      </c>
      <c r="Q444">
        <v>0</v>
      </c>
      <c r="R444">
        <v>1108</v>
      </c>
    </row>
    <row r="445" spans="1:18" x14ac:dyDescent="0.3">
      <c r="A445" s="5">
        <v>45957</v>
      </c>
      <c r="B445" t="s">
        <v>656</v>
      </c>
      <c r="C445">
        <v>12</v>
      </c>
      <c r="D445">
        <v>36</v>
      </c>
      <c r="E445" s="1">
        <v>1.0833333333333333</v>
      </c>
      <c r="F445" t="s">
        <v>655</v>
      </c>
      <c r="G445">
        <v>0</v>
      </c>
      <c r="H445">
        <v>1081.4094</v>
      </c>
      <c r="I445">
        <v>2.5</v>
      </c>
      <c r="J445">
        <v>1163.79</v>
      </c>
      <c r="K445">
        <v>1.9580666999707901</v>
      </c>
      <c r="L445">
        <v>1142.5</v>
      </c>
      <c r="M445" t="s">
        <v>27</v>
      </c>
      <c r="N445">
        <v>1</v>
      </c>
      <c r="O445">
        <v>1281</v>
      </c>
      <c r="P445">
        <v>1108</v>
      </c>
      <c r="Q445">
        <v>0</v>
      </c>
      <c r="R445">
        <v>1108</v>
      </c>
    </row>
    <row r="446" spans="1:18" x14ac:dyDescent="0.3">
      <c r="A446" s="5">
        <v>45957</v>
      </c>
      <c r="B446" t="s">
        <v>657</v>
      </c>
      <c r="C446">
        <v>11</v>
      </c>
      <c r="D446">
        <v>36</v>
      </c>
      <c r="E446" s="1">
        <v>1.0833333333333333</v>
      </c>
      <c r="F446" t="s">
        <v>655</v>
      </c>
      <c r="G446">
        <v>0</v>
      </c>
      <c r="H446">
        <v>1081.4275</v>
      </c>
      <c r="I446">
        <v>2.5</v>
      </c>
      <c r="J446">
        <v>1163.79</v>
      </c>
      <c r="K446">
        <v>1.9580666999707901</v>
      </c>
      <c r="L446">
        <v>1142.5</v>
      </c>
      <c r="M446" t="s">
        <v>27</v>
      </c>
      <c r="N446">
        <v>1</v>
      </c>
      <c r="O446">
        <v>1281</v>
      </c>
      <c r="P446">
        <v>1108</v>
      </c>
      <c r="Q446">
        <v>0</v>
      </c>
      <c r="R446">
        <v>1108</v>
      </c>
    </row>
    <row r="447" spans="1:18" x14ac:dyDescent="0.3">
      <c r="A447" s="5">
        <v>45957</v>
      </c>
      <c r="B447" t="s">
        <v>657</v>
      </c>
      <c r="C447">
        <v>11</v>
      </c>
      <c r="D447">
        <v>36</v>
      </c>
      <c r="E447" s="1">
        <v>1.0833333333333333</v>
      </c>
      <c r="F447" t="s">
        <v>655</v>
      </c>
      <c r="G447">
        <v>0</v>
      </c>
      <c r="H447">
        <v>1081.4275</v>
      </c>
      <c r="I447">
        <v>2.5</v>
      </c>
      <c r="J447">
        <v>1163.79</v>
      </c>
      <c r="K447">
        <v>1.9580666999707901</v>
      </c>
      <c r="L447">
        <v>1142.5</v>
      </c>
      <c r="M447" t="s">
        <v>27</v>
      </c>
      <c r="N447">
        <v>1</v>
      </c>
      <c r="O447">
        <v>1281</v>
      </c>
      <c r="P447">
        <v>1108</v>
      </c>
      <c r="Q447">
        <v>0</v>
      </c>
      <c r="R447">
        <v>1108</v>
      </c>
    </row>
    <row r="448" spans="1:18" x14ac:dyDescent="0.3">
      <c r="A448" s="5">
        <v>45957</v>
      </c>
      <c r="B448" t="s">
        <v>657</v>
      </c>
      <c r="C448">
        <v>11</v>
      </c>
      <c r="D448">
        <v>36</v>
      </c>
      <c r="E448" s="1">
        <v>1.0833333333333333</v>
      </c>
      <c r="F448" t="s">
        <v>655</v>
      </c>
      <c r="G448">
        <v>0</v>
      </c>
      <c r="H448">
        <v>1081.4275</v>
      </c>
      <c r="I448">
        <v>2.5</v>
      </c>
      <c r="J448">
        <v>1163.79</v>
      </c>
      <c r="K448">
        <v>1.9580666999707901</v>
      </c>
      <c r="L448">
        <v>1142.5</v>
      </c>
      <c r="M448" t="s">
        <v>27</v>
      </c>
      <c r="N448">
        <v>1</v>
      </c>
      <c r="O448">
        <v>1281</v>
      </c>
      <c r="P448">
        <v>1108</v>
      </c>
      <c r="Q448">
        <v>0</v>
      </c>
      <c r="R448">
        <v>1108</v>
      </c>
    </row>
    <row r="449" spans="1:18" x14ac:dyDescent="0.3">
      <c r="A449" s="5">
        <v>45957</v>
      </c>
      <c r="B449" t="s">
        <v>657</v>
      </c>
      <c r="C449">
        <v>11</v>
      </c>
      <c r="D449">
        <v>36</v>
      </c>
      <c r="E449" s="1">
        <v>1.0833333333333333</v>
      </c>
      <c r="F449" t="s">
        <v>655</v>
      </c>
      <c r="G449">
        <v>0</v>
      </c>
      <c r="H449">
        <v>1081.4275</v>
      </c>
      <c r="I449">
        <v>2.5</v>
      </c>
      <c r="J449">
        <v>1163.79</v>
      </c>
      <c r="K449">
        <v>1.9580666999707901</v>
      </c>
      <c r="L449">
        <v>1142.5</v>
      </c>
      <c r="M449" t="s">
        <v>27</v>
      </c>
      <c r="N449">
        <v>1</v>
      </c>
      <c r="O449">
        <v>1281</v>
      </c>
      <c r="P449">
        <v>1108</v>
      </c>
      <c r="Q449">
        <v>0</v>
      </c>
      <c r="R449">
        <v>1108</v>
      </c>
    </row>
    <row r="450" spans="1:18" x14ac:dyDescent="0.3">
      <c r="A450" s="5">
        <v>45957</v>
      </c>
      <c r="B450" t="s">
        <v>657</v>
      </c>
      <c r="C450">
        <v>11</v>
      </c>
      <c r="D450">
        <v>36</v>
      </c>
      <c r="E450" s="1">
        <v>1.0833333333333333</v>
      </c>
      <c r="F450" t="s">
        <v>655</v>
      </c>
      <c r="G450">
        <v>0</v>
      </c>
      <c r="H450">
        <v>1081.4275</v>
      </c>
      <c r="I450">
        <v>2.5</v>
      </c>
      <c r="J450">
        <v>1163.79</v>
      </c>
      <c r="K450">
        <v>1.9580666999707901</v>
      </c>
      <c r="L450">
        <v>1142.5</v>
      </c>
      <c r="M450" t="s">
        <v>27</v>
      </c>
      <c r="N450">
        <v>1</v>
      </c>
      <c r="O450">
        <v>1281</v>
      </c>
      <c r="P450">
        <v>1108</v>
      </c>
      <c r="Q450">
        <v>0</v>
      </c>
      <c r="R450">
        <v>1108</v>
      </c>
    </row>
    <row r="451" spans="1:18" x14ac:dyDescent="0.3">
      <c r="A451" s="5">
        <v>45957</v>
      </c>
      <c r="B451" t="s">
        <v>657</v>
      </c>
      <c r="C451">
        <v>11</v>
      </c>
      <c r="D451">
        <v>36</v>
      </c>
      <c r="E451" s="1">
        <v>1.0833333333333333</v>
      </c>
      <c r="F451" t="s">
        <v>655</v>
      </c>
      <c r="G451">
        <v>0</v>
      </c>
      <c r="H451">
        <v>1081.4275</v>
      </c>
      <c r="I451">
        <v>2.5</v>
      </c>
      <c r="J451">
        <v>1163.79</v>
      </c>
      <c r="K451">
        <v>1.9580666999707901</v>
      </c>
      <c r="L451">
        <v>1142.5</v>
      </c>
      <c r="M451" t="s">
        <v>27</v>
      </c>
      <c r="N451">
        <v>1</v>
      </c>
      <c r="O451">
        <v>1281</v>
      </c>
      <c r="P451">
        <v>1108</v>
      </c>
      <c r="Q451">
        <v>0</v>
      </c>
      <c r="R451">
        <v>1108</v>
      </c>
    </row>
    <row r="452" spans="1:18" x14ac:dyDescent="0.3">
      <c r="A452" s="5">
        <v>45957</v>
      </c>
      <c r="B452" t="s">
        <v>657</v>
      </c>
      <c r="C452">
        <v>11</v>
      </c>
      <c r="D452">
        <v>36</v>
      </c>
      <c r="E452" s="1">
        <v>1.0833333333333333</v>
      </c>
      <c r="F452" t="s">
        <v>655</v>
      </c>
      <c r="G452">
        <v>0</v>
      </c>
      <c r="H452">
        <v>1081.4275</v>
      </c>
      <c r="I452">
        <v>2.5</v>
      </c>
      <c r="J452">
        <v>1163.79</v>
      </c>
      <c r="K452">
        <v>1.9580666999707901</v>
      </c>
      <c r="L452">
        <v>1142.5</v>
      </c>
      <c r="M452" t="s">
        <v>27</v>
      </c>
      <c r="N452">
        <v>1</v>
      </c>
      <c r="O452">
        <v>1281</v>
      </c>
      <c r="P452">
        <v>1108</v>
      </c>
      <c r="Q452">
        <v>0</v>
      </c>
      <c r="R452">
        <v>1108</v>
      </c>
    </row>
    <row r="453" spans="1:18" x14ac:dyDescent="0.3">
      <c r="A453" s="5">
        <v>45957</v>
      </c>
      <c r="B453" t="s">
        <v>658</v>
      </c>
      <c r="C453">
        <v>13</v>
      </c>
      <c r="D453">
        <v>36</v>
      </c>
      <c r="E453" s="1">
        <v>1.0833333333333333</v>
      </c>
      <c r="F453" t="s">
        <v>655</v>
      </c>
      <c r="G453">
        <v>0</v>
      </c>
      <c r="H453">
        <v>1081.3915999999999</v>
      </c>
      <c r="I453">
        <v>2.5</v>
      </c>
      <c r="J453">
        <v>1163.79</v>
      </c>
      <c r="K453">
        <v>1.9580666999707901</v>
      </c>
      <c r="L453">
        <v>1142.5</v>
      </c>
      <c r="M453" t="s">
        <v>27</v>
      </c>
      <c r="N453">
        <v>1</v>
      </c>
      <c r="O453">
        <v>1281</v>
      </c>
      <c r="P453">
        <v>1108</v>
      </c>
      <c r="Q453">
        <v>0</v>
      </c>
      <c r="R453">
        <v>1108</v>
      </c>
    </row>
    <row r="454" spans="1:18" x14ac:dyDescent="0.3">
      <c r="A454" s="5">
        <v>45957</v>
      </c>
      <c r="B454" t="s">
        <v>658</v>
      </c>
      <c r="C454">
        <v>13</v>
      </c>
      <c r="D454">
        <v>36</v>
      </c>
      <c r="E454" s="1">
        <v>1.0833333333333333</v>
      </c>
      <c r="F454" t="s">
        <v>655</v>
      </c>
      <c r="G454">
        <v>0</v>
      </c>
      <c r="H454">
        <v>1081.3915999999999</v>
      </c>
      <c r="I454">
        <v>2.5</v>
      </c>
      <c r="J454">
        <v>1163.79</v>
      </c>
      <c r="K454">
        <v>1.9580666999707901</v>
      </c>
      <c r="L454">
        <v>1142.5</v>
      </c>
      <c r="M454" t="s">
        <v>27</v>
      </c>
      <c r="N454">
        <v>1</v>
      </c>
      <c r="O454">
        <v>1281</v>
      </c>
      <c r="P454">
        <v>1108</v>
      </c>
      <c r="Q454">
        <v>0</v>
      </c>
      <c r="R454">
        <v>1108</v>
      </c>
    </row>
    <row r="455" spans="1:18" x14ac:dyDescent="0.3">
      <c r="A455" s="5">
        <v>45957</v>
      </c>
      <c r="B455" t="s">
        <v>658</v>
      </c>
      <c r="C455">
        <v>13</v>
      </c>
      <c r="D455">
        <v>36</v>
      </c>
      <c r="E455" s="1">
        <v>1.0833333333333333</v>
      </c>
      <c r="F455" t="s">
        <v>655</v>
      </c>
      <c r="G455">
        <v>0</v>
      </c>
      <c r="H455">
        <v>1081.3915999999999</v>
      </c>
      <c r="I455">
        <v>2.5</v>
      </c>
      <c r="J455">
        <v>1163.79</v>
      </c>
      <c r="K455">
        <v>1.9580666999707901</v>
      </c>
      <c r="L455">
        <v>1142.5</v>
      </c>
      <c r="M455" t="s">
        <v>27</v>
      </c>
      <c r="N455">
        <v>1</v>
      </c>
      <c r="O455">
        <v>1281</v>
      </c>
      <c r="P455">
        <v>1108</v>
      </c>
      <c r="Q455">
        <v>0</v>
      </c>
      <c r="R455">
        <v>1108</v>
      </c>
    </row>
    <row r="456" spans="1:18" x14ac:dyDescent="0.3">
      <c r="A456" s="5">
        <v>45957</v>
      </c>
      <c r="B456" t="s">
        <v>658</v>
      </c>
      <c r="C456">
        <v>13</v>
      </c>
      <c r="D456">
        <v>36</v>
      </c>
      <c r="E456" s="1">
        <v>1.0833333333333333</v>
      </c>
      <c r="F456" t="s">
        <v>655</v>
      </c>
      <c r="G456">
        <v>0</v>
      </c>
      <c r="H456">
        <v>1081.3915999999999</v>
      </c>
      <c r="I456">
        <v>2.5</v>
      </c>
      <c r="J456">
        <v>1163.79</v>
      </c>
      <c r="K456">
        <v>1.9580666999707901</v>
      </c>
      <c r="L456">
        <v>1142.5</v>
      </c>
      <c r="M456" t="s">
        <v>27</v>
      </c>
      <c r="N456">
        <v>1</v>
      </c>
      <c r="O456">
        <v>1281</v>
      </c>
      <c r="P456">
        <v>1108</v>
      </c>
      <c r="Q456">
        <v>0</v>
      </c>
      <c r="R456">
        <v>1108</v>
      </c>
    </row>
    <row r="457" spans="1:18" x14ac:dyDescent="0.3">
      <c r="A457" s="5">
        <v>45957</v>
      </c>
      <c r="B457" t="s">
        <v>658</v>
      </c>
      <c r="C457">
        <v>13</v>
      </c>
      <c r="D457">
        <v>36</v>
      </c>
      <c r="E457" s="1">
        <v>1.0833333333333333</v>
      </c>
      <c r="F457" t="s">
        <v>655</v>
      </c>
      <c r="G457">
        <v>0</v>
      </c>
      <c r="H457">
        <v>1081.3915999999999</v>
      </c>
      <c r="I457">
        <v>2.5</v>
      </c>
      <c r="J457">
        <v>1163.79</v>
      </c>
      <c r="K457">
        <v>1.9580666999707901</v>
      </c>
      <c r="L457">
        <v>1142.5</v>
      </c>
      <c r="M457" t="s">
        <v>27</v>
      </c>
      <c r="N457">
        <v>1</v>
      </c>
      <c r="O457">
        <v>1281</v>
      </c>
      <c r="P457">
        <v>1108</v>
      </c>
      <c r="Q457">
        <v>0</v>
      </c>
      <c r="R457">
        <v>1108</v>
      </c>
    </row>
    <row r="458" spans="1:18" x14ac:dyDescent="0.3">
      <c r="A458" s="5">
        <v>45957</v>
      </c>
      <c r="B458" t="s">
        <v>658</v>
      </c>
      <c r="C458">
        <v>13</v>
      </c>
      <c r="D458">
        <v>36</v>
      </c>
      <c r="E458" s="1">
        <v>1.0833333333333333</v>
      </c>
      <c r="F458" t="s">
        <v>655</v>
      </c>
      <c r="G458">
        <v>0</v>
      </c>
      <c r="H458">
        <v>1081.3915999999999</v>
      </c>
      <c r="I458">
        <v>2.5</v>
      </c>
      <c r="J458">
        <v>1163.79</v>
      </c>
      <c r="K458">
        <v>1.9580666999707901</v>
      </c>
      <c r="L458">
        <v>1142.5</v>
      </c>
      <c r="M458" t="s">
        <v>27</v>
      </c>
      <c r="N458">
        <v>1</v>
      </c>
      <c r="O458">
        <v>1281</v>
      </c>
      <c r="P458">
        <v>1108</v>
      </c>
      <c r="Q458">
        <v>0</v>
      </c>
      <c r="R458">
        <v>1108</v>
      </c>
    </row>
    <row r="459" spans="1:18" x14ac:dyDescent="0.3">
      <c r="A459" s="5">
        <v>45957</v>
      </c>
      <c r="B459" t="s">
        <v>658</v>
      </c>
      <c r="C459">
        <v>13</v>
      </c>
      <c r="D459">
        <v>36</v>
      </c>
      <c r="E459" s="1">
        <v>1.0833333333333333</v>
      </c>
      <c r="F459" t="s">
        <v>655</v>
      </c>
      <c r="G459">
        <v>0</v>
      </c>
      <c r="H459">
        <v>1081.3915999999999</v>
      </c>
      <c r="I459">
        <v>2.5</v>
      </c>
      <c r="J459">
        <v>1163.79</v>
      </c>
      <c r="K459">
        <v>1.9580666999707901</v>
      </c>
      <c r="L459">
        <v>1142.5</v>
      </c>
      <c r="M459" t="s">
        <v>27</v>
      </c>
      <c r="N459">
        <v>1</v>
      </c>
      <c r="O459">
        <v>1281</v>
      </c>
      <c r="P459">
        <v>1108</v>
      </c>
      <c r="Q459">
        <v>0</v>
      </c>
      <c r="R459">
        <v>1108</v>
      </c>
    </row>
    <row r="460" spans="1:18" x14ac:dyDescent="0.3">
      <c r="A460" s="5">
        <v>45957</v>
      </c>
      <c r="B460" t="s">
        <v>659</v>
      </c>
      <c r="C460">
        <v>15</v>
      </c>
      <c r="D460">
        <v>36</v>
      </c>
      <c r="E460" s="1">
        <v>1.0833333333333333</v>
      </c>
      <c r="F460" t="s">
        <v>655</v>
      </c>
      <c r="G460">
        <v>0</v>
      </c>
      <c r="H460">
        <v>1081.3557000000001</v>
      </c>
      <c r="I460">
        <v>2.5</v>
      </c>
      <c r="J460">
        <v>1163.79</v>
      </c>
      <c r="K460">
        <v>1.9580666999707901</v>
      </c>
      <c r="L460">
        <v>1142.5</v>
      </c>
      <c r="M460" t="s">
        <v>27</v>
      </c>
      <c r="N460">
        <v>1</v>
      </c>
      <c r="O460">
        <v>1281</v>
      </c>
      <c r="P460">
        <v>1108</v>
      </c>
      <c r="Q460">
        <v>0</v>
      </c>
      <c r="R460">
        <v>1108</v>
      </c>
    </row>
    <row r="461" spans="1:18" x14ac:dyDescent="0.3">
      <c r="A461" s="5">
        <v>45957</v>
      </c>
      <c r="B461" t="s">
        <v>659</v>
      </c>
      <c r="C461">
        <v>15</v>
      </c>
      <c r="D461">
        <v>36</v>
      </c>
      <c r="E461" s="1">
        <v>1.0833333333333333</v>
      </c>
      <c r="F461" t="s">
        <v>655</v>
      </c>
      <c r="G461">
        <v>0</v>
      </c>
      <c r="H461">
        <v>1081.3557000000001</v>
      </c>
      <c r="I461">
        <v>2.5</v>
      </c>
      <c r="J461">
        <v>1163.79</v>
      </c>
      <c r="K461">
        <v>1.9580666999707901</v>
      </c>
      <c r="L461">
        <v>1142.5</v>
      </c>
      <c r="M461" t="s">
        <v>27</v>
      </c>
      <c r="N461">
        <v>1</v>
      </c>
      <c r="O461">
        <v>1281</v>
      </c>
      <c r="P461">
        <v>1108</v>
      </c>
      <c r="Q461">
        <v>0</v>
      </c>
      <c r="R461">
        <v>1108</v>
      </c>
    </row>
    <row r="462" spans="1:18" x14ac:dyDescent="0.3">
      <c r="A462" s="5">
        <v>45957</v>
      </c>
      <c r="B462" t="s">
        <v>659</v>
      </c>
      <c r="C462">
        <v>15</v>
      </c>
      <c r="D462">
        <v>36</v>
      </c>
      <c r="E462" s="1">
        <v>1.0833333333333333</v>
      </c>
      <c r="F462" t="s">
        <v>655</v>
      </c>
      <c r="G462">
        <v>0</v>
      </c>
      <c r="H462">
        <v>1081.3557000000001</v>
      </c>
      <c r="I462">
        <v>2.5</v>
      </c>
      <c r="J462">
        <v>1163.79</v>
      </c>
      <c r="K462">
        <v>1.9580666999707901</v>
      </c>
      <c r="L462">
        <v>1142.5</v>
      </c>
      <c r="M462" t="s">
        <v>27</v>
      </c>
      <c r="N462">
        <v>1</v>
      </c>
      <c r="O462">
        <v>1281</v>
      </c>
      <c r="P462">
        <v>1108</v>
      </c>
      <c r="Q462">
        <v>0</v>
      </c>
      <c r="R462">
        <v>1108</v>
      </c>
    </row>
    <row r="463" spans="1:18" x14ac:dyDescent="0.3">
      <c r="A463" s="5">
        <v>45957</v>
      </c>
      <c r="B463" t="s">
        <v>659</v>
      </c>
      <c r="C463">
        <v>15</v>
      </c>
      <c r="D463">
        <v>36</v>
      </c>
      <c r="E463" s="1">
        <v>1.0833333333333333</v>
      </c>
      <c r="F463" t="s">
        <v>655</v>
      </c>
      <c r="G463">
        <v>0</v>
      </c>
      <c r="H463">
        <v>1081.3557000000001</v>
      </c>
      <c r="I463">
        <v>2.5</v>
      </c>
      <c r="J463">
        <v>1163.79</v>
      </c>
      <c r="K463">
        <v>1.9580666999707901</v>
      </c>
      <c r="L463">
        <v>1142.5</v>
      </c>
      <c r="M463" t="s">
        <v>27</v>
      </c>
      <c r="N463">
        <v>1</v>
      </c>
      <c r="O463">
        <v>1281</v>
      </c>
      <c r="P463">
        <v>1108</v>
      </c>
      <c r="Q463">
        <v>0</v>
      </c>
      <c r="R463">
        <v>1108</v>
      </c>
    </row>
    <row r="464" spans="1:18" x14ac:dyDescent="0.3">
      <c r="A464" s="5">
        <v>45957</v>
      </c>
      <c r="B464" t="s">
        <v>659</v>
      </c>
      <c r="C464">
        <v>15</v>
      </c>
      <c r="D464">
        <v>36</v>
      </c>
      <c r="E464" s="1">
        <v>1.0833333333333333</v>
      </c>
      <c r="F464" t="s">
        <v>655</v>
      </c>
      <c r="G464">
        <v>0</v>
      </c>
      <c r="H464">
        <v>1081.3557000000001</v>
      </c>
      <c r="I464">
        <v>2.5</v>
      </c>
      <c r="J464">
        <v>1163.79</v>
      </c>
      <c r="K464">
        <v>1.9580666999707901</v>
      </c>
      <c r="L464">
        <v>1142.5</v>
      </c>
      <c r="M464" t="s">
        <v>27</v>
      </c>
      <c r="N464">
        <v>1</v>
      </c>
      <c r="O464">
        <v>1281</v>
      </c>
      <c r="P464">
        <v>1108</v>
      </c>
      <c r="Q464">
        <v>0</v>
      </c>
      <c r="R464">
        <v>1108</v>
      </c>
    </row>
    <row r="465" spans="1:18" x14ac:dyDescent="0.3">
      <c r="A465" s="5">
        <v>45957</v>
      </c>
      <c r="B465" t="s">
        <v>659</v>
      </c>
      <c r="C465">
        <v>15</v>
      </c>
      <c r="D465">
        <v>36</v>
      </c>
      <c r="E465" s="1">
        <v>1.0833333333333333</v>
      </c>
      <c r="F465" t="s">
        <v>655</v>
      </c>
      <c r="G465">
        <v>0</v>
      </c>
      <c r="H465">
        <v>1081.3557000000001</v>
      </c>
      <c r="I465">
        <v>2.5</v>
      </c>
      <c r="J465">
        <v>1163.79</v>
      </c>
      <c r="K465">
        <v>1.9580666999707901</v>
      </c>
      <c r="L465">
        <v>1142.5</v>
      </c>
      <c r="M465" t="s">
        <v>27</v>
      </c>
      <c r="N465">
        <v>1</v>
      </c>
      <c r="O465">
        <v>1281</v>
      </c>
      <c r="P465">
        <v>1108</v>
      </c>
      <c r="Q465">
        <v>0</v>
      </c>
      <c r="R465">
        <v>1108</v>
      </c>
    </row>
    <row r="466" spans="1:18" x14ac:dyDescent="0.3">
      <c r="A466" s="5">
        <v>45957</v>
      </c>
      <c r="B466" t="s">
        <v>659</v>
      </c>
      <c r="C466">
        <v>15</v>
      </c>
      <c r="D466">
        <v>36</v>
      </c>
      <c r="E466" s="1">
        <v>1.0833333333333333</v>
      </c>
      <c r="F466" t="s">
        <v>655</v>
      </c>
      <c r="G466">
        <v>0</v>
      </c>
      <c r="H466">
        <v>1081.3557000000001</v>
      </c>
      <c r="I466">
        <v>2.5</v>
      </c>
      <c r="J466">
        <v>1163.79</v>
      </c>
      <c r="K466">
        <v>1.9580666999707901</v>
      </c>
      <c r="L466">
        <v>1142.5</v>
      </c>
      <c r="M466" t="s">
        <v>27</v>
      </c>
      <c r="N466">
        <v>1</v>
      </c>
      <c r="O466">
        <v>1281</v>
      </c>
      <c r="P466">
        <v>1108</v>
      </c>
      <c r="Q466">
        <v>0</v>
      </c>
      <c r="R466">
        <v>1108</v>
      </c>
    </row>
    <row r="467" spans="1:18" x14ac:dyDescent="0.3">
      <c r="A467" s="5">
        <v>45957</v>
      </c>
      <c r="B467" t="s">
        <v>660</v>
      </c>
      <c r="C467">
        <v>14</v>
      </c>
      <c r="D467">
        <v>36</v>
      </c>
      <c r="E467" s="1">
        <v>1.0833333333333333</v>
      </c>
      <c r="F467" t="s">
        <v>655</v>
      </c>
      <c r="G467">
        <v>0</v>
      </c>
      <c r="H467">
        <v>1081.3734999999999</v>
      </c>
      <c r="I467">
        <v>2.5</v>
      </c>
      <c r="J467">
        <v>1163.79</v>
      </c>
      <c r="K467">
        <v>1.9580666999707901</v>
      </c>
      <c r="L467">
        <v>601.29</v>
      </c>
      <c r="M467" t="s">
        <v>20</v>
      </c>
      <c r="N467">
        <v>1</v>
      </c>
      <c r="O467">
        <v>1281</v>
      </c>
      <c r="P467">
        <v>1108</v>
      </c>
      <c r="Q467">
        <v>0.5</v>
      </c>
      <c r="R467">
        <v>554</v>
      </c>
    </row>
    <row r="468" spans="1:18" x14ac:dyDescent="0.3">
      <c r="A468" s="5">
        <v>45957</v>
      </c>
      <c r="B468" t="s">
        <v>660</v>
      </c>
      <c r="C468">
        <v>14</v>
      </c>
      <c r="D468">
        <v>36</v>
      </c>
      <c r="E468" s="1">
        <v>1.0833333333333333</v>
      </c>
      <c r="F468" t="s">
        <v>655</v>
      </c>
      <c r="G468">
        <v>0</v>
      </c>
      <c r="H468">
        <v>1081.3734999999999</v>
      </c>
      <c r="I468">
        <v>2.5</v>
      </c>
      <c r="J468">
        <v>1163.79</v>
      </c>
      <c r="K468">
        <v>1.9580666999707901</v>
      </c>
      <c r="L468">
        <v>601.29</v>
      </c>
      <c r="M468" t="s">
        <v>20</v>
      </c>
      <c r="N468">
        <v>1</v>
      </c>
      <c r="O468">
        <v>1281</v>
      </c>
      <c r="P468">
        <v>1108</v>
      </c>
      <c r="Q468">
        <v>0.5</v>
      </c>
      <c r="R468">
        <v>554</v>
      </c>
    </row>
    <row r="469" spans="1:18" x14ac:dyDescent="0.3">
      <c r="A469" s="5">
        <v>45957</v>
      </c>
      <c r="B469" t="s">
        <v>660</v>
      </c>
      <c r="C469">
        <v>14</v>
      </c>
      <c r="D469">
        <v>36</v>
      </c>
      <c r="E469" s="1">
        <v>1.0833333333333333</v>
      </c>
      <c r="F469" t="s">
        <v>655</v>
      </c>
      <c r="G469">
        <v>0</v>
      </c>
      <c r="H469">
        <v>1081.3734999999999</v>
      </c>
      <c r="I469">
        <v>2.5</v>
      </c>
      <c r="J469">
        <v>1163.79</v>
      </c>
      <c r="K469">
        <v>1.9580666999707901</v>
      </c>
      <c r="L469">
        <v>601.29</v>
      </c>
      <c r="M469" t="s">
        <v>20</v>
      </c>
      <c r="N469">
        <v>1</v>
      </c>
      <c r="O469">
        <v>1281</v>
      </c>
      <c r="P469">
        <v>1108</v>
      </c>
      <c r="Q469">
        <v>0.5</v>
      </c>
      <c r="R469">
        <v>554</v>
      </c>
    </row>
    <row r="470" spans="1:18" x14ac:dyDescent="0.3">
      <c r="A470" s="5">
        <v>45957</v>
      </c>
      <c r="B470" t="s">
        <v>660</v>
      </c>
      <c r="C470">
        <v>14</v>
      </c>
      <c r="D470">
        <v>36</v>
      </c>
      <c r="E470" s="1">
        <v>1.0833333333333333</v>
      </c>
      <c r="F470" t="s">
        <v>655</v>
      </c>
      <c r="G470">
        <v>0</v>
      </c>
      <c r="H470">
        <v>1081.3734999999999</v>
      </c>
      <c r="I470">
        <v>2.5</v>
      </c>
      <c r="J470">
        <v>1163.79</v>
      </c>
      <c r="K470">
        <v>1.9580666999707901</v>
      </c>
      <c r="L470">
        <v>601.29</v>
      </c>
      <c r="M470" t="s">
        <v>20</v>
      </c>
      <c r="N470">
        <v>1</v>
      </c>
      <c r="O470">
        <v>1281</v>
      </c>
      <c r="P470">
        <v>1108</v>
      </c>
      <c r="Q470">
        <v>0.5</v>
      </c>
      <c r="R470">
        <v>554</v>
      </c>
    </row>
    <row r="471" spans="1:18" x14ac:dyDescent="0.3">
      <c r="A471" s="5">
        <v>45957</v>
      </c>
      <c r="B471" t="s">
        <v>660</v>
      </c>
      <c r="C471">
        <v>14</v>
      </c>
      <c r="D471">
        <v>36</v>
      </c>
      <c r="E471" s="1">
        <v>1.0833333333333333</v>
      </c>
      <c r="F471" t="s">
        <v>655</v>
      </c>
      <c r="G471">
        <v>0</v>
      </c>
      <c r="H471">
        <v>1081.3734999999999</v>
      </c>
      <c r="I471">
        <v>2.5</v>
      </c>
      <c r="J471">
        <v>1163.79</v>
      </c>
      <c r="K471">
        <v>1.9580666999707901</v>
      </c>
      <c r="L471">
        <v>601.29</v>
      </c>
      <c r="M471" t="s">
        <v>20</v>
      </c>
      <c r="N471">
        <v>1</v>
      </c>
      <c r="O471">
        <v>1281</v>
      </c>
      <c r="P471">
        <v>1108</v>
      </c>
      <c r="Q471">
        <v>0.5</v>
      </c>
      <c r="R471">
        <v>554</v>
      </c>
    </row>
    <row r="472" spans="1:18" x14ac:dyDescent="0.3">
      <c r="A472" s="5">
        <v>45957</v>
      </c>
      <c r="B472" t="s">
        <v>660</v>
      </c>
      <c r="C472">
        <v>14</v>
      </c>
      <c r="D472">
        <v>36</v>
      </c>
      <c r="E472" s="1">
        <v>1.0833333333333333</v>
      </c>
      <c r="F472" t="s">
        <v>655</v>
      </c>
      <c r="G472">
        <v>0</v>
      </c>
      <c r="H472">
        <v>1081.3734999999999</v>
      </c>
      <c r="I472">
        <v>2.5</v>
      </c>
      <c r="J472">
        <v>1163.79</v>
      </c>
      <c r="K472">
        <v>1.9580666999707901</v>
      </c>
      <c r="L472">
        <v>601.29</v>
      </c>
      <c r="M472" t="s">
        <v>20</v>
      </c>
      <c r="N472">
        <v>1</v>
      </c>
      <c r="O472">
        <v>1281</v>
      </c>
      <c r="P472">
        <v>1108</v>
      </c>
      <c r="Q472">
        <v>0.5</v>
      </c>
      <c r="R472">
        <v>554</v>
      </c>
    </row>
    <row r="473" spans="1:18" x14ac:dyDescent="0.3">
      <c r="A473" s="5">
        <v>45957</v>
      </c>
      <c r="B473" t="s">
        <v>660</v>
      </c>
      <c r="C473">
        <v>14</v>
      </c>
      <c r="D473">
        <v>36</v>
      </c>
      <c r="E473" s="1">
        <v>1.0833333333333333</v>
      </c>
      <c r="F473" t="s">
        <v>655</v>
      </c>
      <c r="G473">
        <v>0</v>
      </c>
      <c r="H473">
        <v>1081.3734999999999</v>
      </c>
      <c r="I473">
        <v>2.5</v>
      </c>
      <c r="J473">
        <v>1163.79</v>
      </c>
      <c r="K473">
        <v>1.9580666999707901</v>
      </c>
      <c r="L473">
        <v>601.29</v>
      </c>
      <c r="M473" t="s">
        <v>20</v>
      </c>
      <c r="N473">
        <v>1</v>
      </c>
      <c r="O473">
        <v>1281</v>
      </c>
      <c r="P473">
        <v>1108</v>
      </c>
      <c r="Q473">
        <v>0.5</v>
      </c>
      <c r="R473">
        <v>554</v>
      </c>
    </row>
    <row r="474" spans="1:18" x14ac:dyDescent="0.3">
      <c r="A474" s="5">
        <v>45957</v>
      </c>
      <c r="B474" t="s">
        <v>661</v>
      </c>
      <c r="C474">
        <v>9</v>
      </c>
      <c r="D474">
        <v>36</v>
      </c>
      <c r="E474" s="1">
        <v>1.0833333333333333</v>
      </c>
      <c r="F474" t="s">
        <v>655</v>
      </c>
      <c r="G474">
        <v>0</v>
      </c>
      <c r="H474">
        <v>1081.4634000000001</v>
      </c>
      <c r="I474">
        <v>2.5</v>
      </c>
      <c r="J474">
        <v>1163.79</v>
      </c>
      <c r="K474">
        <v>1.9580666999707901</v>
      </c>
      <c r="L474">
        <v>601.29</v>
      </c>
      <c r="M474" t="s">
        <v>20</v>
      </c>
      <c r="N474">
        <v>1</v>
      </c>
      <c r="O474">
        <v>1282</v>
      </c>
      <c r="P474">
        <v>1108</v>
      </c>
      <c r="Q474">
        <v>0.5</v>
      </c>
      <c r="R474">
        <v>554</v>
      </c>
    </row>
    <row r="475" spans="1:18" x14ac:dyDescent="0.3">
      <c r="A475" s="5">
        <v>45957</v>
      </c>
      <c r="B475" t="s">
        <v>661</v>
      </c>
      <c r="C475">
        <v>9</v>
      </c>
      <c r="D475">
        <v>36</v>
      </c>
      <c r="E475" s="1">
        <v>1.0833333333333333</v>
      </c>
      <c r="F475" t="s">
        <v>655</v>
      </c>
      <c r="G475">
        <v>0</v>
      </c>
      <c r="H475">
        <v>1081.4634000000001</v>
      </c>
      <c r="I475">
        <v>2.5</v>
      </c>
      <c r="J475">
        <v>1163.79</v>
      </c>
      <c r="K475">
        <v>1.9580666999707901</v>
      </c>
      <c r="L475">
        <v>601.29</v>
      </c>
      <c r="M475" t="s">
        <v>20</v>
      </c>
      <c r="N475">
        <v>1</v>
      </c>
      <c r="O475">
        <v>1282</v>
      </c>
      <c r="P475">
        <v>1108</v>
      </c>
      <c r="Q475">
        <v>0.5</v>
      </c>
      <c r="R475">
        <v>554</v>
      </c>
    </row>
    <row r="476" spans="1:18" x14ac:dyDescent="0.3">
      <c r="A476" s="5">
        <v>45957</v>
      </c>
      <c r="B476" t="s">
        <v>661</v>
      </c>
      <c r="C476">
        <v>9</v>
      </c>
      <c r="D476">
        <v>36</v>
      </c>
      <c r="E476" s="1">
        <v>1.0833333333333333</v>
      </c>
      <c r="F476" t="s">
        <v>655</v>
      </c>
      <c r="G476">
        <v>0</v>
      </c>
      <c r="H476">
        <v>1081.4634000000001</v>
      </c>
      <c r="I476">
        <v>2.5</v>
      </c>
      <c r="J476">
        <v>1163.79</v>
      </c>
      <c r="K476">
        <v>1.9580666999707901</v>
      </c>
      <c r="L476">
        <v>601.29</v>
      </c>
      <c r="M476" t="s">
        <v>20</v>
      </c>
      <c r="N476">
        <v>1</v>
      </c>
      <c r="O476">
        <v>1282</v>
      </c>
      <c r="P476">
        <v>1108</v>
      </c>
      <c r="Q476">
        <v>0.5</v>
      </c>
      <c r="R476">
        <v>554</v>
      </c>
    </row>
    <row r="477" spans="1:18" x14ac:dyDescent="0.3">
      <c r="A477" s="5">
        <v>45957</v>
      </c>
      <c r="B477" t="s">
        <v>661</v>
      </c>
      <c r="C477">
        <v>9</v>
      </c>
      <c r="D477">
        <v>36</v>
      </c>
      <c r="E477" s="1">
        <v>1.0833333333333333</v>
      </c>
      <c r="F477" t="s">
        <v>655</v>
      </c>
      <c r="G477">
        <v>0</v>
      </c>
      <c r="H477">
        <v>1081.4634000000001</v>
      </c>
      <c r="I477">
        <v>2.5</v>
      </c>
      <c r="J477">
        <v>1163.79</v>
      </c>
      <c r="K477">
        <v>1.9580666999707901</v>
      </c>
      <c r="L477">
        <v>601.29</v>
      </c>
      <c r="M477" t="s">
        <v>20</v>
      </c>
      <c r="N477">
        <v>1</v>
      </c>
      <c r="O477">
        <v>1282</v>
      </c>
      <c r="P477">
        <v>1108</v>
      </c>
      <c r="Q477">
        <v>0.5</v>
      </c>
      <c r="R477">
        <v>554</v>
      </c>
    </row>
    <row r="478" spans="1:18" x14ac:dyDescent="0.3">
      <c r="A478" s="5">
        <v>45957</v>
      </c>
      <c r="B478" t="s">
        <v>661</v>
      </c>
      <c r="C478">
        <v>9</v>
      </c>
      <c r="D478">
        <v>36</v>
      </c>
      <c r="E478" s="1">
        <v>1.0833333333333333</v>
      </c>
      <c r="F478" t="s">
        <v>655</v>
      </c>
      <c r="G478">
        <v>0</v>
      </c>
      <c r="H478">
        <v>1081.4634000000001</v>
      </c>
      <c r="I478">
        <v>2.5</v>
      </c>
      <c r="J478">
        <v>1163.79</v>
      </c>
      <c r="K478">
        <v>1.9580666999707901</v>
      </c>
      <c r="L478">
        <v>601.29</v>
      </c>
      <c r="M478" t="s">
        <v>20</v>
      </c>
      <c r="N478">
        <v>1</v>
      </c>
      <c r="O478">
        <v>1282</v>
      </c>
      <c r="P478">
        <v>1108</v>
      </c>
      <c r="Q478">
        <v>0.5</v>
      </c>
      <c r="R478">
        <v>554</v>
      </c>
    </row>
    <row r="479" spans="1:18" x14ac:dyDescent="0.3">
      <c r="A479" s="5">
        <v>45957</v>
      </c>
      <c r="B479" t="s">
        <v>661</v>
      </c>
      <c r="C479">
        <v>9</v>
      </c>
      <c r="D479">
        <v>36</v>
      </c>
      <c r="E479" s="1">
        <v>1.0833333333333333</v>
      </c>
      <c r="F479" t="s">
        <v>655</v>
      </c>
      <c r="G479">
        <v>0</v>
      </c>
      <c r="H479">
        <v>1081.4634000000001</v>
      </c>
      <c r="I479">
        <v>2.5</v>
      </c>
      <c r="J479">
        <v>1163.79</v>
      </c>
      <c r="K479">
        <v>1.9580666999707901</v>
      </c>
      <c r="L479">
        <v>601.29</v>
      </c>
      <c r="M479" t="s">
        <v>20</v>
      </c>
      <c r="N479">
        <v>1</v>
      </c>
      <c r="O479">
        <v>1282</v>
      </c>
      <c r="P479">
        <v>1108</v>
      </c>
      <c r="Q479">
        <v>0.5</v>
      </c>
      <c r="R479">
        <v>554</v>
      </c>
    </row>
    <row r="480" spans="1:18" x14ac:dyDescent="0.3">
      <c r="A480" s="5">
        <v>45957</v>
      </c>
      <c r="B480" t="s">
        <v>661</v>
      </c>
      <c r="C480">
        <v>9</v>
      </c>
      <c r="D480">
        <v>36</v>
      </c>
      <c r="E480" s="1">
        <v>1.0833333333333333</v>
      </c>
      <c r="F480" t="s">
        <v>655</v>
      </c>
      <c r="G480">
        <v>0</v>
      </c>
      <c r="H480">
        <v>1081.4634000000001</v>
      </c>
      <c r="I480">
        <v>2.5</v>
      </c>
      <c r="J480">
        <v>1163.79</v>
      </c>
      <c r="K480">
        <v>1.9580666999707901</v>
      </c>
      <c r="L480">
        <v>601.29</v>
      </c>
      <c r="M480" t="s">
        <v>20</v>
      </c>
      <c r="N480">
        <v>1</v>
      </c>
      <c r="O480">
        <v>1282</v>
      </c>
      <c r="P480">
        <v>1108</v>
      </c>
      <c r="Q480">
        <v>0.5</v>
      </c>
      <c r="R480">
        <v>554</v>
      </c>
    </row>
    <row r="481" spans="1:18" x14ac:dyDescent="0.3">
      <c r="A481" s="5">
        <v>45957</v>
      </c>
      <c r="B481" t="s">
        <v>662</v>
      </c>
      <c r="C481">
        <v>8</v>
      </c>
      <c r="D481">
        <v>36</v>
      </c>
      <c r="E481" s="1">
        <v>1.9993055555555554</v>
      </c>
      <c r="F481" t="s">
        <v>663</v>
      </c>
      <c r="G481">
        <v>5</v>
      </c>
      <c r="H481">
        <v>1081.3163</v>
      </c>
      <c r="I481">
        <v>0</v>
      </c>
      <c r="J481">
        <v>1163.79</v>
      </c>
      <c r="K481">
        <v>0</v>
      </c>
      <c r="L481">
        <v>1158.79</v>
      </c>
      <c r="M481" t="s">
        <v>27</v>
      </c>
      <c r="N481">
        <v>1</v>
      </c>
      <c r="O481">
        <v>1254</v>
      </c>
      <c r="P481">
        <v>1081</v>
      </c>
      <c r="Q481">
        <v>0</v>
      </c>
      <c r="R481">
        <v>1081</v>
      </c>
    </row>
    <row r="482" spans="1:18" x14ac:dyDescent="0.3">
      <c r="A482" s="5">
        <v>45957</v>
      </c>
      <c r="B482" t="s">
        <v>664</v>
      </c>
      <c r="C482">
        <v>26</v>
      </c>
      <c r="D482">
        <v>36</v>
      </c>
      <c r="E482" s="1">
        <v>1.25</v>
      </c>
      <c r="F482" t="s">
        <v>665</v>
      </c>
      <c r="G482">
        <v>0</v>
      </c>
      <c r="H482">
        <v>1081.0233000000001</v>
      </c>
      <c r="I482">
        <v>2.5</v>
      </c>
      <c r="J482">
        <v>1163.79</v>
      </c>
      <c r="K482">
        <v>1.9580666999707901</v>
      </c>
      <c r="L482">
        <v>1142.5</v>
      </c>
      <c r="M482" t="s">
        <v>27</v>
      </c>
      <c r="N482">
        <v>1</v>
      </c>
      <c r="O482">
        <v>1281</v>
      </c>
      <c r="P482">
        <v>1108</v>
      </c>
      <c r="Q482">
        <v>0</v>
      </c>
      <c r="R482">
        <v>1108</v>
      </c>
    </row>
    <row r="483" spans="1:18" x14ac:dyDescent="0.3">
      <c r="A483" s="5">
        <v>45957</v>
      </c>
      <c r="B483" t="s">
        <v>666</v>
      </c>
      <c r="C483">
        <v>18</v>
      </c>
      <c r="D483">
        <v>36</v>
      </c>
      <c r="E483" s="1">
        <v>1.0833333333333333</v>
      </c>
      <c r="F483" t="s">
        <v>667</v>
      </c>
      <c r="G483">
        <v>4</v>
      </c>
      <c r="H483">
        <v>1081.2882999999999</v>
      </c>
      <c r="I483">
        <v>7</v>
      </c>
      <c r="J483">
        <v>1163.79</v>
      </c>
      <c r="K483">
        <v>5.4825867599182097</v>
      </c>
      <c r="L483">
        <v>1202.5899999999999</v>
      </c>
      <c r="M483" t="s">
        <v>27</v>
      </c>
      <c r="N483">
        <v>1</v>
      </c>
      <c r="O483">
        <v>1330</v>
      </c>
      <c r="P483">
        <v>1157</v>
      </c>
      <c r="Q483">
        <v>0</v>
      </c>
      <c r="R483">
        <v>1157</v>
      </c>
    </row>
    <row r="484" spans="1:18" x14ac:dyDescent="0.3">
      <c r="A484" s="5">
        <v>45957</v>
      </c>
      <c r="B484" t="s">
        <v>668</v>
      </c>
      <c r="C484">
        <v>6</v>
      </c>
      <c r="D484">
        <v>36</v>
      </c>
      <c r="E484" s="1">
        <v>1.25</v>
      </c>
      <c r="F484" t="s">
        <v>669</v>
      </c>
      <c r="G484">
        <v>0</v>
      </c>
      <c r="H484">
        <v>1081.5145</v>
      </c>
      <c r="I484">
        <v>2.5</v>
      </c>
      <c r="J484">
        <v>1163.79</v>
      </c>
      <c r="K484">
        <v>1.9580666999707901</v>
      </c>
      <c r="L484">
        <v>1142.5</v>
      </c>
      <c r="M484" t="s">
        <v>27</v>
      </c>
      <c r="N484">
        <v>1</v>
      </c>
      <c r="O484">
        <v>1282</v>
      </c>
      <c r="P484">
        <v>1109</v>
      </c>
      <c r="Q484">
        <v>0</v>
      </c>
      <c r="R484">
        <v>1109</v>
      </c>
    </row>
    <row r="485" spans="1:18" x14ac:dyDescent="0.3">
      <c r="A485" s="5">
        <v>45957</v>
      </c>
      <c r="B485" t="s">
        <v>670</v>
      </c>
      <c r="C485">
        <v>5</v>
      </c>
      <c r="D485">
        <v>35</v>
      </c>
      <c r="E485" s="1">
        <v>1.9652777777777777</v>
      </c>
      <c r="F485" t="s">
        <v>671</v>
      </c>
      <c r="G485">
        <v>5</v>
      </c>
      <c r="H485">
        <v>1079.3253</v>
      </c>
      <c r="I485">
        <v>0</v>
      </c>
      <c r="J485">
        <v>1163.79</v>
      </c>
      <c r="K485">
        <v>0</v>
      </c>
      <c r="L485">
        <v>601.29</v>
      </c>
      <c r="M485" t="s">
        <v>77</v>
      </c>
      <c r="N485">
        <v>1</v>
      </c>
      <c r="O485">
        <v>1252</v>
      </c>
      <c r="P485">
        <v>1079</v>
      </c>
      <c r="Q485">
        <v>0.5</v>
      </c>
      <c r="R485">
        <v>539.5</v>
      </c>
    </row>
    <row r="486" spans="1:18" x14ac:dyDescent="0.3">
      <c r="A486" s="5">
        <v>45957</v>
      </c>
      <c r="B486" t="s">
        <v>672</v>
      </c>
      <c r="C486">
        <v>8</v>
      </c>
      <c r="D486">
        <v>35</v>
      </c>
      <c r="E486" s="1">
        <v>1.9652777777777777</v>
      </c>
      <c r="F486" t="s">
        <v>671</v>
      </c>
      <c r="G486">
        <v>5</v>
      </c>
      <c r="H486">
        <v>1079.2714000000001</v>
      </c>
      <c r="I486">
        <v>0</v>
      </c>
      <c r="J486">
        <v>1163.79</v>
      </c>
      <c r="K486">
        <v>0</v>
      </c>
      <c r="L486">
        <v>601.29</v>
      </c>
      <c r="M486" t="s">
        <v>77</v>
      </c>
      <c r="N486">
        <v>1</v>
      </c>
      <c r="O486">
        <v>1252</v>
      </c>
      <c r="P486">
        <v>1079</v>
      </c>
      <c r="Q486">
        <v>0.5</v>
      </c>
      <c r="R486">
        <v>539.5</v>
      </c>
    </row>
    <row r="487" spans="1:18" x14ac:dyDescent="0.3">
      <c r="A487" s="5">
        <v>45957</v>
      </c>
      <c r="B487" t="s">
        <v>673</v>
      </c>
      <c r="C487">
        <v>11</v>
      </c>
      <c r="D487">
        <v>35</v>
      </c>
      <c r="E487" s="1">
        <v>1.9652777777777777</v>
      </c>
      <c r="F487" t="s">
        <v>674</v>
      </c>
      <c r="G487">
        <v>1</v>
      </c>
      <c r="H487">
        <v>1081.2491</v>
      </c>
      <c r="I487">
        <v>8.5</v>
      </c>
      <c r="J487">
        <v>1163.79</v>
      </c>
      <c r="K487">
        <v>6.6574267799006801</v>
      </c>
      <c r="L487">
        <v>1219.83</v>
      </c>
      <c r="M487" t="s">
        <v>27</v>
      </c>
      <c r="N487">
        <v>1</v>
      </c>
      <c r="O487">
        <v>1346</v>
      </c>
      <c r="P487">
        <v>1173</v>
      </c>
      <c r="Q487">
        <v>0</v>
      </c>
      <c r="R487">
        <v>1173</v>
      </c>
    </row>
    <row r="488" spans="1:18" x14ac:dyDescent="0.3">
      <c r="A488" s="5">
        <v>45957</v>
      </c>
      <c r="B488" t="s">
        <v>675</v>
      </c>
      <c r="C488">
        <v>22</v>
      </c>
      <c r="D488">
        <v>35</v>
      </c>
      <c r="E488" s="1">
        <v>1.9652777777777777</v>
      </c>
      <c r="F488" t="s">
        <v>676</v>
      </c>
      <c r="G488">
        <v>1</v>
      </c>
      <c r="H488">
        <v>1081.0514000000001</v>
      </c>
      <c r="I488">
        <v>8.5</v>
      </c>
      <c r="J488">
        <v>1163.79</v>
      </c>
      <c r="K488">
        <v>6.6574267799006801</v>
      </c>
      <c r="L488">
        <v>1219.83</v>
      </c>
      <c r="M488" t="s">
        <v>27</v>
      </c>
      <c r="N488">
        <v>1</v>
      </c>
      <c r="O488">
        <v>1346</v>
      </c>
      <c r="P488">
        <v>1173</v>
      </c>
      <c r="Q488">
        <v>0</v>
      </c>
      <c r="R488">
        <v>1173</v>
      </c>
    </row>
    <row r="489" spans="1:18" x14ac:dyDescent="0.3">
      <c r="A489" s="5">
        <v>45957</v>
      </c>
      <c r="B489" t="s">
        <v>677</v>
      </c>
      <c r="C489">
        <v>28</v>
      </c>
      <c r="D489">
        <v>35</v>
      </c>
      <c r="E489" s="1">
        <v>1.9652777777777777</v>
      </c>
      <c r="F489" t="s">
        <v>678</v>
      </c>
      <c r="G489">
        <v>5</v>
      </c>
      <c r="H489">
        <v>1080.8235</v>
      </c>
      <c r="I489">
        <v>0</v>
      </c>
      <c r="J489">
        <v>1163.79</v>
      </c>
      <c r="K489">
        <v>0</v>
      </c>
      <c r="L489">
        <v>1158.79</v>
      </c>
      <c r="M489" t="s">
        <v>27</v>
      </c>
      <c r="N489">
        <v>1</v>
      </c>
      <c r="O489">
        <v>1254</v>
      </c>
      <c r="P489">
        <v>1081</v>
      </c>
      <c r="Q489">
        <v>0</v>
      </c>
      <c r="R489">
        <v>1081</v>
      </c>
    </row>
    <row r="490" spans="1:18" x14ac:dyDescent="0.3">
      <c r="A490" s="5">
        <v>45957</v>
      </c>
      <c r="B490" t="s">
        <v>679</v>
      </c>
      <c r="C490">
        <v>7</v>
      </c>
      <c r="D490">
        <v>35</v>
      </c>
      <c r="E490" s="1">
        <v>1.25</v>
      </c>
      <c r="F490" t="s">
        <v>680</v>
      </c>
      <c r="G490">
        <v>4</v>
      </c>
      <c r="H490">
        <v>1081.4719</v>
      </c>
      <c r="I490">
        <v>7</v>
      </c>
      <c r="J490">
        <v>1163.79</v>
      </c>
      <c r="K490">
        <v>5.4825867599182097</v>
      </c>
      <c r="L490">
        <v>1038.79</v>
      </c>
      <c r="M490" t="s">
        <v>27</v>
      </c>
      <c r="N490">
        <v>1</v>
      </c>
      <c r="O490">
        <v>1330</v>
      </c>
      <c r="P490">
        <v>1157</v>
      </c>
      <c r="Q490">
        <v>0</v>
      </c>
      <c r="R490">
        <v>1157</v>
      </c>
    </row>
    <row r="491" spans="1:18" x14ac:dyDescent="0.3">
      <c r="A491" s="5">
        <v>45957</v>
      </c>
      <c r="B491" t="s">
        <v>681</v>
      </c>
      <c r="C491">
        <v>21</v>
      </c>
      <c r="D491">
        <v>36</v>
      </c>
      <c r="E491" s="1">
        <v>1.0833333333333333</v>
      </c>
      <c r="F491" t="s">
        <v>682</v>
      </c>
      <c r="G491">
        <v>0</v>
      </c>
      <c r="H491">
        <v>1081.2084</v>
      </c>
      <c r="I491">
        <v>2.5</v>
      </c>
      <c r="J491">
        <v>1163.79</v>
      </c>
      <c r="K491">
        <v>1.9580666999707901</v>
      </c>
      <c r="L491">
        <v>601.29</v>
      </c>
      <c r="M491" t="s">
        <v>77</v>
      </c>
      <c r="N491">
        <v>1</v>
      </c>
      <c r="O491">
        <v>1281</v>
      </c>
      <c r="P491">
        <v>1108</v>
      </c>
      <c r="Q491">
        <v>0.5</v>
      </c>
      <c r="R491">
        <v>554</v>
      </c>
    </row>
    <row r="492" spans="1:18" x14ac:dyDescent="0.3">
      <c r="A492" s="5">
        <v>45957</v>
      </c>
      <c r="B492" t="s">
        <v>683</v>
      </c>
      <c r="C492">
        <v>7</v>
      </c>
      <c r="D492">
        <v>36</v>
      </c>
      <c r="E492" s="1">
        <v>1.25</v>
      </c>
      <c r="F492" t="s">
        <v>684</v>
      </c>
      <c r="G492">
        <v>0</v>
      </c>
      <c r="H492">
        <v>1081.6469999999999</v>
      </c>
      <c r="I492">
        <v>2.5</v>
      </c>
      <c r="J492">
        <v>1163.79</v>
      </c>
      <c r="K492">
        <v>1.9580666999707901</v>
      </c>
      <c r="L492">
        <v>1142.5</v>
      </c>
      <c r="M492" t="s">
        <v>27</v>
      </c>
      <c r="N492">
        <v>1</v>
      </c>
      <c r="O492">
        <v>1282</v>
      </c>
      <c r="P492">
        <v>1109</v>
      </c>
      <c r="Q492">
        <v>0</v>
      </c>
      <c r="R492">
        <v>1109</v>
      </c>
    </row>
    <row r="493" spans="1:18" x14ac:dyDescent="0.3">
      <c r="A493" s="5">
        <v>45957</v>
      </c>
      <c r="B493" t="s">
        <v>685</v>
      </c>
      <c r="C493">
        <v>10</v>
      </c>
      <c r="D493">
        <v>36</v>
      </c>
      <c r="E493" s="1">
        <v>1.9993055555555554</v>
      </c>
      <c r="F493" t="s">
        <v>686</v>
      </c>
      <c r="G493">
        <v>4</v>
      </c>
      <c r="H493">
        <v>1081.1748</v>
      </c>
      <c r="I493">
        <v>7</v>
      </c>
      <c r="J493">
        <v>1163.79</v>
      </c>
      <c r="K493">
        <v>5.4825867599182097</v>
      </c>
      <c r="L493">
        <v>1082.33</v>
      </c>
      <c r="M493" t="s">
        <v>27</v>
      </c>
      <c r="N493">
        <v>1</v>
      </c>
      <c r="O493">
        <v>1330</v>
      </c>
      <c r="P493">
        <v>1157</v>
      </c>
      <c r="Q493">
        <v>0</v>
      </c>
      <c r="R493">
        <v>1157</v>
      </c>
    </row>
    <row r="494" spans="1:18" x14ac:dyDescent="0.3">
      <c r="A494" s="5">
        <v>45957</v>
      </c>
      <c r="B494" t="s">
        <v>685</v>
      </c>
      <c r="C494">
        <v>10</v>
      </c>
      <c r="D494">
        <v>36</v>
      </c>
      <c r="E494" s="1">
        <v>1.9993055555555554</v>
      </c>
      <c r="F494" t="s">
        <v>686</v>
      </c>
      <c r="G494">
        <v>4</v>
      </c>
      <c r="H494">
        <v>1081.1748</v>
      </c>
      <c r="I494">
        <v>7</v>
      </c>
      <c r="J494">
        <v>1163.79</v>
      </c>
      <c r="K494">
        <v>5.4825867599182097</v>
      </c>
      <c r="L494">
        <v>1082.33</v>
      </c>
      <c r="M494" t="s">
        <v>27</v>
      </c>
      <c r="N494">
        <v>1</v>
      </c>
      <c r="O494">
        <v>1330</v>
      </c>
      <c r="P494">
        <v>1157</v>
      </c>
      <c r="Q494">
        <v>0</v>
      </c>
      <c r="R494">
        <v>1157</v>
      </c>
    </row>
    <row r="495" spans="1:18" x14ac:dyDescent="0.3">
      <c r="A495" s="5">
        <v>45957</v>
      </c>
      <c r="B495" t="s">
        <v>685</v>
      </c>
      <c r="C495">
        <v>10</v>
      </c>
      <c r="D495">
        <v>36</v>
      </c>
      <c r="E495" s="1">
        <v>1.9993055555555554</v>
      </c>
      <c r="F495" t="s">
        <v>686</v>
      </c>
      <c r="G495">
        <v>4</v>
      </c>
      <c r="H495">
        <v>1081.1748</v>
      </c>
      <c r="I495">
        <v>7</v>
      </c>
      <c r="J495">
        <v>1163.79</v>
      </c>
      <c r="K495">
        <v>5.4825867599182097</v>
      </c>
      <c r="L495">
        <v>1082.33</v>
      </c>
      <c r="M495" t="s">
        <v>27</v>
      </c>
      <c r="N495">
        <v>1</v>
      </c>
      <c r="O495">
        <v>1330</v>
      </c>
      <c r="P495">
        <v>1157</v>
      </c>
      <c r="Q495">
        <v>0</v>
      </c>
      <c r="R495">
        <v>1157</v>
      </c>
    </row>
    <row r="496" spans="1:18" x14ac:dyDescent="0.3">
      <c r="A496" s="5">
        <v>45957</v>
      </c>
      <c r="B496" t="s">
        <v>687</v>
      </c>
      <c r="C496">
        <v>13</v>
      </c>
      <c r="D496">
        <v>36</v>
      </c>
      <c r="E496" s="1">
        <v>1.9993055555555554</v>
      </c>
      <c r="F496" t="s">
        <v>686</v>
      </c>
      <c r="G496">
        <v>4</v>
      </c>
      <c r="H496">
        <v>1081.1210000000001</v>
      </c>
      <c r="I496">
        <v>7</v>
      </c>
      <c r="J496">
        <v>1163.79</v>
      </c>
      <c r="K496">
        <v>5.4825867599182097</v>
      </c>
      <c r="L496">
        <v>1082.33</v>
      </c>
      <c r="M496" t="s">
        <v>27</v>
      </c>
      <c r="N496">
        <v>1</v>
      </c>
      <c r="O496">
        <v>1330</v>
      </c>
      <c r="P496">
        <v>1157</v>
      </c>
      <c r="Q496">
        <v>0</v>
      </c>
      <c r="R496">
        <v>1157</v>
      </c>
    </row>
    <row r="497" spans="1:18" x14ac:dyDescent="0.3">
      <c r="A497" s="5">
        <v>45957</v>
      </c>
      <c r="B497" t="s">
        <v>687</v>
      </c>
      <c r="C497">
        <v>13</v>
      </c>
      <c r="D497">
        <v>36</v>
      </c>
      <c r="E497" s="1">
        <v>1.9993055555555554</v>
      </c>
      <c r="F497" t="s">
        <v>686</v>
      </c>
      <c r="G497">
        <v>4</v>
      </c>
      <c r="H497">
        <v>1081.1210000000001</v>
      </c>
      <c r="I497">
        <v>7</v>
      </c>
      <c r="J497">
        <v>1163.79</v>
      </c>
      <c r="K497">
        <v>5.4825867599182097</v>
      </c>
      <c r="L497">
        <v>1082.33</v>
      </c>
      <c r="M497" t="s">
        <v>27</v>
      </c>
      <c r="N497">
        <v>1</v>
      </c>
      <c r="O497">
        <v>1330</v>
      </c>
      <c r="P497">
        <v>1157</v>
      </c>
      <c r="Q497">
        <v>0</v>
      </c>
      <c r="R497">
        <v>1157</v>
      </c>
    </row>
    <row r="498" spans="1:18" x14ac:dyDescent="0.3">
      <c r="A498" s="5">
        <v>45957</v>
      </c>
      <c r="B498" t="s">
        <v>687</v>
      </c>
      <c r="C498">
        <v>13</v>
      </c>
      <c r="D498">
        <v>36</v>
      </c>
      <c r="E498" s="1">
        <v>1.9993055555555554</v>
      </c>
      <c r="F498" t="s">
        <v>686</v>
      </c>
      <c r="G498">
        <v>4</v>
      </c>
      <c r="H498">
        <v>1081.1210000000001</v>
      </c>
      <c r="I498">
        <v>7</v>
      </c>
      <c r="J498">
        <v>1163.79</v>
      </c>
      <c r="K498">
        <v>5.4825867599182097</v>
      </c>
      <c r="L498">
        <v>1082.33</v>
      </c>
      <c r="M498" t="s">
        <v>27</v>
      </c>
      <c r="N498">
        <v>1</v>
      </c>
      <c r="O498">
        <v>1330</v>
      </c>
      <c r="P498">
        <v>1157</v>
      </c>
      <c r="Q498">
        <v>0</v>
      </c>
      <c r="R498">
        <v>1157</v>
      </c>
    </row>
    <row r="499" spans="1:18" x14ac:dyDescent="0.3">
      <c r="A499" s="5">
        <v>45957</v>
      </c>
      <c r="B499" t="s">
        <v>688</v>
      </c>
      <c r="C499">
        <v>7</v>
      </c>
      <c r="D499">
        <v>36</v>
      </c>
      <c r="E499" s="1">
        <v>1.9993055555555554</v>
      </c>
      <c r="F499" t="s">
        <v>686</v>
      </c>
      <c r="G499">
        <v>4</v>
      </c>
      <c r="H499">
        <v>1081.2288000000001</v>
      </c>
      <c r="I499">
        <v>7</v>
      </c>
      <c r="J499">
        <v>1163.79</v>
      </c>
      <c r="K499">
        <v>5.4825867599182097</v>
      </c>
      <c r="L499">
        <v>1082.33</v>
      </c>
      <c r="M499" t="s">
        <v>27</v>
      </c>
      <c r="N499">
        <v>1</v>
      </c>
      <c r="O499">
        <v>1330</v>
      </c>
      <c r="P499">
        <v>1157</v>
      </c>
      <c r="Q499">
        <v>0</v>
      </c>
      <c r="R499">
        <v>1157</v>
      </c>
    </row>
    <row r="500" spans="1:18" x14ac:dyDescent="0.3">
      <c r="A500" s="5">
        <v>45957</v>
      </c>
      <c r="B500" t="s">
        <v>688</v>
      </c>
      <c r="C500">
        <v>7</v>
      </c>
      <c r="D500">
        <v>36</v>
      </c>
      <c r="E500" s="1">
        <v>1.9993055555555554</v>
      </c>
      <c r="F500" t="s">
        <v>686</v>
      </c>
      <c r="G500">
        <v>4</v>
      </c>
      <c r="H500">
        <v>1081.2288000000001</v>
      </c>
      <c r="I500">
        <v>7</v>
      </c>
      <c r="J500">
        <v>1163.79</v>
      </c>
      <c r="K500">
        <v>5.4825867599182097</v>
      </c>
      <c r="L500">
        <v>1082.33</v>
      </c>
      <c r="M500" t="s">
        <v>27</v>
      </c>
      <c r="N500">
        <v>1</v>
      </c>
      <c r="O500">
        <v>1330</v>
      </c>
      <c r="P500">
        <v>1157</v>
      </c>
      <c r="Q500">
        <v>0</v>
      </c>
      <c r="R500">
        <v>1157</v>
      </c>
    </row>
    <row r="501" spans="1:18" x14ac:dyDescent="0.3">
      <c r="A501" s="5">
        <v>45957</v>
      </c>
      <c r="B501" t="s">
        <v>688</v>
      </c>
      <c r="C501">
        <v>7</v>
      </c>
      <c r="D501">
        <v>36</v>
      </c>
      <c r="E501" s="1">
        <v>1.9993055555555554</v>
      </c>
      <c r="F501" t="s">
        <v>686</v>
      </c>
      <c r="G501">
        <v>4</v>
      </c>
      <c r="H501">
        <v>1081.2288000000001</v>
      </c>
      <c r="I501">
        <v>7</v>
      </c>
      <c r="J501">
        <v>1163.79</v>
      </c>
      <c r="K501">
        <v>5.4825867599182097</v>
      </c>
      <c r="L501">
        <v>1082.33</v>
      </c>
      <c r="M501" t="s">
        <v>27</v>
      </c>
      <c r="N501">
        <v>1</v>
      </c>
      <c r="O501">
        <v>1330</v>
      </c>
      <c r="P501">
        <v>1157</v>
      </c>
      <c r="Q501">
        <v>0</v>
      </c>
      <c r="R501">
        <v>1157</v>
      </c>
    </row>
    <row r="502" spans="1:18" x14ac:dyDescent="0.3">
      <c r="A502" s="5">
        <v>45957</v>
      </c>
      <c r="B502" t="s">
        <v>689</v>
      </c>
      <c r="C502">
        <v>7</v>
      </c>
      <c r="D502">
        <v>36</v>
      </c>
      <c r="E502" s="1">
        <v>1.9993055555555554</v>
      </c>
      <c r="F502" t="s">
        <v>690</v>
      </c>
      <c r="G502">
        <v>1</v>
      </c>
      <c r="H502">
        <v>1081.3202000000001</v>
      </c>
      <c r="I502">
        <v>8.5</v>
      </c>
      <c r="J502">
        <v>1163.79</v>
      </c>
      <c r="K502">
        <v>6.6574267799006801</v>
      </c>
      <c r="L502">
        <v>1219.83</v>
      </c>
      <c r="M502" t="s">
        <v>27</v>
      </c>
      <c r="N502">
        <v>1</v>
      </c>
      <c r="O502">
        <v>1346</v>
      </c>
      <c r="P502">
        <v>1173</v>
      </c>
      <c r="Q502">
        <v>0</v>
      </c>
      <c r="R502">
        <v>1173</v>
      </c>
    </row>
    <row r="503" spans="1:18" x14ac:dyDescent="0.3">
      <c r="A503" s="5">
        <v>45957</v>
      </c>
      <c r="B503" t="s">
        <v>691</v>
      </c>
      <c r="C503">
        <v>5</v>
      </c>
      <c r="D503">
        <v>36</v>
      </c>
      <c r="E503" s="1">
        <v>1.9993055555555554</v>
      </c>
      <c r="F503" t="s">
        <v>692</v>
      </c>
      <c r="G503">
        <v>5</v>
      </c>
      <c r="H503">
        <v>1081.3684000000001</v>
      </c>
      <c r="I503">
        <v>0</v>
      </c>
      <c r="J503">
        <v>1163.79</v>
      </c>
      <c r="K503">
        <v>0</v>
      </c>
      <c r="L503">
        <v>1158.79</v>
      </c>
      <c r="M503" t="s">
        <v>27</v>
      </c>
      <c r="N503">
        <v>1</v>
      </c>
      <c r="O503">
        <v>1254</v>
      </c>
      <c r="P503">
        <v>1081</v>
      </c>
      <c r="Q503">
        <v>0</v>
      </c>
      <c r="R503">
        <v>1081</v>
      </c>
    </row>
    <row r="504" spans="1:18" x14ac:dyDescent="0.3">
      <c r="A504" s="5">
        <v>45957</v>
      </c>
      <c r="B504" t="s">
        <v>693</v>
      </c>
      <c r="C504">
        <v>34</v>
      </c>
      <c r="D504">
        <v>36</v>
      </c>
      <c r="E504" s="1">
        <v>1.9993055555555554</v>
      </c>
      <c r="F504" t="s">
        <v>694</v>
      </c>
      <c r="G504">
        <v>1</v>
      </c>
      <c r="H504">
        <v>1080.7109</v>
      </c>
      <c r="I504">
        <v>8.5</v>
      </c>
      <c r="J504">
        <v>1163.79</v>
      </c>
      <c r="K504">
        <v>6.6574267799006801</v>
      </c>
      <c r="L504">
        <v>1219.83</v>
      </c>
      <c r="M504" t="s">
        <v>27</v>
      </c>
      <c r="N504">
        <v>1</v>
      </c>
      <c r="O504">
        <v>1345</v>
      </c>
      <c r="P504">
        <v>1173</v>
      </c>
      <c r="Q504">
        <v>0</v>
      </c>
      <c r="R504">
        <v>1173</v>
      </c>
    </row>
    <row r="505" spans="1:18" x14ac:dyDescent="0.3">
      <c r="A505" s="5">
        <v>45957</v>
      </c>
      <c r="B505" t="s">
        <v>695</v>
      </c>
      <c r="C505">
        <v>20</v>
      </c>
      <c r="D505">
        <v>36</v>
      </c>
      <c r="E505" s="1">
        <v>1.9993055555555554</v>
      </c>
      <c r="F505" t="s">
        <v>696</v>
      </c>
      <c r="G505">
        <v>5</v>
      </c>
      <c r="H505">
        <v>1081.0989</v>
      </c>
      <c r="I505">
        <v>0</v>
      </c>
      <c r="J505">
        <v>1163.79</v>
      </c>
      <c r="K505">
        <v>0</v>
      </c>
      <c r="L505">
        <v>1158.79</v>
      </c>
      <c r="M505" t="s">
        <v>27</v>
      </c>
      <c r="N505">
        <v>1</v>
      </c>
      <c r="O505">
        <v>1254</v>
      </c>
      <c r="P505">
        <v>1081</v>
      </c>
      <c r="Q505">
        <v>0</v>
      </c>
      <c r="R505">
        <v>1081</v>
      </c>
    </row>
    <row r="506" spans="1:18" x14ac:dyDescent="0.3">
      <c r="A506" s="5">
        <v>45957</v>
      </c>
      <c r="B506" t="s">
        <v>697</v>
      </c>
      <c r="C506">
        <v>3</v>
      </c>
      <c r="D506">
        <v>36</v>
      </c>
      <c r="E506" s="1">
        <v>1.9993055555555554</v>
      </c>
      <c r="F506" t="s">
        <v>698</v>
      </c>
      <c r="G506">
        <v>3</v>
      </c>
      <c r="H506">
        <v>1081.3921</v>
      </c>
      <c r="I506">
        <v>10</v>
      </c>
      <c r="J506">
        <v>1163.79</v>
      </c>
      <c r="K506">
        <v>7.8322667998831603</v>
      </c>
      <c r="L506">
        <v>609.91</v>
      </c>
      <c r="M506" t="s">
        <v>20</v>
      </c>
      <c r="N506">
        <v>1</v>
      </c>
      <c r="O506">
        <v>1363</v>
      </c>
      <c r="P506">
        <v>1190</v>
      </c>
      <c r="Q506">
        <v>0.5</v>
      </c>
      <c r="R506">
        <v>595</v>
      </c>
    </row>
    <row r="507" spans="1:18" x14ac:dyDescent="0.3">
      <c r="A507" s="5">
        <v>45957</v>
      </c>
      <c r="B507" t="s">
        <v>699</v>
      </c>
      <c r="C507">
        <v>15</v>
      </c>
      <c r="D507">
        <v>36</v>
      </c>
      <c r="E507" s="1">
        <v>1.9993055555555554</v>
      </c>
      <c r="F507" t="s">
        <v>700</v>
      </c>
      <c r="G507">
        <v>1</v>
      </c>
      <c r="H507">
        <v>1081.1760999999999</v>
      </c>
      <c r="I507">
        <v>8.5</v>
      </c>
      <c r="J507">
        <v>1163.79</v>
      </c>
      <c r="K507">
        <v>6.6574267799006801</v>
      </c>
      <c r="L507">
        <v>1219.83</v>
      </c>
      <c r="M507" t="s">
        <v>27</v>
      </c>
      <c r="N507">
        <v>1</v>
      </c>
      <c r="O507">
        <v>1346</v>
      </c>
      <c r="P507">
        <v>1173</v>
      </c>
      <c r="Q507">
        <v>0</v>
      </c>
      <c r="R507">
        <v>1173</v>
      </c>
    </row>
    <row r="508" spans="1:18" x14ac:dyDescent="0.3">
      <c r="A508" s="5">
        <v>45957</v>
      </c>
      <c r="B508" t="s">
        <v>701</v>
      </c>
      <c r="C508">
        <v>21</v>
      </c>
      <c r="D508">
        <v>36</v>
      </c>
      <c r="E508" s="1">
        <v>1.0833333333333333</v>
      </c>
      <c r="F508" t="s">
        <v>702</v>
      </c>
      <c r="G508">
        <v>0</v>
      </c>
      <c r="H508">
        <v>1081.2366</v>
      </c>
      <c r="I508">
        <v>2.5</v>
      </c>
      <c r="J508">
        <v>1163.79</v>
      </c>
      <c r="K508">
        <v>1.9580666999707901</v>
      </c>
      <c r="L508">
        <v>1099.1400000000001</v>
      </c>
      <c r="M508" t="s">
        <v>27</v>
      </c>
      <c r="N508">
        <v>1</v>
      </c>
      <c r="O508">
        <v>1281</v>
      </c>
      <c r="P508">
        <v>1108</v>
      </c>
      <c r="Q508">
        <v>0</v>
      </c>
      <c r="R508">
        <v>1108</v>
      </c>
    </row>
    <row r="509" spans="1:18" x14ac:dyDescent="0.3">
      <c r="A509" s="5">
        <v>45957</v>
      </c>
      <c r="B509" t="s">
        <v>703</v>
      </c>
      <c r="C509">
        <v>19</v>
      </c>
      <c r="D509">
        <v>36</v>
      </c>
      <c r="E509" s="1">
        <v>1.0833333333333333</v>
      </c>
      <c r="F509" t="s">
        <v>702</v>
      </c>
      <c r="G509">
        <v>0</v>
      </c>
      <c r="H509">
        <v>1081.2726</v>
      </c>
      <c r="I509">
        <v>2.5</v>
      </c>
      <c r="J509">
        <v>1163.79</v>
      </c>
      <c r="K509">
        <v>1.9580666999707901</v>
      </c>
      <c r="L509">
        <v>1107.76</v>
      </c>
      <c r="M509" t="s">
        <v>27</v>
      </c>
      <c r="N509">
        <v>1</v>
      </c>
      <c r="O509">
        <v>1281</v>
      </c>
      <c r="P509">
        <v>1108</v>
      </c>
      <c r="Q509">
        <v>0</v>
      </c>
      <c r="R509">
        <v>1108</v>
      </c>
    </row>
    <row r="510" spans="1:18" x14ac:dyDescent="0.3">
      <c r="A510" s="5">
        <v>45957</v>
      </c>
      <c r="B510" t="s">
        <v>704</v>
      </c>
      <c r="C510">
        <v>20</v>
      </c>
      <c r="D510">
        <v>36</v>
      </c>
      <c r="E510" s="1">
        <v>1.0833333333333333</v>
      </c>
      <c r="F510" t="s">
        <v>702</v>
      </c>
      <c r="G510">
        <v>0</v>
      </c>
      <c r="H510">
        <v>1081.2544</v>
      </c>
      <c r="I510">
        <v>2.5</v>
      </c>
      <c r="J510">
        <v>1163.79</v>
      </c>
      <c r="K510">
        <v>1.9580666999707901</v>
      </c>
      <c r="L510">
        <v>1142.5</v>
      </c>
      <c r="M510" t="s">
        <v>27</v>
      </c>
      <c r="N510">
        <v>1</v>
      </c>
      <c r="O510">
        <v>1281</v>
      </c>
      <c r="P510">
        <v>1108</v>
      </c>
      <c r="Q510">
        <v>0</v>
      </c>
      <c r="R510">
        <v>1108</v>
      </c>
    </row>
    <row r="511" spans="1:18" x14ac:dyDescent="0.3">
      <c r="A511" s="5">
        <v>45957</v>
      </c>
      <c r="B511" t="s">
        <v>705</v>
      </c>
      <c r="C511">
        <v>23</v>
      </c>
      <c r="D511">
        <v>36</v>
      </c>
      <c r="E511" s="1">
        <v>1.9993055555555554</v>
      </c>
      <c r="F511" t="s">
        <v>706</v>
      </c>
      <c r="G511">
        <v>5</v>
      </c>
      <c r="H511">
        <v>1080.9124999999999</v>
      </c>
      <c r="I511">
        <v>0</v>
      </c>
      <c r="J511">
        <v>1163.79</v>
      </c>
      <c r="K511">
        <v>0</v>
      </c>
      <c r="L511">
        <v>1158.79</v>
      </c>
      <c r="M511" t="s">
        <v>27</v>
      </c>
      <c r="N511">
        <v>1</v>
      </c>
      <c r="O511">
        <v>1254</v>
      </c>
      <c r="P511">
        <v>1081</v>
      </c>
      <c r="Q511">
        <v>0</v>
      </c>
      <c r="R511">
        <v>1081</v>
      </c>
    </row>
    <row r="512" spans="1:18" x14ac:dyDescent="0.3">
      <c r="A512" s="5">
        <v>45957</v>
      </c>
      <c r="B512" t="s">
        <v>707</v>
      </c>
      <c r="C512">
        <v>31</v>
      </c>
      <c r="D512">
        <v>36</v>
      </c>
      <c r="E512" s="1">
        <v>1.25</v>
      </c>
      <c r="F512" t="s">
        <v>708</v>
      </c>
      <c r="G512">
        <v>0</v>
      </c>
      <c r="H512">
        <v>1080.931</v>
      </c>
      <c r="I512">
        <v>2.5</v>
      </c>
      <c r="J512">
        <v>1163.79</v>
      </c>
      <c r="K512">
        <v>1.9580666999707901</v>
      </c>
      <c r="L512">
        <v>1142.5</v>
      </c>
      <c r="M512" t="s">
        <v>27</v>
      </c>
      <c r="N512">
        <v>1</v>
      </c>
      <c r="O512">
        <v>1281</v>
      </c>
      <c r="P512">
        <v>1108</v>
      </c>
      <c r="Q512">
        <v>0</v>
      </c>
      <c r="R512">
        <v>1108</v>
      </c>
    </row>
    <row r="513" spans="1:18" x14ac:dyDescent="0.3">
      <c r="A513" s="5">
        <v>45957</v>
      </c>
      <c r="B513" t="s">
        <v>709</v>
      </c>
      <c r="C513">
        <v>6</v>
      </c>
      <c r="D513">
        <v>36</v>
      </c>
      <c r="E513" s="1">
        <v>1.9993055555555554</v>
      </c>
      <c r="F513" t="s">
        <v>710</v>
      </c>
      <c r="G513">
        <v>1</v>
      </c>
      <c r="H513">
        <v>1081.3372999999999</v>
      </c>
      <c r="I513">
        <v>8.5</v>
      </c>
      <c r="J513">
        <v>1163.79</v>
      </c>
      <c r="K513">
        <v>6.6574267799006801</v>
      </c>
      <c r="L513">
        <v>1219.83</v>
      </c>
      <c r="M513" t="s">
        <v>27</v>
      </c>
      <c r="N513">
        <v>1</v>
      </c>
      <c r="O513">
        <v>1346</v>
      </c>
      <c r="P513">
        <v>1173</v>
      </c>
      <c r="Q513">
        <v>0</v>
      </c>
      <c r="R513">
        <v>1173</v>
      </c>
    </row>
    <row r="514" spans="1:18" x14ac:dyDescent="0.3">
      <c r="A514" s="5">
        <v>45957</v>
      </c>
      <c r="B514" t="s">
        <v>711</v>
      </c>
      <c r="C514">
        <v>30</v>
      </c>
      <c r="D514">
        <v>36</v>
      </c>
      <c r="E514" s="1">
        <v>1.0833333333333333</v>
      </c>
      <c r="F514" t="s">
        <v>712</v>
      </c>
      <c r="G514">
        <v>2</v>
      </c>
      <c r="H514">
        <v>1080.9385</v>
      </c>
      <c r="I514">
        <v>5</v>
      </c>
      <c r="J514">
        <v>1163.79</v>
      </c>
      <c r="K514">
        <v>3.9161333999415802</v>
      </c>
      <c r="L514">
        <v>601.29</v>
      </c>
      <c r="M514" t="s">
        <v>60</v>
      </c>
      <c r="N514">
        <v>1</v>
      </c>
      <c r="O514">
        <v>1308</v>
      </c>
      <c r="P514">
        <v>1135</v>
      </c>
      <c r="Q514">
        <v>0.5</v>
      </c>
      <c r="R514">
        <v>567.5</v>
      </c>
    </row>
    <row r="515" spans="1:18" x14ac:dyDescent="0.3">
      <c r="A515" s="5">
        <v>45957</v>
      </c>
      <c r="B515" t="s">
        <v>713</v>
      </c>
      <c r="C515">
        <v>31</v>
      </c>
      <c r="D515">
        <v>36</v>
      </c>
      <c r="E515" s="1">
        <v>1.0833333333333333</v>
      </c>
      <c r="F515" t="s">
        <v>714</v>
      </c>
      <c r="G515">
        <v>2</v>
      </c>
      <c r="H515">
        <v>1080.9204999999999</v>
      </c>
      <c r="I515">
        <v>5</v>
      </c>
      <c r="J515">
        <v>1163.79</v>
      </c>
      <c r="K515">
        <v>3.9161333999415802</v>
      </c>
      <c r="L515">
        <v>601.29</v>
      </c>
      <c r="M515" t="s">
        <v>60</v>
      </c>
      <c r="N515">
        <v>1</v>
      </c>
      <c r="O515">
        <v>1308</v>
      </c>
      <c r="P515">
        <v>1135</v>
      </c>
      <c r="Q515">
        <v>0.5</v>
      </c>
      <c r="R515">
        <v>567.5</v>
      </c>
    </row>
    <row r="516" spans="1:18" x14ac:dyDescent="0.3">
      <c r="A516" s="5">
        <v>45958</v>
      </c>
      <c r="B516" t="s">
        <v>715</v>
      </c>
      <c r="C516">
        <v>7</v>
      </c>
      <c r="D516">
        <v>36</v>
      </c>
      <c r="E516" s="1">
        <v>1.0833333333333333</v>
      </c>
      <c r="F516" t="s">
        <v>716</v>
      </c>
      <c r="G516">
        <v>4</v>
      </c>
      <c r="H516">
        <v>1081.4838</v>
      </c>
      <c r="I516">
        <v>7</v>
      </c>
      <c r="J516">
        <v>1163.79</v>
      </c>
      <c r="K516">
        <v>5.4825867599182097</v>
      </c>
      <c r="L516">
        <v>1219.83</v>
      </c>
      <c r="M516" t="s">
        <v>27</v>
      </c>
      <c r="N516">
        <v>1</v>
      </c>
      <c r="O516">
        <v>1330</v>
      </c>
      <c r="P516">
        <v>1157</v>
      </c>
      <c r="Q516">
        <v>0</v>
      </c>
      <c r="R516">
        <v>1157</v>
      </c>
    </row>
    <row r="517" spans="1:18" x14ac:dyDescent="0.3">
      <c r="A517" s="5">
        <v>45958</v>
      </c>
      <c r="B517" t="s">
        <v>717</v>
      </c>
      <c r="C517">
        <v>10</v>
      </c>
      <c r="D517">
        <v>36</v>
      </c>
      <c r="E517" s="1">
        <v>1.0833333333333333</v>
      </c>
      <c r="F517" t="s">
        <v>718</v>
      </c>
      <c r="G517">
        <v>4</v>
      </c>
      <c r="H517">
        <v>1081.4291000000001</v>
      </c>
      <c r="I517">
        <v>7</v>
      </c>
      <c r="J517">
        <v>1163.79</v>
      </c>
      <c r="K517">
        <v>5.4825867599182097</v>
      </c>
      <c r="L517">
        <v>1219.83</v>
      </c>
      <c r="M517" t="s">
        <v>27</v>
      </c>
      <c r="N517">
        <v>1</v>
      </c>
      <c r="O517">
        <v>1330</v>
      </c>
      <c r="P517">
        <v>1157</v>
      </c>
      <c r="Q517">
        <v>0</v>
      </c>
      <c r="R517">
        <v>1157</v>
      </c>
    </row>
    <row r="518" spans="1:18" x14ac:dyDescent="0.3">
      <c r="A518" s="5">
        <v>45958</v>
      </c>
      <c r="B518" t="s">
        <v>719</v>
      </c>
      <c r="C518">
        <v>6</v>
      </c>
      <c r="D518">
        <v>36</v>
      </c>
      <c r="E518" s="1">
        <v>1.0833333333333333</v>
      </c>
      <c r="F518" t="s">
        <v>720</v>
      </c>
      <c r="G518">
        <v>5</v>
      </c>
      <c r="H518">
        <v>1081.5139999999999</v>
      </c>
      <c r="I518">
        <v>0</v>
      </c>
      <c r="J518">
        <v>1163.79</v>
      </c>
      <c r="K518">
        <v>0</v>
      </c>
      <c r="L518">
        <v>1158.8800000000001</v>
      </c>
      <c r="M518" t="s">
        <v>27</v>
      </c>
      <c r="N518">
        <v>1</v>
      </c>
      <c r="O518">
        <v>1255</v>
      </c>
      <c r="P518">
        <v>1082</v>
      </c>
      <c r="Q518">
        <v>0</v>
      </c>
      <c r="R518">
        <v>1082</v>
      </c>
    </row>
    <row r="519" spans="1:18" x14ac:dyDescent="0.3">
      <c r="A519" s="5">
        <v>45958</v>
      </c>
      <c r="B519" t="s">
        <v>719</v>
      </c>
      <c r="C519">
        <v>6</v>
      </c>
      <c r="D519">
        <v>36</v>
      </c>
      <c r="E519" s="1">
        <v>1.0833333333333333</v>
      </c>
      <c r="F519" t="s">
        <v>720</v>
      </c>
      <c r="G519">
        <v>5</v>
      </c>
      <c r="H519">
        <v>1081.5139999999999</v>
      </c>
      <c r="I519">
        <v>0</v>
      </c>
      <c r="J519">
        <v>1163.79</v>
      </c>
      <c r="K519">
        <v>0</v>
      </c>
      <c r="L519">
        <v>1158.8800000000001</v>
      </c>
      <c r="M519" t="s">
        <v>27</v>
      </c>
      <c r="N519">
        <v>1</v>
      </c>
      <c r="O519">
        <v>1255</v>
      </c>
      <c r="P519">
        <v>1082</v>
      </c>
      <c r="Q519">
        <v>0</v>
      </c>
      <c r="R519">
        <v>1082</v>
      </c>
    </row>
    <row r="520" spans="1:18" x14ac:dyDescent="0.3">
      <c r="A520" s="5">
        <v>45958</v>
      </c>
      <c r="B520" t="s">
        <v>721</v>
      </c>
      <c r="C520">
        <v>5</v>
      </c>
      <c r="D520">
        <v>36</v>
      </c>
      <c r="E520" s="1">
        <v>1.0833333333333333</v>
      </c>
      <c r="F520" t="s">
        <v>720</v>
      </c>
      <c r="G520">
        <v>5</v>
      </c>
      <c r="H520">
        <v>1081.5323000000001</v>
      </c>
      <c r="I520">
        <v>0</v>
      </c>
      <c r="J520">
        <v>1163.79</v>
      </c>
      <c r="K520">
        <v>0</v>
      </c>
      <c r="L520">
        <v>1158.8800000000001</v>
      </c>
      <c r="M520" t="s">
        <v>27</v>
      </c>
      <c r="N520">
        <v>1</v>
      </c>
      <c r="O520">
        <v>1255</v>
      </c>
      <c r="P520">
        <v>1082</v>
      </c>
      <c r="Q520">
        <v>0</v>
      </c>
      <c r="R520">
        <v>1082</v>
      </c>
    </row>
    <row r="521" spans="1:18" x14ac:dyDescent="0.3">
      <c r="A521" s="5">
        <v>45958</v>
      </c>
      <c r="B521" t="s">
        <v>721</v>
      </c>
      <c r="C521">
        <v>5</v>
      </c>
      <c r="D521">
        <v>36</v>
      </c>
      <c r="E521" s="1">
        <v>1.0833333333333333</v>
      </c>
      <c r="F521" t="s">
        <v>720</v>
      </c>
      <c r="G521">
        <v>5</v>
      </c>
      <c r="H521">
        <v>1081.5323000000001</v>
      </c>
      <c r="I521">
        <v>0</v>
      </c>
      <c r="J521">
        <v>1163.79</v>
      </c>
      <c r="K521">
        <v>0</v>
      </c>
      <c r="L521">
        <v>1158.8800000000001</v>
      </c>
      <c r="M521" t="s">
        <v>27</v>
      </c>
      <c r="N521">
        <v>1</v>
      </c>
      <c r="O521">
        <v>1255</v>
      </c>
      <c r="P521">
        <v>1082</v>
      </c>
      <c r="Q521">
        <v>0</v>
      </c>
      <c r="R521">
        <v>1082</v>
      </c>
    </row>
    <row r="522" spans="1:18" x14ac:dyDescent="0.3">
      <c r="A522" s="5">
        <v>45958</v>
      </c>
      <c r="B522" t="s">
        <v>722</v>
      </c>
      <c r="C522">
        <v>3</v>
      </c>
      <c r="D522">
        <v>36</v>
      </c>
      <c r="E522" s="1">
        <v>1.0833333333333333</v>
      </c>
      <c r="F522" t="s">
        <v>723</v>
      </c>
      <c r="G522">
        <v>5</v>
      </c>
      <c r="H522">
        <v>1081.5672999999999</v>
      </c>
      <c r="I522">
        <v>0</v>
      </c>
      <c r="J522">
        <v>1163.79</v>
      </c>
      <c r="K522">
        <v>0</v>
      </c>
      <c r="L522">
        <v>1158.8800000000001</v>
      </c>
      <c r="M522" t="s">
        <v>27</v>
      </c>
      <c r="N522">
        <v>1</v>
      </c>
      <c r="O522">
        <v>1255</v>
      </c>
      <c r="P522">
        <v>1082</v>
      </c>
      <c r="Q522">
        <v>0</v>
      </c>
      <c r="R522">
        <v>1082</v>
      </c>
    </row>
    <row r="523" spans="1:18" x14ac:dyDescent="0.3">
      <c r="A523" s="5">
        <v>45958</v>
      </c>
      <c r="B523" t="s">
        <v>724</v>
      </c>
      <c r="C523">
        <v>22</v>
      </c>
      <c r="D523">
        <v>36</v>
      </c>
      <c r="E523" s="1">
        <v>1.0833333333333333</v>
      </c>
      <c r="F523" t="s">
        <v>725</v>
      </c>
      <c r="G523">
        <v>5</v>
      </c>
      <c r="H523">
        <v>1081.0931</v>
      </c>
      <c r="I523">
        <v>0</v>
      </c>
      <c r="J523">
        <v>1163.79</v>
      </c>
      <c r="K523">
        <v>0</v>
      </c>
      <c r="L523">
        <v>1158.8800000000001</v>
      </c>
      <c r="M523" t="s">
        <v>27</v>
      </c>
      <c r="N523">
        <v>1</v>
      </c>
      <c r="O523">
        <v>1254</v>
      </c>
      <c r="P523">
        <v>1081</v>
      </c>
      <c r="Q523">
        <v>0</v>
      </c>
      <c r="R523">
        <v>1081</v>
      </c>
    </row>
    <row r="524" spans="1:18" x14ac:dyDescent="0.3">
      <c r="A524" s="5">
        <v>45958</v>
      </c>
      <c r="B524" t="s">
        <v>726</v>
      </c>
      <c r="C524">
        <v>23</v>
      </c>
      <c r="D524">
        <v>36</v>
      </c>
      <c r="E524" s="1">
        <v>1.0833333333333333</v>
      </c>
      <c r="F524" t="s">
        <v>725</v>
      </c>
      <c r="G524">
        <v>5</v>
      </c>
      <c r="H524">
        <v>1081.0752</v>
      </c>
      <c r="I524">
        <v>0</v>
      </c>
      <c r="J524">
        <v>1163.79</v>
      </c>
      <c r="K524">
        <v>0</v>
      </c>
      <c r="L524">
        <v>1158.8800000000001</v>
      </c>
      <c r="M524" t="s">
        <v>27</v>
      </c>
      <c r="N524">
        <v>1</v>
      </c>
      <c r="O524">
        <v>1254</v>
      </c>
      <c r="P524">
        <v>1081</v>
      </c>
      <c r="Q524">
        <v>0</v>
      </c>
      <c r="R524">
        <v>1081</v>
      </c>
    </row>
    <row r="525" spans="1:18" x14ac:dyDescent="0.3">
      <c r="A525" s="5">
        <v>45958</v>
      </c>
      <c r="B525" t="s">
        <v>727</v>
      </c>
      <c r="C525">
        <v>18</v>
      </c>
      <c r="D525">
        <v>36</v>
      </c>
      <c r="E525" s="1">
        <v>1.25</v>
      </c>
      <c r="F525" t="s">
        <v>728</v>
      </c>
      <c r="G525">
        <v>1</v>
      </c>
      <c r="H525">
        <v>1081.2826</v>
      </c>
      <c r="I525">
        <v>8.5</v>
      </c>
      <c r="J525">
        <v>1163.79</v>
      </c>
      <c r="K525">
        <v>6.6574267799006801</v>
      </c>
      <c r="L525">
        <v>1219.83</v>
      </c>
      <c r="M525" t="s">
        <v>27</v>
      </c>
      <c r="N525">
        <v>1</v>
      </c>
      <c r="O525">
        <v>1346</v>
      </c>
      <c r="P525">
        <v>1173</v>
      </c>
      <c r="Q525">
        <v>0</v>
      </c>
      <c r="R525">
        <v>1173</v>
      </c>
    </row>
    <row r="526" spans="1:18" x14ac:dyDescent="0.3">
      <c r="A526" s="5">
        <v>45958</v>
      </c>
      <c r="B526" t="s">
        <v>729</v>
      </c>
      <c r="C526">
        <v>10</v>
      </c>
      <c r="D526">
        <v>36</v>
      </c>
      <c r="E526" s="1">
        <v>1.4583333333333333</v>
      </c>
      <c r="F526" t="s">
        <v>730</v>
      </c>
      <c r="G526">
        <v>4</v>
      </c>
      <c r="H526">
        <v>1081.5914</v>
      </c>
      <c r="I526">
        <v>7</v>
      </c>
      <c r="J526">
        <v>1163.79</v>
      </c>
      <c r="K526">
        <v>5.4825867599182097</v>
      </c>
      <c r="L526">
        <v>1097.8399999999999</v>
      </c>
      <c r="M526" t="s">
        <v>27</v>
      </c>
      <c r="N526">
        <v>1</v>
      </c>
      <c r="O526">
        <v>1330</v>
      </c>
      <c r="P526">
        <v>1157</v>
      </c>
      <c r="Q526">
        <v>0</v>
      </c>
      <c r="R526">
        <v>1157</v>
      </c>
    </row>
    <row r="527" spans="1:18" x14ac:dyDescent="0.3">
      <c r="A527" s="5">
        <v>45958</v>
      </c>
      <c r="B527" t="s">
        <v>731</v>
      </c>
      <c r="C527">
        <v>4</v>
      </c>
      <c r="D527">
        <v>35</v>
      </c>
      <c r="E527" s="1">
        <v>1.9993055555555554</v>
      </c>
      <c r="F527" t="s">
        <v>732</v>
      </c>
      <c r="G527">
        <v>0</v>
      </c>
      <c r="H527">
        <v>1081.307</v>
      </c>
      <c r="I527">
        <v>2.5</v>
      </c>
      <c r="J527">
        <v>1163.79</v>
      </c>
      <c r="K527">
        <v>1.9580666999707901</v>
      </c>
      <c r="L527">
        <v>1158.8800000000001</v>
      </c>
      <c r="M527" t="s">
        <v>27</v>
      </c>
      <c r="N527">
        <v>1</v>
      </c>
      <c r="O527">
        <v>1281</v>
      </c>
      <c r="P527">
        <v>1108</v>
      </c>
      <c r="Q527">
        <v>0</v>
      </c>
      <c r="R527">
        <v>1108</v>
      </c>
    </row>
    <row r="528" spans="1:18" x14ac:dyDescent="0.3">
      <c r="A528" s="5">
        <v>45958</v>
      </c>
      <c r="B528" t="s">
        <v>733</v>
      </c>
      <c r="C528">
        <v>3</v>
      </c>
      <c r="D528">
        <v>36</v>
      </c>
      <c r="E528" s="1">
        <v>1.0833333333333333</v>
      </c>
      <c r="F528" t="s">
        <v>734</v>
      </c>
      <c r="G528">
        <v>0</v>
      </c>
      <c r="H528">
        <v>1081.7074</v>
      </c>
      <c r="I528">
        <v>2.5</v>
      </c>
      <c r="J528">
        <v>1163.79</v>
      </c>
      <c r="K528">
        <v>1.9580666999707901</v>
      </c>
      <c r="L528">
        <v>1158.8800000000001</v>
      </c>
      <c r="M528" t="s">
        <v>27</v>
      </c>
      <c r="N528">
        <v>1</v>
      </c>
      <c r="O528">
        <v>1282</v>
      </c>
      <c r="P528">
        <v>1109</v>
      </c>
      <c r="Q528">
        <v>0</v>
      </c>
      <c r="R528">
        <v>1109</v>
      </c>
    </row>
    <row r="529" spans="1:18" x14ac:dyDescent="0.3">
      <c r="A529" s="5">
        <v>45958</v>
      </c>
      <c r="B529" t="s">
        <v>735</v>
      </c>
      <c r="C529">
        <v>2</v>
      </c>
      <c r="D529">
        <v>36</v>
      </c>
      <c r="E529" s="1">
        <v>1.0833333333333333</v>
      </c>
      <c r="F529" t="s">
        <v>734</v>
      </c>
      <c r="G529">
        <v>0</v>
      </c>
      <c r="H529">
        <v>1081.7255</v>
      </c>
      <c r="I529">
        <v>2.5</v>
      </c>
      <c r="J529">
        <v>1163.79</v>
      </c>
      <c r="K529">
        <v>1.9580666999707901</v>
      </c>
      <c r="L529">
        <v>1158.8800000000001</v>
      </c>
      <c r="M529" t="s">
        <v>27</v>
      </c>
      <c r="N529">
        <v>1</v>
      </c>
      <c r="O529">
        <v>1282</v>
      </c>
      <c r="P529">
        <v>1109</v>
      </c>
      <c r="Q529">
        <v>0</v>
      </c>
      <c r="R529">
        <v>1109</v>
      </c>
    </row>
    <row r="530" spans="1:18" x14ac:dyDescent="0.3">
      <c r="A530" s="5">
        <v>45958</v>
      </c>
      <c r="B530" t="s">
        <v>736</v>
      </c>
      <c r="C530">
        <v>10</v>
      </c>
      <c r="D530">
        <v>36</v>
      </c>
      <c r="E530" s="1">
        <v>1.25</v>
      </c>
      <c r="F530" t="s">
        <v>737</v>
      </c>
      <c r="G530">
        <v>4</v>
      </c>
      <c r="H530">
        <v>1081.4190000000001</v>
      </c>
      <c r="I530">
        <v>7</v>
      </c>
      <c r="J530">
        <v>1163.79</v>
      </c>
      <c r="K530">
        <v>5.4825867599182097</v>
      </c>
      <c r="L530">
        <v>1158.8800000000001</v>
      </c>
      <c r="M530" t="s">
        <v>27</v>
      </c>
      <c r="N530">
        <v>1</v>
      </c>
      <c r="O530">
        <v>1330</v>
      </c>
      <c r="P530">
        <v>1157</v>
      </c>
      <c r="Q530">
        <v>0</v>
      </c>
      <c r="R530">
        <v>1157</v>
      </c>
    </row>
    <row r="531" spans="1:18" x14ac:dyDescent="0.3">
      <c r="A531" s="5">
        <v>45958</v>
      </c>
      <c r="B531" t="s">
        <v>738</v>
      </c>
      <c r="C531">
        <v>16</v>
      </c>
      <c r="D531">
        <v>36</v>
      </c>
      <c r="E531" s="1">
        <v>1.9993055555555554</v>
      </c>
      <c r="F531" t="s">
        <v>739</v>
      </c>
      <c r="G531">
        <v>0</v>
      </c>
      <c r="H531">
        <v>1081.4023</v>
      </c>
      <c r="I531">
        <v>2.5</v>
      </c>
      <c r="J531">
        <v>1163.79</v>
      </c>
      <c r="K531">
        <v>1.9580666999707901</v>
      </c>
      <c r="L531">
        <v>1142.5</v>
      </c>
      <c r="M531" t="s">
        <v>27</v>
      </c>
      <c r="N531">
        <v>1</v>
      </c>
      <c r="O531">
        <v>1281</v>
      </c>
      <c r="P531">
        <v>1108</v>
      </c>
      <c r="Q531">
        <v>0</v>
      </c>
      <c r="R531">
        <v>1108</v>
      </c>
    </row>
    <row r="532" spans="1:18" x14ac:dyDescent="0.3">
      <c r="A532" s="5">
        <v>45958</v>
      </c>
      <c r="B532" t="s">
        <v>740</v>
      </c>
      <c r="C532">
        <v>1</v>
      </c>
      <c r="D532">
        <v>35</v>
      </c>
      <c r="E532" s="1">
        <v>1.9791666666666665</v>
      </c>
      <c r="F532" t="s">
        <v>741</v>
      </c>
      <c r="G532">
        <v>2</v>
      </c>
      <c r="H532">
        <v>1081.3315</v>
      </c>
      <c r="I532">
        <v>5</v>
      </c>
      <c r="J532">
        <v>1163.79</v>
      </c>
      <c r="K532">
        <v>3.9161333999415802</v>
      </c>
      <c r="L532">
        <v>609.91</v>
      </c>
      <c r="M532" t="s">
        <v>60</v>
      </c>
      <c r="N532">
        <v>1</v>
      </c>
      <c r="O532">
        <v>1308</v>
      </c>
      <c r="P532">
        <v>1135</v>
      </c>
      <c r="Q532">
        <v>0.5</v>
      </c>
      <c r="R532">
        <v>567.5</v>
      </c>
    </row>
    <row r="533" spans="1:18" x14ac:dyDescent="0.3">
      <c r="A533" s="5">
        <v>45958</v>
      </c>
      <c r="B533" t="s">
        <v>742</v>
      </c>
      <c r="C533">
        <v>4</v>
      </c>
      <c r="D533">
        <v>35</v>
      </c>
      <c r="E533" s="1">
        <v>1.9791666666666665</v>
      </c>
      <c r="F533" t="s">
        <v>743</v>
      </c>
      <c r="G533">
        <v>2</v>
      </c>
      <c r="H533">
        <v>1081.4103</v>
      </c>
      <c r="I533">
        <v>5</v>
      </c>
      <c r="J533">
        <v>1163.79</v>
      </c>
      <c r="K533">
        <v>3.9161333999415802</v>
      </c>
      <c r="L533">
        <v>609.91</v>
      </c>
      <c r="M533" t="s">
        <v>60</v>
      </c>
      <c r="N533">
        <v>1</v>
      </c>
      <c r="O533">
        <v>1309</v>
      </c>
      <c r="P533">
        <v>1135</v>
      </c>
      <c r="Q533">
        <v>0.5</v>
      </c>
      <c r="R533">
        <v>567.5</v>
      </c>
    </row>
    <row r="534" spans="1:18" x14ac:dyDescent="0.3">
      <c r="A534" s="5">
        <v>45958</v>
      </c>
      <c r="B534" t="s">
        <v>744</v>
      </c>
      <c r="C534">
        <v>7</v>
      </c>
      <c r="D534">
        <v>35</v>
      </c>
      <c r="E534" s="1">
        <v>1.9791666666666665</v>
      </c>
      <c r="F534" t="s">
        <v>745</v>
      </c>
      <c r="G534">
        <v>2</v>
      </c>
      <c r="H534">
        <v>1081.2239</v>
      </c>
      <c r="I534">
        <v>5</v>
      </c>
      <c r="J534">
        <v>1163.79</v>
      </c>
      <c r="K534">
        <v>3.9161333999415802</v>
      </c>
      <c r="L534">
        <v>609.91</v>
      </c>
      <c r="M534" t="s">
        <v>60</v>
      </c>
      <c r="N534">
        <v>1</v>
      </c>
      <c r="O534">
        <v>1308</v>
      </c>
      <c r="P534">
        <v>1135</v>
      </c>
      <c r="Q534">
        <v>0.5</v>
      </c>
      <c r="R534">
        <v>567.5</v>
      </c>
    </row>
    <row r="535" spans="1:18" x14ac:dyDescent="0.3">
      <c r="A535" s="5">
        <v>45958</v>
      </c>
      <c r="B535" t="s">
        <v>746</v>
      </c>
      <c r="C535">
        <v>1</v>
      </c>
      <c r="D535">
        <v>36</v>
      </c>
      <c r="E535" s="1">
        <v>1.0833333333333333</v>
      </c>
      <c r="F535" t="s">
        <v>747</v>
      </c>
      <c r="G535">
        <v>4</v>
      </c>
      <c r="H535">
        <v>1081.5696</v>
      </c>
      <c r="I535">
        <v>7</v>
      </c>
      <c r="J535">
        <v>1163.79</v>
      </c>
      <c r="K535">
        <v>5.4825867599182097</v>
      </c>
      <c r="L535">
        <v>1034.48</v>
      </c>
      <c r="M535" t="s">
        <v>27</v>
      </c>
      <c r="N535">
        <v>1</v>
      </c>
      <c r="O535">
        <v>1330</v>
      </c>
      <c r="P535">
        <v>1157</v>
      </c>
      <c r="Q535">
        <v>0</v>
      </c>
      <c r="R535">
        <v>1157</v>
      </c>
    </row>
    <row r="536" spans="1:18" x14ac:dyDescent="0.3">
      <c r="A536" s="5">
        <v>45958</v>
      </c>
      <c r="B536" t="s">
        <v>748</v>
      </c>
      <c r="C536">
        <v>14</v>
      </c>
      <c r="D536">
        <v>35</v>
      </c>
      <c r="E536" s="1">
        <v>1.9993055555555554</v>
      </c>
      <c r="F536" t="s">
        <v>749</v>
      </c>
      <c r="G536">
        <v>1</v>
      </c>
      <c r="H536">
        <v>1081.1215999999999</v>
      </c>
      <c r="I536">
        <v>8.5</v>
      </c>
      <c r="J536">
        <v>1163.79</v>
      </c>
      <c r="K536">
        <v>6.6574267799006801</v>
      </c>
      <c r="L536">
        <v>1116.3800000000001</v>
      </c>
      <c r="M536" t="s">
        <v>27</v>
      </c>
      <c r="N536">
        <v>1</v>
      </c>
      <c r="O536">
        <v>1346</v>
      </c>
      <c r="P536">
        <v>1173</v>
      </c>
      <c r="Q536">
        <v>0</v>
      </c>
      <c r="R536">
        <v>1173</v>
      </c>
    </row>
    <row r="537" spans="1:18" x14ac:dyDescent="0.3">
      <c r="A537" s="5">
        <v>45958</v>
      </c>
      <c r="B537" t="s">
        <v>750</v>
      </c>
      <c r="C537">
        <v>7</v>
      </c>
      <c r="D537">
        <v>35</v>
      </c>
      <c r="E537" s="1">
        <v>1.9993055555555554</v>
      </c>
      <c r="F537" t="s">
        <v>751</v>
      </c>
      <c r="G537">
        <v>0</v>
      </c>
      <c r="H537">
        <v>1081.114</v>
      </c>
      <c r="I537">
        <v>2.5</v>
      </c>
      <c r="J537">
        <v>1163.79</v>
      </c>
      <c r="K537">
        <v>1.9580666999707901</v>
      </c>
      <c r="L537">
        <v>1120.69</v>
      </c>
      <c r="M537" t="s">
        <v>27</v>
      </c>
      <c r="N537">
        <v>1</v>
      </c>
      <c r="O537">
        <v>1281</v>
      </c>
      <c r="P537">
        <v>1108</v>
      </c>
      <c r="Q537">
        <v>0</v>
      </c>
      <c r="R537">
        <v>1108</v>
      </c>
    </row>
    <row r="538" spans="1:18" x14ac:dyDescent="0.3">
      <c r="A538" s="5">
        <v>45958</v>
      </c>
      <c r="B538" t="s">
        <v>752</v>
      </c>
      <c r="C538">
        <v>16</v>
      </c>
      <c r="D538">
        <v>36</v>
      </c>
      <c r="E538" s="1">
        <v>1.9993055555555554</v>
      </c>
      <c r="F538" t="s">
        <v>753</v>
      </c>
      <c r="G538">
        <v>4</v>
      </c>
      <c r="H538">
        <v>1081.2687000000001</v>
      </c>
      <c r="I538">
        <v>7</v>
      </c>
      <c r="J538">
        <v>1163.79</v>
      </c>
      <c r="K538">
        <v>5.4825867599182097</v>
      </c>
      <c r="L538">
        <v>1158.8800000000001</v>
      </c>
      <c r="M538" t="s">
        <v>27</v>
      </c>
      <c r="N538">
        <v>1</v>
      </c>
      <c r="O538">
        <v>1330</v>
      </c>
      <c r="P538">
        <v>1157</v>
      </c>
      <c r="Q538">
        <v>0</v>
      </c>
      <c r="R538">
        <v>1157</v>
      </c>
    </row>
    <row r="539" spans="1:18" x14ac:dyDescent="0.3">
      <c r="A539" s="5">
        <v>45958</v>
      </c>
      <c r="B539" t="s">
        <v>754</v>
      </c>
      <c r="C539">
        <v>11</v>
      </c>
      <c r="D539">
        <v>36</v>
      </c>
      <c r="E539" s="1">
        <v>1.9993055555555554</v>
      </c>
      <c r="F539" t="s">
        <v>755</v>
      </c>
      <c r="G539">
        <v>4</v>
      </c>
      <c r="H539">
        <v>1081.1692</v>
      </c>
      <c r="I539">
        <v>7</v>
      </c>
      <c r="J539">
        <v>1163.79</v>
      </c>
      <c r="K539">
        <v>5.4825867599182097</v>
      </c>
      <c r="L539">
        <v>1116.3800000000001</v>
      </c>
      <c r="M539" t="s">
        <v>27</v>
      </c>
      <c r="N539">
        <v>1</v>
      </c>
      <c r="O539">
        <v>1330</v>
      </c>
      <c r="P539">
        <v>1157</v>
      </c>
      <c r="Q539">
        <v>0</v>
      </c>
      <c r="R539">
        <v>1157</v>
      </c>
    </row>
    <row r="540" spans="1:18" x14ac:dyDescent="0.3">
      <c r="A540" s="5">
        <v>45958</v>
      </c>
      <c r="B540" t="s">
        <v>754</v>
      </c>
      <c r="C540">
        <v>11</v>
      </c>
      <c r="D540">
        <v>36</v>
      </c>
      <c r="E540" s="1">
        <v>1.9993055555555554</v>
      </c>
      <c r="F540" t="s">
        <v>755</v>
      </c>
      <c r="G540">
        <v>4</v>
      </c>
      <c r="H540">
        <v>1081.1692</v>
      </c>
      <c r="I540">
        <v>7</v>
      </c>
      <c r="J540">
        <v>1163.79</v>
      </c>
      <c r="K540">
        <v>5.4825867599182097</v>
      </c>
      <c r="L540">
        <v>1116.3800000000001</v>
      </c>
      <c r="M540" t="s">
        <v>27</v>
      </c>
      <c r="N540">
        <v>1</v>
      </c>
      <c r="O540">
        <v>1330</v>
      </c>
      <c r="P540">
        <v>1157</v>
      </c>
      <c r="Q540">
        <v>0</v>
      </c>
      <c r="R540">
        <v>1157</v>
      </c>
    </row>
    <row r="541" spans="1:18" x14ac:dyDescent="0.3">
      <c r="A541" s="5">
        <v>45958</v>
      </c>
      <c r="B541" t="s">
        <v>756</v>
      </c>
      <c r="C541">
        <v>12</v>
      </c>
      <c r="D541">
        <v>36</v>
      </c>
      <c r="E541" s="1">
        <v>1.9993055555555554</v>
      </c>
      <c r="F541" t="s">
        <v>755</v>
      </c>
      <c r="G541">
        <v>4</v>
      </c>
      <c r="H541">
        <v>1081.1511</v>
      </c>
      <c r="I541">
        <v>7</v>
      </c>
      <c r="J541">
        <v>1163.79</v>
      </c>
      <c r="K541">
        <v>5.4825867599182097</v>
      </c>
      <c r="L541">
        <v>1116.3800000000001</v>
      </c>
      <c r="M541" t="s">
        <v>27</v>
      </c>
      <c r="N541">
        <v>1</v>
      </c>
      <c r="O541">
        <v>1330</v>
      </c>
      <c r="P541">
        <v>1157</v>
      </c>
      <c r="Q541">
        <v>0</v>
      </c>
      <c r="R541">
        <v>1157</v>
      </c>
    </row>
    <row r="542" spans="1:18" x14ac:dyDescent="0.3">
      <c r="A542" s="5">
        <v>45958</v>
      </c>
      <c r="B542" t="s">
        <v>756</v>
      </c>
      <c r="C542">
        <v>12</v>
      </c>
      <c r="D542">
        <v>36</v>
      </c>
      <c r="E542" s="1">
        <v>1.9993055555555554</v>
      </c>
      <c r="F542" t="s">
        <v>755</v>
      </c>
      <c r="G542">
        <v>4</v>
      </c>
      <c r="H542">
        <v>1081.1511</v>
      </c>
      <c r="I542">
        <v>7</v>
      </c>
      <c r="J542">
        <v>1163.79</v>
      </c>
      <c r="K542">
        <v>5.4825867599182097</v>
      </c>
      <c r="L542">
        <v>1116.3800000000001</v>
      </c>
      <c r="M542" t="s">
        <v>27</v>
      </c>
      <c r="N542">
        <v>1</v>
      </c>
      <c r="O542">
        <v>1330</v>
      </c>
      <c r="P542">
        <v>1157</v>
      </c>
      <c r="Q542">
        <v>0</v>
      </c>
      <c r="R542">
        <v>1157</v>
      </c>
    </row>
    <row r="543" spans="1:18" x14ac:dyDescent="0.3">
      <c r="A543" s="5">
        <v>45958</v>
      </c>
      <c r="B543" t="s">
        <v>590</v>
      </c>
      <c r="C543">
        <v>1</v>
      </c>
      <c r="D543">
        <v>36</v>
      </c>
      <c r="E543" s="1">
        <v>1.0833333333333333</v>
      </c>
      <c r="F543" t="s">
        <v>591</v>
      </c>
      <c r="G543">
        <v>4</v>
      </c>
      <c r="H543">
        <v>1081.6243999999999</v>
      </c>
      <c r="I543">
        <v>7</v>
      </c>
      <c r="J543">
        <v>1163.79</v>
      </c>
      <c r="K543">
        <v>5.4825867599182097</v>
      </c>
      <c r="L543">
        <v>1202.5899999999999</v>
      </c>
      <c r="M543" t="s">
        <v>27</v>
      </c>
      <c r="N543">
        <v>1</v>
      </c>
      <c r="O543">
        <v>1330</v>
      </c>
      <c r="P543">
        <v>1157</v>
      </c>
      <c r="Q543">
        <v>0</v>
      </c>
      <c r="R543">
        <v>1157</v>
      </c>
    </row>
    <row r="544" spans="1:18" x14ac:dyDescent="0.3">
      <c r="A544" s="5">
        <v>45958</v>
      </c>
      <c r="B544" t="s">
        <v>757</v>
      </c>
      <c r="C544">
        <v>27</v>
      </c>
      <c r="D544">
        <v>36</v>
      </c>
      <c r="E544" s="1">
        <v>1.9993055555555554</v>
      </c>
      <c r="F544" t="s">
        <v>758</v>
      </c>
      <c r="G544">
        <v>4</v>
      </c>
      <c r="H544">
        <v>1080.1853000000001</v>
      </c>
      <c r="I544">
        <v>7</v>
      </c>
      <c r="J544">
        <v>1163.79</v>
      </c>
      <c r="K544">
        <v>5.4825867599182097</v>
      </c>
      <c r="L544">
        <v>1219.83</v>
      </c>
      <c r="M544" t="s">
        <v>27</v>
      </c>
      <c r="N544">
        <v>1</v>
      </c>
      <c r="O544">
        <v>1329</v>
      </c>
      <c r="P544">
        <v>1156</v>
      </c>
      <c r="Q544">
        <v>0</v>
      </c>
      <c r="R544">
        <v>1156</v>
      </c>
    </row>
    <row r="545" spans="1:18" x14ac:dyDescent="0.3">
      <c r="A545" s="5">
        <v>45958</v>
      </c>
      <c r="B545" t="s">
        <v>759</v>
      </c>
      <c r="C545">
        <v>24</v>
      </c>
      <c r="D545">
        <v>36</v>
      </c>
      <c r="E545" s="1">
        <v>1.9993055555555554</v>
      </c>
      <c r="F545" t="s">
        <v>758</v>
      </c>
      <c r="G545">
        <v>4</v>
      </c>
      <c r="H545">
        <v>1080.239</v>
      </c>
      <c r="I545">
        <v>7</v>
      </c>
      <c r="J545">
        <v>1163.79</v>
      </c>
      <c r="K545">
        <v>5.4825867599182097</v>
      </c>
      <c r="L545">
        <v>1219.83</v>
      </c>
      <c r="M545" t="s">
        <v>27</v>
      </c>
      <c r="N545">
        <v>1</v>
      </c>
      <c r="O545">
        <v>1329</v>
      </c>
      <c r="P545">
        <v>1156</v>
      </c>
      <c r="Q545">
        <v>0</v>
      </c>
      <c r="R545">
        <v>1156</v>
      </c>
    </row>
    <row r="546" spans="1:18" x14ac:dyDescent="0.3">
      <c r="A546" s="5">
        <v>45958</v>
      </c>
      <c r="B546" t="s">
        <v>760</v>
      </c>
      <c r="C546">
        <v>21</v>
      </c>
      <c r="D546">
        <v>36</v>
      </c>
      <c r="E546" s="1">
        <v>1.9993055555555554</v>
      </c>
      <c r="F546" t="s">
        <v>758</v>
      </c>
      <c r="G546">
        <v>4</v>
      </c>
      <c r="H546">
        <v>1080.4255000000001</v>
      </c>
      <c r="I546">
        <v>7</v>
      </c>
      <c r="J546">
        <v>1163.79</v>
      </c>
      <c r="K546">
        <v>5.4825867599182097</v>
      </c>
      <c r="L546">
        <v>1219.83</v>
      </c>
      <c r="M546" t="s">
        <v>27</v>
      </c>
      <c r="N546">
        <v>1</v>
      </c>
      <c r="O546">
        <v>1329</v>
      </c>
      <c r="P546">
        <v>1156</v>
      </c>
      <c r="Q546">
        <v>0</v>
      </c>
      <c r="R546">
        <v>1156</v>
      </c>
    </row>
    <row r="547" spans="1:18" x14ac:dyDescent="0.3">
      <c r="A547" s="5">
        <v>45958</v>
      </c>
      <c r="B547" t="s">
        <v>761</v>
      </c>
      <c r="C547">
        <v>17</v>
      </c>
      <c r="D547">
        <v>36</v>
      </c>
      <c r="E547" s="1">
        <v>1.9993055555555554</v>
      </c>
      <c r="F547" t="s">
        <v>758</v>
      </c>
      <c r="G547">
        <v>4</v>
      </c>
      <c r="H547">
        <v>1080.4975999999999</v>
      </c>
      <c r="I547">
        <v>7</v>
      </c>
      <c r="J547">
        <v>1163.79</v>
      </c>
      <c r="K547">
        <v>5.4825867599182097</v>
      </c>
      <c r="L547">
        <v>1219.83</v>
      </c>
      <c r="M547" t="s">
        <v>27</v>
      </c>
      <c r="N547">
        <v>1</v>
      </c>
      <c r="O547">
        <v>1329</v>
      </c>
      <c r="P547">
        <v>1156</v>
      </c>
      <c r="Q547">
        <v>0</v>
      </c>
      <c r="R547">
        <v>1156</v>
      </c>
    </row>
    <row r="548" spans="1:18" x14ac:dyDescent="0.3">
      <c r="A548" s="5">
        <v>45958</v>
      </c>
      <c r="B548" t="s">
        <v>762</v>
      </c>
      <c r="C548">
        <v>18</v>
      </c>
      <c r="D548">
        <v>36</v>
      </c>
      <c r="E548" s="1">
        <v>1.9993055555555554</v>
      </c>
      <c r="F548" t="s">
        <v>758</v>
      </c>
      <c r="G548">
        <v>4</v>
      </c>
      <c r="H548">
        <v>1080.4793999999999</v>
      </c>
      <c r="I548">
        <v>7</v>
      </c>
      <c r="J548">
        <v>1163.79</v>
      </c>
      <c r="K548">
        <v>5.4825867599182097</v>
      </c>
      <c r="L548">
        <v>1219.83</v>
      </c>
      <c r="M548" t="s">
        <v>27</v>
      </c>
      <c r="N548">
        <v>1</v>
      </c>
      <c r="O548">
        <v>1329</v>
      </c>
      <c r="P548">
        <v>1156</v>
      </c>
      <c r="Q548">
        <v>0</v>
      </c>
      <c r="R548">
        <v>1156</v>
      </c>
    </row>
    <row r="549" spans="1:18" x14ac:dyDescent="0.3">
      <c r="A549" s="5">
        <v>45958</v>
      </c>
      <c r="B549" t="s">
        <v>763</v>
      </c>
      <c r="C549">
        <v>19</v>
      </c>
      <c r="D549">
        <v>36</v>
      </c>
      <c r="E549" s="1">
        <v>1.9993055555555554</v>
      </c>
      <c r="F549" t="s">
        <v>758</v>
      </c>
      <c r="G549">
        <v>4</v>
      </c>
      <c r="H549">
        <v>1080.4617000000001</v>
      </c>
      <c r="I549">
        <v>7</v>
      </c>
      <c r="J549">
        <v>1163.79</v>
      </c>
      <c r="K549">
        <v>5.4825867599182097</v>
      </c>
      <c r="L549">
        <v>1219.83</v>
      </c>
      <c r="M549" t="s">
        <v>27</v>
      </c>
      <c r="N549">
        <v>1</v>
      </c>
      <c r="O549">
        <v>1329</v>
      </c>
      <c r="P549">
        <v>1156</v>
      </c>
      <c r="Q549">
        <v>0</v>
      </c>
      <c r="R549">
        <v>1156</v>
      </c>
    </row>
    <row r="550" spans="1:18" x14ac:dyDescent="0.3">
      <c r="A550" s="5">
        <v>45958</v>
      </c>
      <c r="B550" t="s">
        <v>764</v>
      </c>
      <c r="C550">
        <v>4</v>
      </c>
      <c r="D550">
        <v>36</v>
      </c>
      <c r="E550" s="1">
        <v>1.9993055555555554</v>
      </c>
      <c r="F550" t="s">
        <v>765</v>
      </c>
      <c r="G550">
        <v>0</v>
      </c>
      <c r="H550">
        <v>1081.2184</v>
      </c>
      <c r="I550">
        <v>2.5</v>
      </c>
      <c r="J550">
        <v>1163.79</v>
      </c>
      <c r="K550">
        <v>1.9580666999707901</v>
      </c>
      <c r="L550">
        <v>1158.8800000000001</v>
      </c>
      <c r="M550" t="s">
        <v>27</v>
      </c>
      <c r="N550">
        <v>1</v>
      </c>
      <c r="O550">
        <v>1281</v>
      </c>
      <c r="P550">
        <v>1108</v>
      </c>
      <c r="Q550">
        <v>0</v>
      </c>
      <c r="R550">
        <v>1108</v>
      </c>
    </row>
    <row r="551" spans="1:18" x14ac:dyDescent="0.3">
      <c r="A551" s="5">
        <v>45958</v>
      </c>
      <c r="B551" t="s">
        <v>766</v>
      </c>
      <c r="C551">
        <v>34</v>
      </c>
      <c r="D551">
        <v>36</v>
      </c>
      <c r="E551" s="1">
        <v>1.4583333333333333</v>
      </c>
      <c r="F551" t="s">
        <v>767</v>
      </c>
      <c r="G551">
        <v>0</v>
      </c>
      <c r="H551">
        <v>1080.9059999999999</v>
      </c>
      <c r="I551">
        <v>2.5</v>
      </c>
      <c r="J551">
        <v>1163.79</v>
      </c>
      <c r="K551">
        <v>1.9580666999707901</v>
      </c>
      <c r="L551">
        <v>1142.5</v>
      </c>
      <c r="M551" t="s">
        <v>27</v>
      </c>
      <c r="N551">
        <v>1</v>
      </c>
      <c r="O551">
        <v>1281</v>
      </c>
      <c r="P551">
        <v>1108</v>
      </c>
      <c r="Q551">
        <v>0</v>
      </c>
      <c r="R551">
        <v>1108</v>
      </c>
    </row>
    <row r="552" spans="1:18" x14ac:dyDescent="0.3">
      <c r="A552" s="5">
        <v>45958</v>
      </c>
      <c r="B552" t="s">
        <v>768</v>
      </c>
      <c r="C552">
        <v>17</v>
      </c>
      <c r="D552">
        <v>36</v>
      </c>
      <c r="E552" s="1">
        <v>1.4583333333333333</v>
      </c>
      <c r="F552" t="s">
        <v>769</v>
      </c>
      <c r="G552">
        <v>2</v>
      </c>
      <c r="H552">
        <v>1081.3434</v>
      </c>
      <c r="I552">
        <v>5</v>
      </c>
      <c r="J552">
        <v>1163.79</v>
      </c>
      <c r="K552">
        <v>3.9161333999415802</v>
      </c>
      <c r="L552">
        <v>1158.8800000000001</v>
      </c>
      <c r="M552" t="s">
        <v>27</v>
      </c>
      <c r="N552">
        <v>1</v>
      </c>
      <c r="O552">
        <v>1308</v>
      </c>
      <c r="P552">
        <v>1135</v>
      </c>
      <c r="Q552">
        <v>0</v>
      </c>
      <c r="R552">
        <v>1135</v>
      </c>
    </row>
    <row r="553" spans="1:18" x14ac:dyDescent="0.3">
      <c r="A553" s="5">
        <v>45958</v>
      </c>
      <c r="B553" t="s">
        <v>770</v>
      </c>
      <c r="C553">
        <v>11</v>
      </c>
      <c r="D553">
        <v>35</v>
      </c>
      <c r="E553" s="1">
        <v>1.9993055555555554</v>
      </c>
      <c r="F553" t="s">
        <v>771</v>
      </c>
      <c r="G553">
        <v>0</v>
      </c>
      <c r="H553">
        <v>1081.1722</v>
      </c>
      <c r="I553">
        <v>2.5</v>
      </c>
      <c r="J553">
        <v>1163.79</v>
      </c>
      <c r="K553">
        <v>1.9580666999707901</v>
      </c>
      <c r="L553">
        <v>1120.69</v>
      </c>
      <c r="M553" t="s">
        <v>27</v>
      </c>
      <c r="N553">
        <v>1</v>
      </c>
      <c r="O553">
        <v>1281</v>
      </c>
      <c r="P553">
        <v>1108</v>
      </c>
      <c r="Q553">
        <v>0</v>
      </c>
      <c r="R553">
        <v>1108</v>
      </c>
    </row>
    <row r="554" spans="1:18" x14ac:dyDescent="0.3">
      <c r="A554" s="5">
        <v>45958</v>
      </c>
      <c r="B554" t="s">
        <v>770</v>
      </c>
      <c r="C554">
        <v>11</v>
      </c>
      <c r="D554">
        <v>35</v>
      </c>
      <c r="E554" s="1">
        <v>1.9993055555555554</v>
      </c>
      <c r="F554" t="s">
        <v>771</v>
      </c>
      <c r="G554">
        <v>0</v>
      </c>
      <c r="H554">
        <v>1081.1722</v>
      </c>
      <c r="I554">
        <v>2.5</v>
      </c>
      <c r="J554">
        <v>1163.79</v>
      </c>
      <c r="K554">
        <v>1.9580666999707901</v>
      </c>
      <c r="L554">
        <v>1120.69</v>
      </c>
      <c r="M554" t="s">
        <v>27</v>
      </c>
      <c r="N554">
        <v>1</v>
      </c>
      <c r="O554">
        <v>1281</v>
      </c>
      <c r="P554">
        <v>1108</v>
      </c>
      <c r="Q554">
        <v>0</v>
      </c>
      <c r="R554">
        <v>1108</v>
      </c>
    </row>
    <row r="555" spans="1:18" x14ac:dyDescent="0.3">
      <c r="A555" s="5">
        <v>45958</v>
      </c>
      <c r="B555" t="s">
        <v>772</v>
      </c>
      <c r="C555">
        <v>12</v>
      </c>
      <c r="D555">
        <v>35</v>
      </c>
      <c r="E555" s="1">
        <v>1.9993055555555554</v>
      </c>
      <c r="F555" t="s">
        <v>771</v>
      </c>
      <c r="G555">
        <v>0</v>
      </c>
      <c r="H555">
        <v>1081.1543999999999</v>
      </c>
      <c r="I555">
        <v>2.5</v>
      </c>
      <c r="J555">
        <v>1163.79</v>
      </c>
      <c r="K555">
        <v>1.9580666999707901</v>
      </c>
      <c r="L555">
        <v>1158.8800000000001</v>
      </c>
      <c r="M555" t="s">
        <v>27</v>
      </c>
      <c r="N555">
        <v>1</v>
      </c>
      <c r="O555">
        <v>1281</v>
      </c>
      <c r="P555">
        <v>1108</v>
      </c>
      <c r="Q555">
        <v>0</v>
      </c>
      <c r="R555">
        <v>1108</v>
      </c>
    </row>
    <row r="556" spans="1:18" x14ac:dyDescent="0.3">
      <c r="A556" s="5">
        <v>45958</v>
      </c>
      <c r="B556" t="s">
        <v>772</v>
      </c>
      <c r="C556">
        <v>12</v>
      </c>
      <c r="D556">
        <v>35</v>
      </c>
      <c r="E556" s="1">
        <v>1.9993055555555554</v>
      </c>
      <c r="F556" t="s">
        <v>771</v>
      </c>
      <c r="G556">
        <v>0</v>
      </c>
      <c r="H556">
        <v>1081.1543999999999</v>
      </c>
      <c r="I556">
        <v>2.5</v>
      </c>
      <c r="J556">
        <v>1163.79</v>
      </c>
      <c r="K556">
        <v>1.9580666999707901</v>
      </c>
      <c r="L556">
        <v>1158.8800000000001</v>
      </c>
      <c r="M556" t="s">
        <v>27</v>
      </c>
      <c r="N556">
        <v>1</v>
      </c>
      <c r="O556">
        <v>1281</v>
      </c>
      <c r="P556">
        <v>1108</v>
      </c>
      <c r="Q556">
        <v>0</v>
      </c>
      <c r="R556">
        <v>1108</v>
      </c>
    </row>
    <row r="557" spans="1:18" x14ac:dyDescent="0.3">
      <c r="A557" s="5">
        <v>45958</v>
      </c>
      <c r="B557" t="s">
        <v>773</v>
      </c>
      <c r="C557">
        <v>29</v>
      </c>
      <c r="D557">
        <v>36</v>
      </c>
      <c r="E557" s="1">
        <v>1.9993055555555554</v>
      </c>
      <c r="F557" t="s">
        <v>774</v>
      </c>
      <c r="G557">
        <v>0</v>
      </c>
      <c r="H557">
        <v>1080.7107000000001</v>
      </c>
      <c r="I557">
        <v>2.5</v>
      </c>
      <c r="J557">
        <v>1163.79</v>
      </c>
      <c r="K557">
        <v>1.9580666999707901</v>
      </c>
      <c r="L557">
        <v>1116.3800000000001</v>
      </c>
      <c r="M557" t="s">
        <v>27</v>
      </c>
      <c r="N557">
        <v>1</v>
      </c>
      <c r="O557">
        <v>1281</v>
      </c>
      <c r="P557">
        <v>1108</v>
      </c>
      <c r="Q557">
        <v>0</v>
      </c>
      <c r="R557">
        <v>1108</v>
      </c>
    </row>
    <row r="558" spans="1:18" x14ac:dyDescent="0.3">
      <c r="A558" s="5">
        <v>45958</v>
      </c>
      <c r="B558" t="s">
        <v>775</v>
      </c>
      <c r="C558">
        <v>28</v>
      </c>
      <c r="D558">
        <v>36</v>
      </c>
      <c r="E558" s="1">
        <v>1.9993055555555554</v>
      </c>
      <c r="F558" t="s">
        <v>774</v>
      </c>
      <c r="G558">
        <v>0</v>
      </c>
      <c r="H558">
        <v>1080.7289000000001</v>
      </c>
      <c r="I558">
        <v>2.5</v>
      </c>
      <c r="J558">
        <v>1163.79</v>
      </c>
      <c r="K558">
        <v>1.9580666999707901</v>
      </c>
      <c r="L558">
        <v>609.91</v>
      </c>
      <c r="M558" t="s">
        <v>60</v>
      </c>
      <c r="N558">
        <v>1</v>
      </c>
      <c r="O558">
        <v>1281</v>
      </c>
      <c r="P558">
        <v>1108</v>
      </c>
      <c r="Q558">
        <v>0.5</v>
      </c>
      <c r="R558">
        <v>554</v>
      </c>
    </row>
    <row r="559" spans="1:18" x14ac:dyDescent="0.3">
      <c r="A559" s="5">
        <v>45958</v>
      </c>
      <c r="B559" t="s">
        <v>586</v>
      </c>
      <c r="C559">
        <v>2</v>
      </c>
      <c r="D559">
        <v>36</v>
      </c>
      <c r="E559" s="1">
        <v>1.0833333333333333</v>
      </c>
      <c r="F559" t="s">
        <v>587</v>
      </c>
      <c r="G559">
        <v>2</v>
      </c>
      <c r="H559">
        <v>1081.6033</v>
      </c>
      <c r="I559">
        <v>5</v>
      </c>
      <c r="J559">
        <v>1163.79</v>
      </c>
      <c r="K559">
        <v>3.9161333999415802</v>
      </c>
      <c r="L559">
        <v>601.29</v>
      </c>
      <c r="M559" t="s">
        <v>60</v>
      </c>
      <c r="N559">
        <v>1</v>
      </c>
      <c r="O559">
        <v>1309</v>
      </c>
      <c r="P559">
        <v>1136</v>
      </c>
      <c r="Q559">
        <v>0.5</v>
      </c>
      <c r="R559">
        <v>568</v>
      </c>
    </row>
    <row r="560" spans="1:18" x14ac:dyDescent="0.3">
      <c r="A560" s="5">
        <v>45958</v>
      </c>
      <c r="B560" t="s">
        <v>588</v>
      </c>
      <c r="C560">
        <v>3</v>
      </c>
      <c r="D560">
        <v>36</v>
      </c>
      <c r="E560" s="1">
        <v>1.0833333333333333</v>
      </c>
      <c r="F560" t="s">
        <v>589</v>
      </c>
      <c r="G560">
        <v>4</v>
      </c>
      <c r="H560">
        <v>1081.5853999999999</v>
      </c>
      <c r="I560">
        <v>7</v>
      </c>
      <c r="J560">
        <v>1163.79</v>
      </c>
      <c r="K560">
        <v>5.4825867599182097</v>
      </c>
      <c r="L560">
        <v>1202.5899999999999</v>
      </c>
      <c r="M560" t="s">
        <v>27</v>
      </c>
      <c r="N560">
        <v>1</v>
      </c>
      <c r="O560">
        <v>1330</v>
      </c>
      <c r="P560">
        <v>1157</v>
      </c>
      <c r="Q560">
        <v>0</v>
      </c>
      <c r="R560">
        <v>1157</v>
      </c>
    </row>
    <row r="561" spans="1:18" x14ac:dyDescent="0.3">
      <c r="A561" s="5">
        <v>45958</v>
      </c>
      <c r="B561" t="s">
        <v>776</v>
      </c>
      <c r="C561">
        <v>15</v>
      </c>
      <c r="D561">
        <v>36</v>
      </c>
      <c r="E561" s="1">
        <v>1.9791666666666665</v>
      </c>
      <c r="F561" t="s">
        <v>777</v>
      </c>
      <c r="G561">
        <v>2</v>
      </c>
      <c r="H561">
        <v>1081.0645</v>
      </c>
      <c r="I561">
        <v>5</v>
      </c>
      <c r="J561">
        <v>1163.79</v>
      </c>
      <c r="K561">
        <v>3.9161333999415802</v>
      </c>
      <c r="L561">
        <v>609.91</v>
      </c>
      <c r="M561" t="s">
        <v>60</v>
      </c>
      <c r="N561">
        <v>1</v>
      </c>
      <c r="O561">
        <v>1308</v>
      </c>
      <c r="P561">
        <v>1135</v>
      </c>
      <c r="Q561">
        <v>0.5</v>
      </c>
      <c r="R561">
        <v>567.5</v>
      </c>
    </row>
    <row r="562" spans="1:18" x14ac:dyDescent="0.3">
      <c r="A562" s="5">
        <v>45958</v>
      </c>
      <c r="B562" t="s">
        <v>776</v>
      </c>
      <c r="C562">
        <v>15</v>
      </c>
      <c r="D562">
        <v>36</v>
      </c>
      <c r="E562" s="1">
        <v>1.9791666666666665</v>
      </c>
      <c r="F562" t="s">
        <v>777</v>
      </c>
      <c r="G562">
        <v>2</v>
      </c>
      <c r="H562">
        <v>1081.0645</v>
      </c>
      <c r="I562">
        <v>5</v>
      </c>
      <c r="J562">
        <v>1163.79</v>
      </c>
      <c r="K562">
        <v>3.9161333999415802</v>
      </c>
      <c r="L562">
        <v>609.91</v>
      </c>
      <c r="M562" t="s">
        <v>60</v>
      </c>
      <c r="N562">
        <v>1</v>
      </c>
      <c r="O562">
        <v>1308</v>
      </c>
      <c r="P562">
        <v>1135</v>
      </c>
      <c r="Q562">
        <v>0.5</v>
      </c>
      <c r="R562">
        <v>567.5</v>
      </c>
    </row>
    <row r="563" spans="1:18" x14ac:dyDescent="0.3">
      <c r="A563" s="5">
        <v>45958</v>
      </c>
      <c r="B563" t="s">
        <v>778</v>
      </c>
      <c r="C563">
        <v>14</v>
      </c>
      <c r="D563">
        <v>36</v>
      </c>
      <c r="E563" s="1">
        <v>1.9791666666666665</v>
      </c>
      <c r="F563" t="s">
        <v>777</v>
      </c>
      <c r="G563">
        <v>2</v>
      </c>
      <c r="H563">
        <v>1081.0825</v>
      </c>
      <c r="I563">
        <v>5</v>
      </c>
      <c r="J563">
        <v>1163.79</v>
      </c>
      <c r="K563">
        <v>3.9161333999415802</v>
      </c>
      <c r="L563">
        <v>609.91</v>
      </c>
      <c r="M563" t="s">
        <v>60</v>
      </c>
      <c r="N563">
        <v>1</v>
      </c>
      <c r="O563">
        <v>1308</v>
      </c>
      <c r="P563">
        <v>1135</v>
      </c>
      <c r="Q563">
        <v>0.5</v>
      </c>
      <c r="R563">
        <v>567.5</v>
      </c>
    </row>
    <row r="564" spans="1:18" x14ac:dyDescent="0.3">
      <c r="A564" s="5">
        <v>45958</v>
      </c>
      <c r="B564" t="s">
        <v>778</v>
      </c>
      <c r="C564">
        <v>14</v>
      </c>
      <c r="D564">
        <v>36</v>
      </c>
      <c r="E564" s="1">
        <v>1.9791666666666665</v>
      </c>
      <c r="F564" t="s">
        <v>777</v>
      </c>
      <c r="G564">
        <v>2</v>
      </c>
      <c r="H564">
        <v>1081.0825</v>
      </c>
      <c r="I564">
        <v>5</v>
      </c>
      <c r="J564">
        <v>1163.79</v>
      </c>
      <c r="K564">
        <v>3.9161333999415802</v>
      </c>
      <c r="L564">
        <v>609.91</v>
      </c>
      <c r="M564" t="s">
        <v>60</v>
      </c>
      <c r="N564">
        <v>1</v>
      </c>
      <c r="O564">
        <v>1308</v>
      </c>
      <c r="P564">
        <v>1135</v>
      </c>
      <c r="Q564">
        <v>0.5</v>
      </c>
      <c r="R564">
        <v>567.5</v>
      </c>
    </row>
    <row r="565" spans="1:18" x14ac:dyDescent="0.3">
      <c r="A565" s="5">
        <v>45958</v>
      </c>
      <c r="B565" t="s">
        <v>779</v>
      </c>
      <c r="C565">
        <v>36</v>
      </c>
      <c r="D565">
        <v>36</v>
      </c>
      <c r="E565" s="1">
        <v>1.9993055555555554</v>
      </c>
      <c r="F565" t="s">
        <v>780</v>
      </c>
      <c r="G565">
        <v>4</v>
      </c>
      <c r="H565">
        <v>1080.5543</v>
      </c>
      <c r="I565">
        <v>7</v>
      </c>
      <c r="J565">
        <v>1163.79</v>
      </c>
      <c r="K565">
        <v>5.4825867599182097</v>
      </c>
      <c r="L565">
        <v>1158.8800000000001</v>
      </c>
      <c r="M565" t="s">
        <v>27</v>
      </c>
      <c r="N565">
        <v>1</v>
      </c>
      <c r="O565">
        <v>1329</v>
      </c>
      <c r="P565">
        <v>1156</v>
      </c>
      <c r="Q565">
        <v>0</v>
      </c>
      <c r="R565">
        <v>1156</v>
      </c>
    </row>
    <row r="566" spans="1:18" x14ac:dyDescent="0.3">
      <c r="A566" s="5">
        <v>45959</v>
      </c>
      <c r="B566" t="s">
        <v>781</v>
      </c>
      <c r="C566">
        <v>35</v>
      </c>
      <c r="D566">
        <v>36</v>
      </c>
      <c r="E566" s="1">
        <v>1.9791666666666665</v>
      </c>
      <c r="F566" t="s">
        <v>782</v>
      </c>
      <c r="G566">
        <v>4</v>
      </c>
      <c r="H566">
        <v>1080.6548</v>
      </c>
      <c r="I566">
        <v>7</v>
      </c>
      <c r="J566">
        <v>1163.79</v>
      </c>
      <c r="K566">
        <v>5.4825867599182097</v>
      </c>
      <c r="L566">
        <v>1142.5</v>
      </c>
      <c r="M566" t="s">
        <v>27</v>
      </c>
      <c r="N566">
        <v>1</v>
      </c>
      <c r="O566">
        <v>1329</v>
      </c>
      <c r="P566">
        <v>1156</v>
      </c>
      <c r="Q566">
        <v>0</v>
      </c>
      <c r="R566">
        <v>1156</v>
      </c>
    </row>
    <row r="567" spans="1:18" x14ac:dyDescent="0.3">
      <c r="A567" s="5">
        <v>45959</v>
      </c>
      <c r="B567" t="s">
        <v>783</v>
      </c>
      <c r="C567">
        <v>13</v>
      </c>
      <c r="D567">
        <v>36</v>
      </c>
      <c r="E567" s="1">
        <v>1.0833333333333333</v>
      </c>
      <c r="F567" t="s">
        <v>784</v>
      </c>
      <c r="G567">
        <v>0</v>
      </c>
      <c r="H567">
        <v>1081.3526999999999</v>
      </c>
      <c r="I567">
        <v>2.5</v>
      </c>
      <c r="J567">
        <v>1163.79</v>
      </c>
      <c r="K567">
        <v>1.9580666999707901</v>
      </c>
      <c r="L567">
        <v>1116.3800000000001</v>
      </c>
      <c r="M567" t="s">
        <v>27</v>
      </c>
      <c r="N567">
        <v>1</v>
      </c>
      <c r="O567">
        <v>1281</v>
      </c>
      <c r="P567">
        <v>1108</v>
      </c>
      <c r="Q567">
        <v>0</v>
      </c>
      <c r="R567">
        <v>1108</v>
      </c>
    </row>
    <row r="568" spans="1:18" x14ac:dyDescent="0.3">
      <c r="A568" s="5">
        <v>45959</v>
      </c>
      <c r="B568" t="s">
        <v>785</v>
      </c>
      <c r="C568">
        <v>14</v>
      </c>
      <c r="D568">
        <v>36</v>
      </c>
      <c r="E568" s="1">
        <v>1.9993055555555554</v>
      </c>
      <c r="F568" t="s">
        <v>786</v>
      </c>
      <c r="G568">
        <v>4</v>
      </c>
      <c r="H568">
        <v>1081.1034999999999</v>
      </c>
      <c r="I568">
        <v>7</v>
      </c>
      <c r="J568">
        <v>1163.79</v>
      </c>
      <c r="K568">
        <v>5.4825867599182097</v>
      </c>
      <c r="L568">
        <v>1097.8399999999999</v>
      </c>
      <c r="M568" t="s">
        <v>27</v>
      </c>
      <c r="N568">
        <v>1</v>
      </c>
      <c r="O568">
        <v>1330</v>
      </c>
      <c r="P568">
        <v>1157</v>
      </c>
      <c r="Q568">
        <v>0</v>
      </c>
      <c r="R568">
        <v>1157</v>
      </c>
    </row>
    <row r="569" spans="1:18" x14ac:dyDescent="0.3">
      <c r="A569" s="5">
        <v>45959</v>
      </c>
      <c r="B569" t="s">
        <v>785</v>
      </c>
      <c r="C569">
        <v>14</v>
      </c>
      <c r="D569">
        <v>36</v>
      </c>
      <c r="E569" s="1">
        <v>1.9993055555555554</v>
      </c>
      <c r="F569" t="s">
        <v>787</v>
      </c>
      <c r="G569">
        <v>4</v>
      </c>
      <c r="H569">
        <v>1081.1034999999999</v>
      </c>
      <c r="I569">
        <v>7</v>
      </c>
      <c r="J569">
        <v>1163.79</v>
      </c>
      <c r="K569">
        <v>5.4825867599182097</v>
      </c>
      <c r="L569">
        <v>1097.8399999999999</v>
      </c>
      <c r="M569" t="s">
        <v>27</v>
      </c>
      <c r="N569">
        <v>1</v>
      </c>
      <c r="O569">
        <v>1330</v>
      </c>
      <c r="P569">
        <v>1157</v>
      </c>
      <c r="Q569">
        <v>0</v>
      </c>
      <c r="R569">
        <v>1157</v>
      </c>
    </row>
    <row r="570" spans="1:18" x14ac:dyDescent="0.3">
      <c r="A570" s="5">
        <v>45959</v>
      </c>
      <c r="B570" t="s">
        <v>788</v>
      </c>
      <c r="C570">
        <v>13</v>
      </c>
      <c r="D570">
        <v>36</v>
      </c>
      <c r="E570" s="1">
        <v>1.9993055555555554</v>
      </c>
      <c r="F570" t="s">
        <v>786</v>
      </c>
      <c r="G570">
        <v>4</v>
      </c>
      <c r="H570">
        <v>1081.1215999999999</v>
      </c>
      <c r="I570">
        <v>7</v>
      </c>
      <c r="J570">
        <v>1163.79</v>
      </c>
      <c r="K570">
        <v>5.4825867599182097</v>
      </c>
      <c r="L570">
        <v>1097.8399999999999</v>
      </c>
      <c r="M570" t="s">
        <v>27</v>
      </c>
      <c r="N570">
        <v>1</v>
      </c>
      <c r="O570">
        <v>1330</v>
      </c>
      <c r="P570">
        <v>1157</v>
      </c>
      <c r="Q570">
        <v>0</v>
      </c>
      <c r="R570">
        <v>1157</v>
      </c>
    </row>
    <row r="571" spans="1:18" x14ac:dyDescent="0.3">
      <c r="A571" s="5">
        <v>45959</v>
      </c>
      <c r="B571" t="s">
        <v>788</v>
      </c>
      <c r="C571">
        <v>13</v>
      </c>
      <c r="D571">
        <v>36</v>
      </c>
      <c r="E571" s="1">
        <v>1.9993055555555554</v>
      </c>
      <c r="F571" t="s">
        <v>787</v>
      </c>
      <c r="G571">
        <v>4</v>
      </c>
      <c r="H571">
        <v>1081.1215999999999</v>
      </c>
      <c r="I571">
        <v>7</v>
      </c>
      <c r="J571">
        <v>1163.79</v>
      </c>
      <c r="K571">
        <v>5.4825867599182097</v>
      </c>
      <c r="L571">
        <v>1097.8399999999999</v>
      </c>
      <c r="M571" t="s">
        <v>27</v>
      </c>
      <c r="N571">
        <v>1</v>
      </c>
      <c r="O571">
        <v>1330</v>
      </c>
      <c r="P571">
        <v>1157</v>
      </c>
      <c r="Q571">
        <v>0</v>
      </c>
      <c r="R571">
        <v>1157</v>
      </c>
    </row>
    <row r="572" spans="1:18" x14ac:dyDescent="0.3">
      <c r="A572" s="5">
        <v>45959</v>
      </c>
      <c r="B572" t="s">
        <v>789</v>
      </c>
      <c r="C572">
        <v>17</v>
      </c>
      <c r="D572">
        <v>36</v>
      </c>
      <c r="E572" s="1">
        <v>1.0833333333333333</v>
      </c>
      <c r="F572" t="s">
        <v>790</v>
      </c>
      <c r="G572">
        <v>4</v>
      </c>
      <c r="H572">
        <v>1081.2809</v>
      </c>
      <c r="I572">
        <v>7</v>
      </c>
      <c r="J572">
        <v>1163.79</v>
      </c>
      <c r="K572">
        <v>5.4825867599182097</v>
      </c>
      <c r="L572">
        <v>1158.8800000000001</v>
      </c>
      <c r="M572" t="s">
        <v>27</v>
      </c>
      <c r="N572">
        <v>1</v>
      </c>
      <c r="O572">
        <v>1330</v>
      </c>
      <c r="P572">
        <v>1157</v>
      </c>
      <c r="Q572">
        <v>0</v>
      </c>
      <c r="R572">
        <v>1157</v>
      </c>
    </row>
    <row r="573" spans="1:18" x14ac:dyDescent="0.3">
      <c r="A573" s="5">
        <v>45959</v>
      </c>
      <c r="B573" t="s">
        <v>791</v>
      </c>
      <c r="C573">
        <v>24</v>
      </c>
      <c r="D573">
        <v>36</v>
      </c>
      <c r="E573" s="1">
        <v>1.0833333333333333</v>
      </c>
      <c r="F573" t="s">
        <v>792</v>
      </c>
      <c r="G573">
        <v>5</v>
      </c>
      <c r="H573">
        <v>1081.0219</v>
      </c>
      <c r="I573">
        <v>0</v>
      </c>
      <c r="J573">
        <v>1163.79</v>
      </c>
      <c r="K573">
        <v>0</v>
      </c>
      <c r="L573">
        <v>1158.8800000000001</v>
      </c>
      <c r="M573" t="s">
        <v>27</v>
      </c>
      <c r="N573">
        <v>1</v>
      </c>
      <c r="O573">
        <v>1254</v>
      </c>
      <c r="P573">
        <v>1081</v>
      </c>
      <c r="Q573">
        <v>0</v>
      </c>
      <c r="R573">
        <v>1081</v>
      </c>
    </row>
    <row r="574" spans="1:18" x14ac:dyDescent="0.3">
      <c r="A574" s="5">
        <v>45959</v>
      </c>
      <c r="B574" t="s">
        <v>793</v>
      </c>
      <c r="C574">
        <v>32</v>
      </c>
      <c r="D574">
        <v>36</v>
      </c>
      <c r="E574" s="1">
        <v>1.9993055555555554</v>
      </c>
      <c r="F574" t="s">
        <v>794</v>
      </c>
      <c r="G574">
        <v>2</v>
      </c>
      <c r="H574">
        <v>1080.69</v>
      </c>
      <c r="I574">
        <v>5</v>
      </c>
      <c r="J574">
        <v>1163.79</v>
      </c>
      <c r="K574">
        <v>3.9161333999415802</v>
      </c>
      <c r="L574">
        <v>609.91</v>
      </c>
      <c r="M574" t="s">
        <v>60</v>
      </c>
      <c r="N574">
        <v>1</v>
      </c>
      <c r="O574">
        <v>1308</v>
      </c>
      <c r="P574">
        <v>1135</v>
      </c>
      <c r="Q574">
        <v>0.5</v>
      </c>
      <c r="R574">
        <v>567.5</v>
      </c>
    </row>
    <row r="575" spans="1:18" x14ac:dyDescent="0.3">
      <c r="A575" s="5">
        <v>45959</v>
      </c>
      <c r="B575" t="s">
        <v>795</v>
      </c>
      <c r="C575">
        <v>35</v>
      </c>
      <c r="D575">
        <v>36</v>
      </c>
      <c r="E575" s="1">
        <v>1.9993055555555554</v>
      </c>
      <c r="F575" t="s">
        <v>796</v>
      </c>
      <c r="G575">
        <v>2</v>
      </c>
      <c r="H575">
        <v>1080.6359</v>
      </c>
      <c r="I575">
        <v>5</v>
      </c>
      <c r="J575">
        <v>1163.79</v>
      </c>
      <c r="K575">
        <v>3.9161333999415802</v>
      </c>
      <c r="L575">
        <v>609.91</v>
      </c>
      <c r="M575" t="s">
        <v>60</v>
      </c>
      <c r="N575">
        <v>1</v>
      </c>
      <c r="O575">
        <v>1308</v>
      </c>
      <c r="P575">
        <v>1135</v>
      </c>
      <c r="Q575">
        <v>0.5</v>
      </c>
      <c r="R575">
        <v>567.5</v>
      </c>
    </row>
    <row r="576" spans="1:18" x14ac:dyDescent="0.3">
      <c r="A576" s="5">
        <v>45959</v>
      </c>
      <c r="B576" t="s">
        <v>797</v>
      </c>
      <c r="C576">
        <v>33</v>
      </c>
      <c r="D576">
        <v>36</v>
      </c>
      <c r="E576" s="1">
        <v>1.9652777777777777</v>
      </c>
      <c r="F576" t="s">
        <v>798</v>
      </c>
      <c r="G576">
        <v>4</v>
      </c>
      <c r="H576">
        <v>1080.7376999999999</v>
      </c>
      <c r="I576">
        <v>7</v>
      </c>
      <c r="J576">
        <v>1163.79</v>
      </c>
      <c r="K576">
        <v>5.4825867599182097</v>
      </c>
      <c r="L576">
        <v>1097.8399999999999</v>
      </c>
      <c r="M576" t="s">
        <v>27</v>
      </c>
      <c r="N576">
        <v>1</v>
      </c>
      <c r="O576">
        <v>1329</v>
      </c>
      <c r="P576">
        <v>1156</v>
      </c>
      <c r="Q576">
        <v>0</v>
      </c>
      <c r="R576">
        <v>1156</v>
      </c>
    </row>
    <row r="577" spans="1:18" x14ac:dyDescent="0.3">
      <c r="A577" s="5">
        <v>45959</v>
      </c>
      <c r="B577" t="s">
        <v>797</v>
      </c>
      <c r="C577">
        <v>33</v>
      </c>
      <c r="D577">
        <v>36</v>
      </c>
      <c r="E577" s="1">
        <v>1.9652777777777777</v>
      </c>
      <c r="F577" t="s">
        <v>798</v>
      </c>
      <c r="G577">
        <v>4</v>
      </c>
      <c r="H577">
        <v>1080.7376999999999</v>
      </c>
      <c r="I577">
        <v>7</v>
      </c>
      <c r="J577">
        <v>1163.79</v>
      </c>
      <c r="K577">
        <v>5.4825867599182097</v>
      </c>
      <c r="L577">
        <v>1097.8399999999999</v>
      </c>
      <c r="M577" t="s">
        <v>27</v>
      </c>
      <c r="N577">
        <v>1</v>
      </c>
      <c r="O577">
        <v>1329</v>
      </c>
      <c r="P577">
        <v>1156</v>
      </c>
      <c r="Q577">
        <v>0</v>
      </c>
      <c r="R577">
        <v>1156</v>
      </c>
    </row>
    <row r="578" spans="1:18" x14ac:dyDescent="0.3">
      <c r="A578" s="5">
        <v>45959</v>
      </c>
      <c r="B578" t="s">
        <v>799</v>
      </c>
      <c r="C578">
        <v>34</v>
      </c>
      <c r="D578">
        <v>36</v>
      </c>
      <c r="E578" s="1">
        <v>1.9652777777777777</v>
      </c>
      <c r="F578" t="s">
        <v>798</v>
      </c>
      <c r="G578">
        <v>4</v>
      </c>
      <c r="H578">
        <v>1080.72</v>
      </c>
      <c r="I578">
        <v>7</v>
      </c>
      <c r="J578">
        <v>1163.79</v>
      </c>
      <c r="K578">
        <v>5.4825867599182097</v>
      </c>
      <c r="L578">
        <v>1097.8399999999999</v>
      </c>
      <c r="M578" t="s">
        <v>27</v>
      </c>
      <c r="N578">
        <v>1</v>
      </c>
      <c r="O578">
        <v>1329</v>
      </c>
      <c r="P578">
        <v>1156</v>
      </c>
      <c r="Q578">
        <v>0</v>
      </c>
      <c r="R578">
        <v>1156</v>
      </c>
    </row>
    <row r="579" spans="1:18" x14ac:dyDescent="0.3">
      <c r="A579" s="5">
        <v>45959</v>
      </c>
      <c r="B579" t="s">
        <v>799</v>
      </c>
      <c r="C579">
        <v>34</v>
      </c>
      <c r="D579">
        <v>36</v>
      </c>
      <c r="E579" s="1">
        <v>1.9652777777777777</v>
      </c>
      <c r="F579" t="s">
        <v>798</v>
      </c>
      <c r="G579">
        <v>4</v>
      </c>
      <c r="H579">
        <v>1080.72</v>
      </c>
      <c r="I579">
        <v>7</v>
      </c>
      <c r="J579">
        <v>1163.79</v>
      </c>
      <c r="K579">
        <v>5.4825867599182097</v>
      </c>
      <c r="L579">
        <v>1097.8399999999999</v>
      </c>
      <c r="M579" t="s">
        <v>27</v>
      </c>
      <c r="N579">
        <v>1</v>
      </c>
      <c r="O579">
        <v>1329</v>
      </c>
      <c r="P579">
        <v>1156</v>
      </c>
      <c r="Q579">
        <v>0</v>
      </c>
      <c r="R579">
        <v>1156</v>
      </c>
    </row>
    <row r="580" spans="1:18" x14ac:dyDescent="0.3">
      <c r="A580" s="5">
        <v>45959</v>
      </c>
      <c r="B580" t="s">
        <v>800</v>
      </c>
      <c r="C580">
        <v>5</v>
      </c>
      <c r="D580">
        <v>36</v>
      </c>
      <c r="E580" s="1">
        <v>1.9993055555555554</v>
      </c>
      <c r="F580" t="s">
        <v>801</v>
      </c>
      <c r="G580">
        <v>2</v>
      </c>
      <c r="H580">
        <v>1081.2788</v>
      </c>
      <c r="I580">
        <v>5</v>
      </c>
      <c r="J580">
        <v>1163.79</v>
      </c>
      <c r="K580">
        <v>3.9161333999415802</v>
      </c>
      <c r="L580">
        <v>609.91</v>
      </c>
      <c r="M580" t="s">
        <v>60</v>
      </c>
      <c r="N580">
        <v>1</v>
      </c>
      <c r="O580">
        <v>1308</v>
      </c>
      <c r="P580">
        <v>1135</v>
      </c>
      <c r="Q580">
        <v>0.5</v>
      </c>
      <c r="R580">
        <v>567.5</v>
      </c>
    </row>
    <row r="581" spans="1:18" x14ac:dyDescent="0.3">
      <c r="A581" s="5">
        <v>45959</v>
      </c>
      <c r="B581" t="s">
        <v>802</v>
      </c>
      <c r="C581">
        <v>6</v>
      </c>
      <c r="D581">
        <v>36</v>
      </c>
      <c r="E581" s="1">
        <v>1.9993055555555554</v>
      </c>
      <c r="F581" t="s">
        <v>803</v>
      </c>
      <c r="G581">
        <v>4</v>
      </c>
      <c r="H581">
        <v>1081.2607</v>
      </c>
      <c r="I581">
        <v>7</v>
      </c>
      <c r="J581">
        <v>1163.79</v>
      </c>
      <c r="K581">
        <v>5.4825867599182097</v>
      </c>
      <c r="L581">
        <v>1097.8399999999999</v>
      </c>
      <c r="M581" t="s">
        <v>27</v>
      </c>
      <c r="N581">
        <v>1</v>
      </c>
      <c r="O581">
        <v>1330</v>
      </c>
      <c r="P581">
        <v>1157</v>
      </c>
      <c r="Q581">
        <v>0</v>
      </c>
      <c r="R581">
        <v>1157</v>
      </c>
    </row>
    <row r="582" spans="1:18" x14ac:dyDescent="0.3">
      <c r="A582" s="5">
        <v>45959</v>
      </c>
      <c r="B582" t="s">
        <v>804</v>
      </c>
      <c r="C582">
        <v>7</v>
      </c>
      <c r="D582">
        <v>36</v>
      </c>
      <c r="E582" s="1">
        <v>1.0833333333333333</v>
      </c>
      <c r="F582" t="s">
        <v>805</v>
      </c>
      <c r="G582">
        <v>0</v>
      </c>
      <c r="H582">
        <v>1081.4294</v>
      </c>
      <c r="I582">
        <v>2.5</v>
      </c>
      <c r="J582">
        <v>1163.79</v>
      </c>
      <c r="K582">
        <v>1.9580666999707901</v>
      </c>
      <c r="L582">
        <v>1158.8800000000001</v>
      </c>
      <c r="M582" t="s">
        <v>27</v>
      </c>
      <c r="N582">
        <v>1</v>
      </c>
      <c r="O582">
        <v>1281</v>
      </c>
      <c r="P582">
        <v>1108</v>
      </c>
      <c r="Q582">
        <v>0</v>
      </c>
      <c r="R582">
        <v>1108</v>
      </c>
    </row>
    <row r="583" spans="1:18" x14ac:dyDescent="0.3">
      <c r="A583" s="5">
        <v>45959</v>
      </c>
      <c r="B583" t="s">
        <v>806</v>
      </c>
      <c r="C583">
        <v>30</v>
      </c>
      <c r="D583">
        <v>36</v>
      </c>
      <c r="E583" s="1">
        <v>1.9791666666666665</v>
      </c>
      <c r="F583" t="s">
        <v>807</v>
      </c>
      <c r="G583">
        <v>2</v>
      </c>
      <c r="H583">
        <v>1080.6224</v>
      </c>
      <c r="I583">
        <v>5</v>
      </c>
      <c r="J583">
        <v>1163.79</v>
      </c>
      <c r="K583">
        <v>3.9161333999415802</v>
      </c>
      <c r="L583">
        <v>609.91</v>
      </c>
      <c r="M583" t="s">
        <v>60</v>
      </c>
      <c r="N583">
        <v>1</v>
      </c>
      <c r="O583">
        <v>1308</v>
      </c>
      <c r="P583">
        <v>1135</v>
      </c>
      <c r="Q583">
        <v>0.5</v>
      </c>
      <c r="R583">
        <v>567.5</v>
      </c>
    </row>
    <row r="584" spans="1:18" x14ac:dyDescent="0.3">
      <c r="A584" s="5">
        <v>45959</v>
      </c>
      <c r="B584" t="s">
        <v>808</v>
      </c>
      <c r="C584">
        <v>31</v>
      </c>
      <c r="D584">
        <v>36</v>
      </c>
      <c r="E584" s="1">
        <v>1.9791666666666665</v>
      </c>
      <c r="F584" t="s">
        <v>809</v>
      </c>
      <c r="G584">
        <v>2</v>
      </c>
      <c r="H584">
        <v>1080.5778</v>
      </c>
      <c r="I584">
        <v>5</v>
      </c>
      <c r="J584">
        <v>1163.79</v>
      </c>
      <c r="K584">
        <v>3.9161333999415802</v>
      </c>
      <c r="L584">
        <v>609.91</v>
      </c>
      <c r="M584" t="s">
        <v>60</v>
      </c>
      <c r="N584">
        <v>1</v>
      </c>
      <c r="O584">
        <v>1307</v>
      </c>
      <c r="P584">
        <v>1135</v>
      </c>
      <c r="Q584">
        <v>0.5</v>
      </c>
      <c r="R584">
        <v>567.5</v>
      </c>
    </row>
    <row r="585" spans="1:18" x14ac:dyDescent="0.3">
      <c r="A585" s="5">
        <v>45959</v>
      </c>
      <c r="B585" t="s">
        <v>810</v>
      </c>
      <c r="C585">
        <v>9</v>
      </c>
      <c r="D585">
        <v>35</v>
      </c>
      <c r="E585" s="1">
        <v>1.9993055555555554</v>
      </c>
      <c r="F585" t="s">
        <v>811</v>
      </c>
      <c r="G585">
        <v>5</v>
      </c>
      <c r="H585">
        <v>1081.1958999999999</v>
      </c>
      <c r="I585">
        <v>0</v>
      </c>
      <c r="J585">
        <v>1163.79</v>
      </c>
      <c r="K585">
        <v>0</v>
      </c>
      <c r="L585">
        <v>1158.8800000000001</v>
      </c>
      <c r="M585" t="s">
        <v>27</v>
      </c>
      <c r="N585">
        <v>1</v>
      </c>
      <c r="O585">
        <v>1254</v>
      </c>
      <c r="P585">
        <v>1081</v>
      </c>
      <c r="Q585">
        <v>0</v>
      </c>
      <c r="R585">
        <v>1081</v>
      </c>
    </row>
    <row r="586" spans="1:18" x14ac:dyDescent="0.3">
      <c r="A586" s="5">
        <v>45959</v>
      </c>
      <c r="B586" t="s">
        <v>812</v>
      </c>
      <c r="C586">
        <v>29</v>
      </c>
      <c r="D586">
        <v>35</v>
      </c>
      <c r="E586" s="1">
        <v>1.9993055555555554</v>
      </c>
      <c r="F586" t="s">
        <v>813</v>
      </c>
      <c r="G586">
        <v>5</v>
      </c>
      <c r="H586">
        <v>1080.703</v>
      </c>
      <c r="I586">
        <v>0</v>
      </c>
      <c r="J586">
        <v>1163.79</v>
      </c>
      <c r="K586">
        <v>0</v>
      </c>
      <c r="L586">
        <v>1120.69</v>
      </c>
      <c r="M586" t="s">
        <v>27</v>
      </c>
      <c r="N586">
        <v>1</v>
      </c>
      <c r="O586">
        <v>1254</v>
      </c>
      <c r="P586">
        <v>1081</v>
      </c>
      <c r="Q586">
        <v>0</v>
      </c>
      <c r="R586">
        <v>1081</v>
      </c>
    </row>
    <row r="587" spans="1:18" x14ac:dyDescent="0.3">
      <c r="A587" s="5">
        <v>45959</v>
      </c>
      <c r="B587" t="s">
        <v>814</v>
      </c>
      <c r="C587">
        <v>17</v>
      </c>
      <c r="D587">
        <v>35</v>
      </c>
      <c r="E587" s="1">
        <v>1.9993055555555554</v>
      </c>
      <c r="F587" t="s">
        <v>815</v>
      </c>
      <c r="G587">
        <v>5</v>
      </c>
      <c r="H587">
        <v>1080.9186</v>
      </c>
      <c r="I587">
        <v>0</v>
      </c>
      <c r="J587">
        <v>1163.79</v>
      </c>
      <c r="K587">
        <v>0</v>
      </c>
      <c r="L587">
        <v>1082.33</v>
      </c>
      <c r="M587" t="s">
        <v>27</v>
      </c>
      <c r="N587">
        <v>1</v>
      </c>
      <c r="O587">
        <v>1254</v>
      </c>
      <c r="P587">
        <v>1081</v>
      </c>
      <c r="Q587">
        <v>0</v>
      </c>
      <c r="R587">
        <v>1081</v>
      </c>
    </row>
    <row r="588" spans="1:18" x14ac:dyDescent="0.3">
      <c r="A588" s="5">
        <v>45959</v>
      </c>
      <c r="B588" t="s">
        <v>816</v>
      </c>
      <c r="C588">
        <v>21</v>
      </c>
      <c r="D588">
        <v>36</v>
      </c>
      <c r="E588" s="1">
        <v>1.25</v>
      </c>
      <c r="F588" t="s">
        <v>817</v>
      </c>
      <c r="G588">
        <v>2</v>
      </c>
      <c r="H588">
        <v>1081.2605000000001</v>
      </c>
      <c r="I588">
        <v>5</v>
      </c>
      <c r="J588">
        <v>1163.79</v>
      </c>
      <c r="K588">
        <v>3.9161333999415802</v>
      </c>
      <c r="L588">
        <v>1158.8800000000001</v>
      </c>
      <c r="M588" t="s">
        <v>27</v>
      </c>
      <c r="N588">
        <v>1</v>
      </c>
      <c r="O588">
        <v>1308</v>
      </c>
      <c r="P588">
        <v>1135</v>
      </c>
      <c r="Q588">
        <v>0</v>
      </c>
      <c r="R588">
        <v>1135</v>
      </c>
    </row>
    <row r="589" spans="1:18" x14ac:dyDescent="0.3">
      <c r="A589" s="5">
        <v>45959</v>
      </c>
      <c r="B589" t="s">
        <v>818</v>
      </c>
      <c r="C589">
        <v>20</v>
      </c>
      <c r="D589">
        <v>36</v>
      </c>
      <c r="E589" s="1">
        <v>1.25</v>
      </c>
      <c r="F589" t="s">
        <v>817</v>
      </c>
      <c r="G589">
        <v>2</v>
      </c>
      <c r="H589">
        <v>1081.2786000000001</v>
      </c>
      <c r="I589">
        <v>5</v>
      </c>
      <c r="J589">
        <v>1163.79</v>
      </c>
      <c r="K589">
        <v>3.9161333999415802</v>
      </c>
      <c r="L589">
        <v>609.91</v>
      </c>
      <c r="M589" t="s">
        <v>20</v>
      </c>
      <c r="N589">
        <v>1</v>
      </c>
      <c r="O589">
        <v>1308</v>
      </c>
      <c r="P589">
        <v>1135</v>
      </c>
      <c r="Q589">
        <v>0.5</v>
      </c>
      <c r="R589">
        <v>567.5</v>
      </c>
    </row>
    <row r="590" spans="1:18" x14ac:dyDescent="0.3">
      <c r="A590" s="5">
        <v>45959</v>
      </c>
      <c r="B590" t="s">
        <v>819</v>
      </c>
      <c r="C590">
        <v>19</v>
      </c>
      <c r="D590">
        <v>36</v>
      </c>
      <c r="E590" s="1">
        <v>1.25</v>
      </c>
      <c r="F590" t="s">
        <v>817</v>
      </c>
      <c r="G590">
        <v>2</v>
      </c>
      <c r="H590">
        <v>1081.2964999999999</v>
      </c>
      <c r="I590">
        <v>5</v>
      </c>
      <c r="J590">
        <v>1163.79</v>
      </c>
      <c r="K590">
        <v>3.9161333999415802</v>
      </c>
      <c r="L590">
        <v>609.91</v>
      </c>
      <c r="M590" t="s">
        <v>77</v>
      </c>
      <c r="N590">
        <v>1</v>
      </c>
      <c r="O590">
        <v>1308</v>
      </c>
      <c r="P590">
        <v>1135</v>
      </c>
      <c r="Q590">
        <v>0.5</v>
      </c>
      <c r="R590">
        <v>567.5</v>
      </c>
    </row>
    <row r="591" spans="1:18" x14ac:dyDescent="0.3">
      <c r="A591" s="5">
        <v>45959</v>
      </c>
      <c r="B591" t="s">
        <v>820</v>
      </c>
      <c r="C591">
        <v>6</v>
      </c>
      <c r="D591">
        <v>36</v>
      </c>
      <c r="E591" s="1">
        <v>1.4583333333333333</v>
      </c>
      <c r="F591" t="s">
        <v>821</v>
      </c>
      <c r="G591">
        <v>0</v>
      </c>
      <c r="H591">
        <v>1081.4577999999999</v>
      </c>
      <c r="I591">
        <v>2.5</v>
      </c>
      <c r="J591">
        <v>1163.79</v>
      </c>
      <c r="K591">
        <v>1.9580666999707901</v>
      </c>
      <c r="L591">
        <v>1158.8800000000001</v>
      </c>
      <c r="M591" t="s">
        <v>27</v>
      </c>
      <c r="N591">
        <v>1</v>
      </c>
      <c r="O591">
        <v>1282</v>
      </c>
      <c r="P591">
        <v>1108</v>
      </c>
      <c r="Q591">
        <v>0</v>
      </c>
      <c r="R591">
        <v>1108</v>
      </c>
    </row>
    <row r="592" spans="1:18" x14ac:dyDescent="0.3">
      <c r="A592" s="5">
        <v>45959</v>
      </c>
      <c r="B592" t="s">
        <v>822</v>
      </c>
      <c r="C592">
        <v>2</v>
      </c>
      <c r="D592">
        <v>36</v>
      </c>
      <c r="E592" s="1">
        <v>1.4583333333333333</v>
      </c>
      <c r="F592" t="s">
        <v>821</v>
      </c>
      <c r="G592">
        <v>0</v>
      </c>
      <c r="H592">
        <v>1081.5299</v>
      </c>
      <c r="I592">
        <v>2.5</v>
      </c>
      <c r="J592">
        <v>1163.79</v>
      </c>
      <c r="K592">
        <v>1.9580666999707901</v>
      </c>
      <c r="L592">
        <v>1158.8800000000001</v>
      </c>
      <c r="M592" t="s">
        <v>27</v>
      </c>
      <c r="N592">
        <v>1</v>
      </c>
      <c r="O592">
        <v>1282</v>
      </c>
      <c r="P592">
        <v>1109</v>
      </c>
      <c r="Q592">
        <v>0</v>
      </c>
      <c r="R592">
        <v>1109</v>
      </c>
    </row>
    <row r="593" spans="1:18" x14ac:dyDescent="0.3">
      <c r="A593" s="5">
        <v>45959</v>
      </c>
      <c r="B593" t="s">
        <v>823</v>
      </c>
      <c r="C593">
        <v>3</v>
      </c>
      <c r="D593">
        <v>36</v>
      </c>
      <c r="E593" s="1">
        <v>1.4583333333333333</v>
      </c>
      <c r="F593" t="s">
        <v>821</v>
      </c>
      <c r="G593">
        <v>0</v>
      </c>
      <c r="H593">
        <v>1081.5117</v>
      </c>
      <c r="I593">
        <v>2.5</v>
      </c>
      <c r="J593">
        <v>1163.79</v>
      </c>
      <c r="K593">
        <v>1.9580666999707901</v>
      </c>
      <c r="L593">
        <v>609.91</v>
      </c>
      <c r="M593" t="s">
        <v>20</v>
      </c>
      <c r="N593">
        <v>1</v>
      </c>
      <c r="O593">
        <v>1282</v>
      </c>
      <c r="P593">
        <v>1109</v>
      </c>
      <c r="Q593">
        <v>0.5</v>
      </c>
      <c r="R593">
        <v>554.5</v>
      </c>
    </row>
    <row r="594" spans="1:18" x14ac:dyDescent="0.3">
      <c r="A594" s="5">
        <v>45959</v>
      </c>
      <c r="B594" t="s">
        <v>824</v>
      </c>
      <c r="C594">
        <v>34</v>
      </c>
      <c r="D594">
        <v>36</v>
      </c>
      <c r="E594" s="1">
        <v>1.9993055555555554</v>
      </c>
      <c r="F594" t="s">
        <v>825</v>
      </c>
      <c r="G594">
        <v>2</v>
      </c>
      <c r="H594">
        <v>1080.6067</v>
      </c>
      <c r="I594">
        <v>5</v>
      </c>
      <c r="J594">
        <v>1163.79</v>
      </c>
      <c r="K594">
        <v>3.9161333999415802</v>
      </c>
      <c r="L594">
        <v>609.91</v>
      </c>
      <c r="M594" t="s">
        <v>60</v>
      </c>
      <c r="N594">
        <v>1</v>
      </c>
      <c r="O594">
        <v>1308</v>
      </c>
      <c r="P594">
        <v>1135</v>
      </c>
      <c r="Q594">
        <v>0.5</v>
      </c>
      <c r="R594">
        <v>567.5</v>
      </c>
    </row>
    <row r="595" spans="1:18" x14ac:dyDescent="0.3">
      <c r="A595" s="5">
        <v>45959</v>
      </c>
      <c r="B595" t="s">
        <v>738</v>
      </c>
      <c r="C595">
        <v>16</v>
      </c>
      <c r="D595">
        <v>36</v>
      </c>
      <c r="E595" s="1">
        <v>1.9993055555555554</v>
      </c>
      <c r="F595" t="s">
        <v>739</v>
      </c>
      <c r="G595">
        <v>0</v>
      </c>
      <c r="H595">
        <v>1081.1851999999999</v>
      </c>
      <c r="I595">
        <v>2.5</v>
      </c>
      <c r="J595">
        <v>1163.79</v>
      </c>
      <c r="K595">
        <v>1.9580666999707901</v>
      </c>
      <c r="L595">
        <v>1142.5</v>
      </c>
      <c r="M595" t="s">
        <v>27</v>
      </c>
      <c r="N595">
        <v>1</v>
      </c>
      <c r="O595">
        <v>1281</v>
      </c>
      <c r="P595">
        <v>1108</v>
      </c>
      <c r="Q595">
        <v>0</v>
      </c>
      <c r="R595">
        <v>1108</v>
      </c>
    </row>
    <row r="596" spans="1:18" x14ac:dyDescent="0.3">
      <c r="A596" s="5">
        <v>45959</v>
      </c>
      <c r="B596" t="s">
        <v>826</v>
      </c>
      <c r="C596">
        <v>36</v>
      </c>
      <c r="D596">
        <v>36</v>
      </c>
      <c r="E596" s="1">
        <v>1.9993055555555554</v>
      </c>
      <c r="F596" t="s">
        <v>827</v>
      </c>
      <c r="G596">
        <v>5</v>
      </c>
      <c r="H596">
        <v>1080.5748000000001</v>
      </c>
      <c r="I596">
        <v>0</v>
      </c>
      <c r="J596">
        <v>1163.79</v>
      </c>
      <c r="K596">
        <v>0</v>
      </c>
      <c r="L596">
        <v>1158.8800000000001</v>
      </c>
      <c r="M596" t="s">
        <v>27</v>
      </c>
      <c r="N596">
        <v>1</v>
      </c>
      <c r="O596">
        <v>1253</v>
      </c>
      <c r="P596">
        <v>1081</v>
      </c>
      <c r="Q596">
        <v>0</v>
      </c>
      <c r="R596">
        <v>1081</v>
      </c>
    </row>
    <row r="597" spans="1:18" x14ac:dyDescent="0.3">
      <c r="A597" s="5">
        <v>45959</v>
      </c>
      <c r="B597" t="s">
        <v>828</v>
      </c>
      <c r="C597">
        <v>27</v>
      </c>
      <c r="D597">
        <v>35</v>
      </c>
      <c r="E597" s="1">
        <v>1.9895833333333335</v>
      </c>
      <c r="F597" t="s">
        <v>829</v>
      </c>
      <c r="G597">
        <v>5</v>
      </c>
      <c r="H597">
        <v>1080.7365</v>
      </c>
      <c r="I597">
        <v>0</v>
      </c>
      <c r="J597">
        <v>1163.79</v>
      </c>
      <c r="K597">
        <v>0</v>
      </c>
      <c r="L597">
        <v>1158.8800000000001</v>
      </c>
      <c r="M597" t="s">
        <v>27</v>
      </c>
      <c r="N597">
        <v>1</v>
      </c>
      <c r="O597">
        <v>1254</v>
      </c>
      <c r="P597">
        <v>1081</v>
      </c>
      <c r="Q597">
        <v>0</v>
      </c>
      <c r="R597">
        <v>1081</v>
      </c>
    </row>
    <row r="598" spans="1:18" x14ac:dyDescent="0.3">
      <c r="A598" s="5">
        <v>45959</v>
      </c>
      <c r="B598" t="s">
        <v>830</v>
      </c>
      <c r="C598">
        <v>30</v>
      </c>
      <c r="D598">
        <v>36</v>
      </c>
      <c r="E598" s="1">
        <v>1.9652777777777777</v>
      </c>
      <c r="F598" t="s">
        <v>831</v>
      </c>
      <c r="G598">
        <v>2</v>
      </c>
      <c r="H598">
        <v>1080.9196999999999</v>
      </c>
      <c r="I598">
        <v>5</v>
      </c>
      <c r="J598">
        <v>1163.79</v>
      </c>
      <c r="K598">
        <v>3.9161333999415802</v>
      </c>
      <c r="L598">
        <v>609.91</v>
      </c>
      <c r="M598" t="s">
        <v>60</v>
      </c>
      <c r="N598">
        <v>1</v>
      </c>
      <c r="O598">
        <v>1308</v>
      </c>
      <c r="P598">
        <v>1135</v>
      </c>
      <c r="Q598">
        <v>0.5</v>
      </c>
      <c r="R598">
        <v>567.5</v>
      </c>
    </row>
    <row r="599" spans="1:18" x14ac:dyDescent="0.3">
      <c r="A599" s="5">
        <v>45959</v>
      </c>
      <c r="B599" t="s">
        <v>832</v>
      </c>
      <c r="C599">
        <v>31</v>
      </c>
      <c r="D599">
        <v>36</v>
      </c>
      <c r="E599" s="1">
        <v>1.9652777777777777</v>
      </c>
      <c r="F599" t="s">
        <v>833</v>
      </c>
      <c r="G599">
        <v>3</v>
      </c>
      <c r="H599">
        <v>1080.902</v>
      </c>
      <c r="I599">
        <v>10</v>
      </c>
      <c r="J599">
        <v>1163.79</v>
      </c>
      <c r="K599">
        <v>7.8322667998831603</v>
      </c>
      <c r="L599">
        <v>609.91</v>
      </c>
      <c r="M599" t="s">
        <v>20</v>
      </c>
      <c r="N599">
        <v>1</v>
      </c>
      <c r="O599">
        <v>1362</v>
      </c>
      <c r="P599">
        <v>1189</v>
      </c>
      <c r="Q599">
        <v>0.5</v>
      </c>
      <c r="R599">
        <v>594.5</v>
      </c>
    </row>
    <row r="600" spans="1:18" x14ac:dyDescent="0.3">
      <c r="A600" s="5">
        <v>45959</v>
      </c>
      <c r="B600" t="s">
        <v>834</v>
      </c>
      <c r="C600">
        <v>10</v>
      </c>
      <c r="D600">
        <v>36</v>
      </c>
      <c r="E600" s="1">
        <v>1.0833333333333333</v>
      </c>
      <c r="F600" t="s">
        <v>835</v>
      </c>
      <c r="G600">
        <v>0</v>
      </c>
      <c r="H600">
        <v>1081.4011</v>
      </c>
      <c r="I600">
        <v>2.5</v>
      </c>
      <c r="J600">
        <v>1163.79</v>
      </c>
      <c r="K600">
        <v>1.9580666999707901</v>
      </c>
      <c r="L600">
        <v>1158.8800000000001</v>
      </c>
      <c r="M600" t="s">
        <v>27</v>
      </c>
      <c r="N600">
        <v>1</v>
      </c>
      <c r="O600">
        <v>1281</v>
      </c>
      <c r="P600">
        <v>1108</v>
      </c>
      <c r="Q600">
        <v>0</v>
      </c>
      <c r="R600">
        <v>1108</v>
      </c>
    </row>
    <row r="601" spans="1:18" x14ac:dyDescent="0.3">
      <c r="A601" s="5">
        <v>45959</v>
      </c>
      <c r="B601" t="s">
        <v>834</v>
      </c>
      <c r="C601">
        <v>10</v>
      </c>
      <c r="D601">
        <v>36</v>
      </c>
      <c r="E601" s="1">
        <v>1.0833333333333333</v>
      </c>
      <c r="F601" t="s">
        <v>835</v>
      </c>
      <c r="G601">
        <v>0</v>
      </c>
      <c r="H601">
        <v>1081.4011</v>
      </c>
      <c r="I601">
        <v>2.5</v>
      </c>
      <c r="J601">
        <v>1163.79</v>
      </c>
      <c r="K601">
        <v>1.9580666999707901</v>
      </c>
      <c r="L601">
        <v>1158.8800000000001</v>
      </c>
      <c r="M601" t="s">
        <v>27</v>
      </c>
      <c r="N601">
        <v>1</v>
      </c>
      <c r="O601">
        <v>1281</v>
      </c>
      <c r="P601">
        <v>1108</v>
      </c>
      <c r="Q601">
        <v>0</v>
      </c>
      <c r="R601">
        <v>1108</v>
      </c>
    </row>
    <row r="602" spans="1:18" x14ac:dyDescent="0.3">
      <c r="A602" s="5">
        <v>45959</v>
      </c>
      <c r="B602" t="s">
        <v>836</v>
      </c>
      <c r="C602">
        <v>7</v>
      </c>
      <c r="D602">
        <v>36</v>
      </c>
      <c r="E602" s="1">
        <v>1.0833333333333333</v>
      </c>
      <c r="F602" t="s">
        <v>835</v>
      </c>
      <c r="G602">
        <v>0</v>
      </c>
      <c r="H602">
        <v>1081.4552000000001</v>
      </c>
      <c r="I602">
        <v>2.5</v>
      </c>
      <c r="J602">
        <v>1163.79</v>
      </c>
      <c r="K602">
        <v>1.9580666999707901</v>
      </c>
      <c r="L602">
        <v>1158.8800000000001</v>
      </c>
      <c r="M602" t="s">
        <v>27</v>
      </c>
      <c r="N602">
        <v>1</v>
      </c>
      <c r="O602">
        <v>1282</v>
      </c>
      <c r="P602">
        <v>1108</v>
      </c>
      <c r="Q602">
        <v>0</v>
      </c>
      <c r="R602">
        <v>1108</v>
      </c>
    </row>
    <row r="603" spans="1:18" x14ac:dyDescent="0.3">
      <c r="A603" s="5">
        <v>45959</v>
      </c>
      <c r="B603" t="s">
        <v>836</v>
      </c>
      <c r="C603">
        <v>7</v>
      </c>
      <c r="D603">
        <v>36</v>
      </c>
      <c r="E603" s="1">
        <v>1.0833333333333333</v>
      </c>
      <c r="F603" t="s">
        <v>835</v>
      </c>
      <c r="G603">
        <v>0</v>
      </c>
      <c r="H603">
        <v>1081.4552000000001</v>
      </c>
      <c r="I603">
        <v>2.5</v>
      </c>
      <c r="J603">
        <v>1163.79</v>
      </c>
      <c r="K603">
        <v>1.9580666999707901</v>
      </c>
      <c r="L603">
        <v>1158.8800000000001</v>
      </c>
      <c r="M603" t="s">
        <v>27</v>
      </c>
      <c r="N603">
        <v>1</v>
      </c>
      <c r="O603">
        <v>1282</v>
      </c>
      <c r="P603">
        <v>1108</v>
      </c>
      <c r="Q603">
        <v>0</v>
      </c>
      <c r="R603">
        <v>1108</v>
      </c>
    </row>
    <row r="604" spans="1:18" x14ac:dyDescent="0.3">
      <c r="A604" s="5">
        <v>45959</v>
      </c>
      <c r="B604" t="s">
        <v>837</v>
      </c>
      <c r="C604">
        <v>27</v>
      </c>
      <c r="D604">
        <v>35</v>
      </c>
      <c r="E604" s="1">
        <v>1.9993055555555554</v>
      </c>
      <c r="F604" t="s">
        <v>838</v>
      </c>
      <c r="G604">
        <v>1</v>
      </c>
      <c r="H604">
        <v>1080.7376999999999</v>
      </c>
      <c r="I604">
        <v>8.5</v>
      </c>
      <c r="J604">
        <v>1163.79</v>
      </c>
      <c r="K604">
        <v>6.6574267799006801</v>
      </c>
      <c r="L604">
        <v>1219.83</v>
      </c>
      <c r="M604" t="s">
        <v>27</v>
      </c>
      <c r="N604">
        <v>1</v>
      </c>
      <c r="O604">
        <v>1346</v>
      </c>
      <c r="P604">
        <v>1173</v>
      </c>
      <c r="Q604">
        <v>0</v>
      </c>
      <c r="R604">
        <v>1173</v>
      </c>
    </row>
    <row r="605" spans="1:18" x14ac:dyDescent="0.3">
      <c r="A605" s="5">
        <v>45959</v>
      </c>
      <c r="B605" t="s">
        <v>145</v>
      </c>
      <c r="C605">
        <v>21</v>
      </c>
      <c r="D605">
        <v>36</v>
      </c>
      <c r="E605" s="1">
        <v>1.9993055555555554</v>
      </c>
      <c r="F605" t="s">
        <v>146</v>
      </c>
      <c r="G605">
        <v>3</v>
      </c>
      <c r="H605">
        <v>1080.9597000000001</v>
      </c>
      <c r="I605">
        <v>10</v>
      </c>
      <c r="J605">
        <v>1163.79</v>
      </c>
      <c r="K605">
        <v>7.8322667998831603</v>
      </c>
      <c r="L605">
        <v>609.91</v>
      </c>
      <c r="M605" t="s">
        <v>20</v>
      </c>
      <c r="N605">
        <v>1</v>
      </c>
      <c r="O605">
        <v>1362</v>
      </c>
      <c r="P605">
        <v>1189</v>
      </c>
      <c r="Q605">
        <v>0.5</v>
      </c>
      <c r="R605">
        <v>594.5</v>
      </c>
    </row>
    <row r="606" spans="1:18" x14ac:dyDescent="0.3">
      <c r="A606" s="5">
        <v>45959</v>
      </c>
      <c r="B606" t="s">
        <v>839</v>
      </c>
      <c r="C606">
        <v>10</v>
      </c>
      <c r="D606">
        <v>36</v>
      </c>
      <c r="E606" s="1">
        <v>1.9993055555555554</v>
      </c>
      <c r="F606" t="s">
        <v>840</v>
      </c>
      <c r="G606">
        <v>5</v>
      </c>
      <c r="H606">
        <v>1081.1699000000001</v>
      </c>
      <c r="I606">
        <v>0</v>
      </c>
      <c r="J606">
        <v>1163.79</v>
      </c>
      <c r="K606">
        <v>0</v>
      </c>
      <c r="L606">
        <v>1158.8800000000001</v>
      </c>
      <c r="M606" t="s">
        <v>27</v>
      </c>
      <c r="N606">
        <v>1</v>
      </c>
      <c r="O606">
        <v>1254</v>
      </c>
      <c r="P606">
        <v>1081</v>
      </c>
      <c r="Q606">
        <v>0</v>
      </c>
      <c r="R606">
        <v>1081</v>
      </c>
    </row>
    <row r="607" spans="1:18" x14ac:dyDescent="0.3">
      <c r="A607" s="5">
        <v>45959</v>
      </c>
      <c r="B607" t="s">
        <v>841</v>
      </c>
      <c r="C607">
        <v>6</v>
      </c>
      <c r="D607">
        <v>35</v>
      </c>
      <c r="E607" s="1">
        <v>1.9993055555555554</v>
      </c>
      <c r="F607" t="s">
        <v>842</v>
      </c>
      <c r="G607">
        <v>5</v>
      </c>
      <c r="H607">
        <v>1081.2457999999999</v>
      </c>
      <c r="I607">
        <v>0</v>
      </c>
      <c r="J607">
        <v>1163.79</v>
      </c>
      <c r="K607">
        <v>0</v>
      </c>
      <c r="L607">
        <v>1158.8800000000001</v>
      </c>
      <c r="M607" t="s">
        <v>27</v>
      </c>
      <c r="N607">
        <v>1</v>
      </c>
      <c r="O607">
        <v>1254</v>
      </c>
      <c r="P607">
        <v>1081</v>
      </c>
      <c r="Q607">
        <v>0</v>
      </c>
      <c r="R607">
        <v>1081</v>
      </c>
    </row>
    <row r="608" spans="1:18" x14ac:dyDescent="0.3">
      <c r="A608" s="5">
        <v>45959</v>
      </c>
      <c r="B608" t="s">
        <v>841</v>
      </c>
      <c r="C608">
        <v>6</v>
      </c>
      <c r="D608">
        <v>35</v>
      </c>
      <c r="E608" s="1">
        <v>1.9993055555555554</v>
      </c>
      <c r="F608" t="s">
        <v>842</v>
      </c>
      <c r="G608">
        <v>5</v>
      </c>
      <c r="H608">
        <v>1081.2457999999999</v>
      </c>
      <c r="I608">
        <v>0</v>
      </c>
      <c r="J608">
        <v>1163.79</v>
      </c>
      <c r="K608">
        <v>0</v>
      </c>
      <c r="L608">
        <v>1158.8800000000001</v>
      </c>
      <c r="M608" t="s">
        <v>27</v>
      </c>
      <c r="N608">
        <v>1</v>
      </c>
      <c r="O608">
        <v>1254</v>
      </c>
      <c r="P608">
        <v>1081</v>
      </c>
      <c r="Q608">
        <v>0</v>
      </c>
      <c r="R608">
        <v>1081</v>
      </c>
    </row>
    <row r="609" spans="1:18" x14ac:dyDescent="0.3">
      <c r="A609" s="5">
        <v>45959</v>
      </c>
      <c r="B609" t="s">
        <v>843</v>
      </c>
      <c r="C609">
        <v>8</v>
      </c>
      <c r="D609">
        <v>35</v>
      </c>
      <c r="E609" s="1">
        <v>1.9993055555555554</v>
      </c>
      <c r="F609" t="s">
        <v>842</v>
      </c>
      <c r="G609">
        <v>5</v>
      </c>
      <c r="H609">
        <v>1081.2098000000001</v>
      </c>
      <c r="I609">
        <v>0</v>
      </c>
      <c r="J609">
        <v>1163.79</v>
      </c>
      <c r="K609">
        <v>0</v>
      </c>
      <c r="L609">
        <v>1158.8800000000001</v>
      </c>
      <c r="M609" t="s">
        <v>27</v>
      </c>
      <c r="N609">
        <v>1</v>
      </c>
      <c r="O609">
        <v>1254</v>
      </c>
      <c r="P609">
        <v>1081</v>
      </c>
      <c r="Q609">
        <v>0</v>
      </c>
      <c r="R609">
        <v>1081</v>
      </c>
    </row>
    <row r="610" spans="1:18" x14ac:dyDescent="0.3">
      <c r="A610" s="5">
        <v>45959</v>
      </c>
      <c r="B610" t="s">
        <v>843</v>
      </c>
      <c r="C610">
        <v>8</v>
      </c>
      <c r="D610">
        <v>35</v>
      </c>
      <c r="E610" s="1">
        <v>1.9993055555555554</v>
      </c>
      <c r="F610" t="s">
        <v>842</v>
      </c>
      <c r="G610">
        <v>5</v>
      </c>
      <c r="H610">
        <v>1081.2098000000001</v>
      </c>
      <c r="I610">
        <v>0</v>
      </c>
      <c r="J610">
        <v>1163.79</v>
      </c>
      <c r="K610">
        <v>0</v>
      </c>
      <c r="L610">
        <v>1158.8800000000001</v>
      </c>
      <c r="M610" t="s">
        <v>27</v>
      </c>
      <c r="N610">
        <v>1</v>
      </c>
      <c r="O610">
        <v>1254</v>
      </c>
      <c r="P610">
        <v>1081</v>
      </c>
      <c r="Q610">
        <v>0</v>
      </c>
      <c r="R610">
        <v>1081</v>
      </c>
    </row>
    <row r="611" spans="1:18" x14ac:dyDescent="0.3">
      <c r="A611" s="5">
        <v>45959</v>
      </c>
      <c r="B611" t="s">
        <v>844</v>
      </c>
      <c r="C611">
        <v>5</v>
      </c>
      <c r="D611">
        <v>35</v>
      </c>
      <c r="E611" s="1">
        <v>1.9993055555555554</v>
      </c>
      <c r="F611" t="s">
        <v>842</v>
      </c>
      <c r="G611">
        <v>5</v>
      </c>
      <c r="H611">
        <v>1081.2637</v>
      </c>
      <c r="I611">
        <v>0</v>
      </c>
      <c r="J611">
        <v>1163.79</v>
      </c>
      <c r="K611">
        <v>0</v>
      </c>
      <c r="L611">
        <v>1158.8800000000001</v>
      </c>
      <c r="M611" t="s">
        <v>27</v>
      </c>
      <c r="N611">
        <v>1</v>
      </c>
      <c r="O611">
        <v>1254</v>
      </c>
      <c r="P611">
        <v>1081</v>
      </c>
      <c r="Q611">
        <v>0</v>
      </c>
      <c r="R611">
        <v>1081</v>
      </c>
    </row>
    <row r="612" spans="1:18" x14ac:dyDescent="0.3">
      <c r="A612" s="5">
        <v>45959</v>
      </c>
      <c r="B612" t="s">
        <v>844</v>
      </c>
      <c r="C612">
        <v>5</v>
      </c>
      <c r="D612">
        <v>35</v>
      </c>
      <c r="E612" s="1">
        <v>1.9993055555555554</v>
      </c>
      <c r="F612" t="s">
        <v>842</v>
      </c>
      <c r="G612">
        <v>5</v>
      </c>
      <c r="H612">
        <v>1081.2637</v>
      </c>
      <c r="I612">
        <v>0</v>
      </c>
      <c r="J612">
        <v>1163.79</v>
      </c>
      <c r="K612">
        <v>0</v>
      </c>
      <c r="L612">
        <v>1158.8800000000001</v>
      </c>
      <c r="M612" t="s">
        <v>27</v>
      </c>
      <c r="N612">
        <v>1</v>
      </c>
      <c r="O612">
        <v>1254</v>
      </c>
      <c r="P612">
        <v>1081</v>
      </c>
      <c r="Q612">
        <v>0</v>
      </c>
      <c r="R612">
        <v>1081</v>
      </c>
    </row>
    <row r="613" spans="1:18" x14ac:dyDescent="0.3">
      <c r="A613" s="5">
        <v>45959</v>
      </c>
      <c r="B613" t="s">
        <v>845</v>
      </c>
      <c r="C613">
        <v>3</v>
      </c>
      <c r="D613">
        <v>35</v>
      </c>
      <c r="E613" s="1">
        <v>1.9895833333333335</v>
      </c>
      <c r="F613" t="s">
        <v>846</v>
      </c>
      <c r="G613">
        <v>5</v>
      </c>
      <c r="H613">
        <v>1081.2997</v>
      </c>
      <c r="I613">
        <v>0</v>
      </c>
      <c r="J613">
        <v>1163.79</v>
      </c>
      <c r="K613">
        <v>0</v>
      </c>
      <c r="L613">
        <v>1158.8800000000001</v>
      </c>
      <c r="M613" t="s">
        <v>27</v>
      </c>
      <c r="N613">
        <v>1</v>
      </c>
      <c r="O613">
        <v>1254</v>
      </c>
      <c r="P613">
        <v>1081</v>
      </c>
      <c r="Q613">
        <v>0</v>
      </c>
      <c r="R613">
        <v>1081</v>
      </c>
    </row>
    <row r="614" spans="1:18" x14ac:dyDescent="0.3">
      <c r="A614" s="5">
        <v>45959</v>
      </c>
      <c r="B614" t="s">
        <v>847</v>
      </c>
      <c r="C614">
        <v>1</v>
      </c>
      <c r="D614">
        <v>36</v>
      </c>
      <c r="E614" s="1">
        <v>1.9993055555555554</v>
      </c>
      <c r="F614" t="s">
        <v>848</v>
      </c>
      <c r="G614">
        <v>5</v>
      </c>
      <c r="H614">
        <v>1081.3308</v>
      </c>
      <c r="I614">
        <v>0</v>
      </c>
      <c r="J614">
        <v>1163.79</v>
      </c>
      <c r="K614">
        <v>0</v>
      </c>
      <c r="L614">
        <v>1158.8800000000001</v>
      </c>
      <c r="M614" t="s">
        <v>27</v>
      </c>
      <c r="N614">
        <v>1</v>
      </c>
      <c r="O614">
        <v>1254</v>
      </c>
      <c r="P614">
        <v>1081</v>
      </c>
      <c r="Q614">
        <v>0</v>
      </c>
      <c r="R614">
        <v>1081</v>
      </c>
    </row>
    <row r="615" spans="1:18" x14ac:dyDescent="0.3">
      <c r="A615" s="5">
        <v>45959</v>
      </c>
      <c r="B615" t="s">
        <v>847</v>
      </c>
      <c r="C615">
        <v>1</v>
      </c>
      <c r="D615">
        <v>36</v>
      </c>
      <c r="E615" s="1">
        <v>1.9993055555555554</v>
      </c>
      <c r="F615" t="s">
        <v>848</v>
      </c>
      <c r="G615">
        <v>5</v>
      </c>
      <c r="H615">
        <v>1081.3308</v>
      </c>
      <c r="I615">
        <v>0</v>
      </c>
      <c r="J615">
        <v>1163.79</v>
      </c>
      <c r="K615">
        <v>0</v>
      </c>
      <c r="L615">
        <v>1158.8800000000001</v>
      </c>
      <c r="M615" t="s">
        <v>27</v>
      </c>
      <c r="N615">
        <v>1</v>
      </c>
      <c r="O615">
        <v>1254</v>
      </c>
      <c r="P615">
        <v>1081</v>
      </c>
      <c r="Q615">
        <v>0</v>
      </c>
      <c r="R615">
        <v>1081</v>
      </c>
    </row>
    <row r="616" spans="1:18" x14ac:dyDescent="0.3">
      <c r="A616" s="5">
        <v>45959</v>
      </c>
      <c r="B616" t="s">
        <v>849</v>
      </c>
      <c r="C616">
        <v>4</v>
      </c>
      <c r="D616">
        <v>36</v>
      </c>
      <c r="E616" s="1">
        <v>1.9993055555555554</v>
      </c>
      <c r="F616" t="s">
        <v>848</v>
      </c>
      <c r="G616">
        <v>5</v>
      </c>
      <c r="H616">
        <v>1081.1442999999999</v>
      </c>
      <c r="I616">
        <v>0</v>
      </c>
      <c r="J616">
        <v>1163.79</v>
      </c>
      <c r="K616">
        <v>0</v>
      </c>
      <c r="L616">
        <v>1158.8800000000001</v>
      </c>
      <c r="M616" t="s">
        <v>27</v>
      </c>
      <c r="N616">
        <v>1</v>
      </c>
      <c r="O616">
        <v>1254</v>
      </c>
      <c r="P616">
        <v>1081</v>
      </c>
      <c r="Q616">
        <v>0</v>
      </c>
      <c r="R616">
        <v>1081</v>
      </c>
    </row>
    <row r="617" spans="1:18" x14ac:dyDescent="0.3">
      <c r="A617" s="5">
        <v>45959</v>
      </c>
      <c r="B617" t="s">
        <v>849</v>
      </c>
      <c r="C617">
        <v>4</v>
      </c>
      <c r="D617">
        <v>36</v>
      </c>
      <c r="E617" s="1">
        <v>1.9993055555555554</v>
      </c>
      <c r="F617" t="s">
        <v>848</v>
      </c>
      <c r="G617">
        <v>5</v>
      </c>
      <c r="H617">
        <v>1081.1442999999999</v>
      </c>
      <c r="I617">
        <v>0</v>
      </c>
      <c r="J617">
        <v>1163.79</v>
      </c>
      <c r="K617">
        <v>0</v>
      </c>
      <c r="L617">
        <v>1158.8800000000001</v>
      </c>
      <c r="M617" t="s">
        <v>27</v>
      </c>
      <c r="N617">
        <v>1</v>
      </c>
      <c r="O617">
        <v>1254</v>
      </c>
      <c r="P617">
        <v>1081</v>
      </c>
      <c r="Q617">
        <v>0</v>
      </c>
      <c r="R617">
        <v>1081</v>
      </c>
    </row>
    <row r="618" spans="1:18" x14ac:dyDescent="0.3">
      <c r="A618" s="5">
        <v>45959</v>
      </c>
      <c r="B618" t="s">
        <v>850</v>
      </c>
      <c r="C618">
        <v>4</v>
      </c>
      <c r="D618">
        <v>36</v>
      </c>
      <c r="E618" s="1">
        <v>1.9791666666666665</v>
      </c>
      <c r="F618" t="s">
        <v>851</v>
      </c>
      <c r="G618">
        <v>4</v>
      </c>
      <c r="H618">
        <v>1081.1596999999999</v>
      </c>
      <c r="I618">
        <v>7</v>
      </c>
      <c r="J618">
        <v>1163.79</v>
      </c>
      <c r="K618">
        <v>5.4825867599182097</v>
      </c>
      <c r="L618">
        <v>609.91</v>
      </c>
      <c r="M618" t="s">
        <v>20</v>
      </c>
      <c r="N618">
        <v>1</v>
      </c>
      <c r="O618">
        <v>1330</v>
      </c>
      <c r="P618">
        <v>1157</v>
      </c>
      <c r="Q618">
        <v>0.5</v>
      </c>
      <c r="R618">
        <v>578.5</v>
      </c>
    </row>
    <row r="619" spans="1:18" x14ac:dyDescent="0.3">
      <c r="A619" s="5">
        <v>45959</v>
      </c>
      <c r="B619" t="s">
        <v>852</v>
      </c>
      <c r="C619">
        <v>5</v>
      </c>
      <c r="D619">
        <v>36</v>
      </c>
      <c r="E619" s="1">
        <v>1.9791666666666665</v>
      </c>
      <c r="F619" t="s">
        <v>851</v>
      </c>
      <c r="G619">
        <v>4</v>
      </c>
      <c r="H619">
        <v>1081.2742000000001</v>
      </c>
      <c r="I619">
        <v>7</v>
      </c>
      <c r="J619">
        <v>1163.79</v>
      </c>
      <c r="K619">
        <v>5.4825867599182097</v>
      </c>
      <c r="L619">
        <v>1219.83</v>
      </c>
      <c r="M619" t="s">
        <v>27</v>
      </c>
      <c r="N619">
        <v>1</v>
      </c>
      <c r="O619">
        <v>1330</v>
      </c>
      <c r="P619">
        <v>1157</v>
      </c>
      <c r="Q619">
        <v>0</v>
      </c>
      <c r="R619">
        <v>1157</v>
      </c>
    </row>
    <row r="620" spans="1:18" x14ac:dyDescent="0.3">
      <c r="A620" s="5">
        <v>45959</v>
      </c>
      <c r="B620" t="s">
        <v>853</v>
      </c>
      <c r="C620">
        <v>6</v>
      </c>
      <c r="D620">
        <v>36</v>
      </c>
      <c r="E620" s="1">
        <v>1.9791666666666665</v>
      </c>
      <c r="F620" t="s">
        <v>851</v>
      </c>
      <c r="G620">
        <v>4</v>
      </c>
      <c r="H620">
        <v>1081.2562</v>
      </c>
      <c r="I620">
        <v>7</v>
      </c>
      <c r="J620">
        <v>1163.79</v>
      </c>
      <c r="K620">
        <v>5.4825867599182097</v>
      </c>
      <c r="L620">
        <v>1219.83</v>
      </c>
      <c r="M620" t="s">
        <v>27</v>
      </c>
      <c r="N620">
        <v>1</v>
      </c>
      <c r="O620">
        <v>1330</v>
      </c>
      <c r="P620">
        <v>1157</v>
      </c>
      <c r="Q620">
        <v>0</v>
      </c>
      <c r="R620">
        <v>1157</v>
      </c>
    </row>
    <row r="621" spans="1:18" x14ac:dyDescent="0.3">
      <c r="A621" s="5">
        <v>45959</v>
      </c>
      <c r="B621" t="s">
        <v>854</v>
      </c>
      <c r="C621">
        <v>13</v>
      </c>
      <c r="D621">
        <v>36</v>
      </c>
      <c r="E621" s="1">
        <v>1.4583333333333333</v>
      </c>
      <c r="F621" t="s">
        <v>855</v>
      </c>
      <c r="G621">
        <v>3</v>
      </c>
      <c r="H621">
        <v>1081.3295000000001</v>
      </c>
      <c r="I621">
        <v>10</v>
      </c>
      <c r="J621">
        <v>1163.79</v>
      </c>
      <c r="K621">
        <v>7.8322667998831603</v>
      </c>
      <c r="L621">
        <v>609.91</v>
      </c>
      <c r="M621" t="s">
        <v>20</v>
      </c>
      <c r="N621">
        <v>1</v>
      </c>
      <c r="O621">
        <v>1362</v>
      </c>
      <c r="P621">
        <v>1189</v>
      </c>
      <c r="Q621">
        <v>0.5</v>
      </c>
      <c r="R621">
        <v>594.5</v>
      </c>
    </row>
    <row r="622" spans="1:18" x14ac:dyDescent="0.3">
      <c r="A622" s="5">
        <v>45959</v>
      </c>
      <c r="B622" t="s">
        <v>856</v>
      </c>
      <c r="C622">
        <v>13</v>
      </c>
      <c r="D622">
        <v>36</v>
      </c>
      <c r="E622" s="1">
        <v>1.0833333333333333</v>
      </c>
      <c r="F622" t="s">
        <v>857</v>
      </c>
      <c r="G622">
        <v>0</v>
      </c>
      <c r="H622">
        <v>1081.5334</v>
      </c>
      <c r="I622">
        <v>2.5</v>
      </c>
      <c r="J622">
        <v>1163.79</v>
      </c>
      <c r="K622">
        <v>1.9580666999707901</v>
      </c>
      <c r="L622">
        <v>1158.8800000000001</v>
      </c>
      <c r="M622" t="s">
        <v>27</v>
      </c>
      <c r="N622">
        <v>1</v>
      </c>
      <c r="O622">
        <v>1282</v>
      </c>
      <c r="P622">
        <v>1109</v>
      </c>
      <c r="Q622">
        <v>0</v>
      </c>
      <c r="R622">
        <v>1109</v>
      </c>
    </row>
    <row r="623" spans="1:18" x14ac:dyDescent="0.3">
      <c r="A623" s="5">
        <v>45959</v>
      </c>
      <c r="B623" t="s">
        <v>856</v>
      </c>
      <c r="C623">
        <v>13</v>
      </c>
      <c r="D623">
        <v>36</v>
      </c>
      <c r="E623" s="1">
        <v>1.0833333333333333</v>
      </c>
      <c r="F623" t="s">
        <v>857</v>
      </c>
      <c r="G623">
        <v>0</v>
      </c>
      <c r="H623">
        <v>1081.5334</v>
      </c>
      <c r="I623">
        <v>2.5</v>
      </c>
      <c r="J623">
        <v>1163.79</v>
      </c>
      <c r="K623">
        <v>1.9580666999707901</v>
      </c>
      <c r="L623">
        <v>1158.8800000000001</v>
      </c>
      <c r="M623" t="s">
        <v>27</v>
      </c>
      <c r="N623">
        <v>1</v>
      </c>
      <c r="O623">
        <v>1282</v>
      </c>
      <c r="P623">
        <v>1109</v>
      </c>
      <c r="Q623">
        <v>0</v>
      </c>
      <c r="R623">
        <v>1109</v>
      </c>
    </row>
    <row r="624" spans="1:18" x14ac:dyDescent="0.3">
      <c r="A624" s="5">
        <v>45959</v>
      </c>
      <c r="B624" t="s">
        <v>858</v>
      </c>
      <c r="C624">
        <v>16</v>
      </c>
      <c r="D624">
        <v>36</v>
      </c>
      <c r="E624" s="1">
        <v>1.0833333333333333</v>
      </c>
      <c r="F624" t="s">
        <v>857</v>
      </c>
      <c r="G624">
        <v>0</v>
      </c>
      <c r="H624">
        <v>1081.4797000000001</v>
      </c>
      <c r="I624">
        <v>2.5</v>
      </c>
      <c r="J624">
        <v>1163.79</v>
      </c>
      <c r="K624">
        <v>1.9580666999707901</v>
      </c>
      <c r="L624">
        <v>1158.8800000000001</v>
      </c>
      <c r="M624" t="s">
        <v>27</v>
      </c>
      <c r="N624">
        <v>1</v>
      </c>
      <c r="O624">
        <v>1282</v>
      </c>
      <c r="P624">
        <v>1109</v>
      </c>
      <c r="Q624">
        <v>0</v>
      </c>
      <c r="R624">
        <v>1109</v>
      </c>
    </row>
    <row r="625" spans="1:18" x14ac:dyDescent="0.3">
      <c r="A625" s="5">
        <v>45959</v>
      </c>
      <c r="B625" t="s">
        <v>858</v>
      </c>
      <c r="C625">
        <v>16</v>
      </c>
      <c r="D625">
        <v>36</v>
      </c>
      <c r="E625" s="1">
        <v>1.0833333333333333</v>
      </c>
      <c r="F625" t="s">
        <v>857</v>
      </c>
      <c r="G625">
        <v>0</v>
      </c>
      <c r="H625">
        <v>1081.4797000000001</v>
      </c>
      <c r="I625">
        <v>2.5</v>
      </c>
      <c r="J625">
        <v>1163.79</v>
      </c>
      <c r="K625">
        <v>1.9580666999707901</v>
      </c>
      <c r="L625">
        <v>1158.8800000000001</v>
      </c>
      <c r="M625" t="s">
        <v>27</v>
      </c>
      <c r="N625">
        <v>1</v>
      </c>
      <c r="O625">
        <v>1282</v>
      </c>
      <c r="P625">
        <v>1109</v>
      </c>
      <c r="Q625">
        <v>0</v>
      </c>
      <c r="R625">
        <v>1109</v>
      </c>
    </row>
    <row r="626" spans="1:18" x14ac:dyDescent="0.3">
      <c r="A626" s="5">
        <v>45959</v>
      </c>
      <c r="B626" t="s">
        <v>859</v>
      </c>
      <c r="C626">
        <v>14</v>
      </c>
      <c r="D626">
        <v>36</v>
      </c>
      <c r="E626" s="1">
        <v>1.0833333333333333</v>
      </c>
      <c r="F626" t="s">
        <v>860</v>
      </c>
      <c r="G626">
        <v>4</v>
      </c>
      <c r="H626">
        <v>1081.3145</v>
      </c>
      <c r="I626">
        <v>7</v>
      </c>
      <c r="J626">
        <v>1163.79</v>
      </c>
      <c r="K626">
        <v>5.4825867599182097</v>
      </c>
      <c r="L626">
        <v>1219.83</v>
      </c>
      <c r="M626" t="s">
        <v>27</v>
      </c>
      <c r="N626">
        <v>1</v>
      </c>
      <c r="O626">
        <v>1330</v>
      </c>
      <c r="P626">
        <v>1157</v>
      </c>
      <c r="Q626">
        <v>0</v>
      </c>
      <c r="R626">
        <v>1157</v>
      </c>
    </row>
    <row r="627" spans="1:18" x14ac:dyDescent="0.3">
      <c r="A627" s="5">
        <v>45959</v>
      </c>
      <c r="B627" t="s">
        <v>861</v>
      </c>
      <c r="C627">
        <v>15</v>
      </c>
      <c r="D627">
        <v>36</v>
      </c>
      <c r="E627" s="1">
        <v>1.0833333333333333</v>
      </c>
      <c r="F627" t="s">
        <v>862</v>
      </c>
      <c r="G627">
        <v>4</v>
      </c>
      <c r="H627">
        <v>1081.2963999999999</v>
      </c>
      <c r="I627">
        <v>7</v>
      </c>
      <c r="J627">
        <v>1163.79</v>
      </c>
      <c r="K627">
        <v>5.4825867599182097</v>
      </c>
      <c r="L627">
        <v>1219.83</v>
      </c>
      <c r="M627" t="s">
        <v>27</v>
      </c>
      <c r="N627">
        <v>1</v>
      </c>
      <c r="O627">
        <v>1330</v>
      </c>
      <c r="P627">
        <v>1157</v>
      </c>
      <c r="Q627">
        <v>0</v>
      </c>
      <c r="R627">
        <v>1157</v>
      </c>
    </row>
    <row r="628" spans="1:18" x14ac:dyDescent="0.3">
      <c r="A628" s="5">
        <v>45959</v>
      </c>
      <c r="B628" t="s">
        <v>863</v>
      </c>
      <c r="C628">
        <v>13</v>
      </c>
      <c r="D628">
        <v>36</v>
      </c>
      <c r="E628" s="1">
        <v>1.25</v>
      </c>
      <c r="F628" t="s">
        <v>864</v>
      </c>
      <c r="G628">
        <v>0</v>
      </c>
      <c r="H628">
        <v>1081.3430000000001</v>
      </c>
      <c r="I628">
        <v>2.5</v>
      </c>
      <c r="J628">
        <v>1163.79</v>
      </c>
      <c r="K628">
        <v>1.9580666999707901</v>
      </c>
      <c r="L628">
        <v>1116.3800000000001</v>
      </c>
      <c r="M628" t="s">
        <v>27</v>
      </c>
      <c r="N628">
        <v>1</v>
      </c>
      <c r="O628">
        <v>1281</v>
      </c>
      <c r="P628">
        <v>1108</v>
      </c>
      <c r="Q628">
        <v>0</v>
      </c>
      <c r="R628">
        <v>1108</v>
      </c>
    </row>
    <row r="629" spans="1:18" x14ac:dyDescent="0.3">
      <c r="A629" s="5">
        <v>45959</v>
      </c>
      <c r="B629" t="s">
        <v>865</v>
      </c>
      <c r="C629">
        <v>17</v>
      </c>
      <c r="D629">
        <v>36</v>
      </c>
      <c r="E629" s="1">
        <v>1.9993055555555554</v>
      </c>
      <c r="F629" t="s">
        <v>866</v>
      </c>
      <c r="G629">
        <v>4</v>
      </c>
      <c r="H629">
        <v>1081.0686000000001</v>
      </c>
      <c r="I629">
        <v>7</v>
      </c>
      <c r="J629">
        <v>1163.79</v>
      </c>
      <c r="K629">
        <v>5.4825867599182097</v>
      </c>
      <c r="L629">
        <v>1097.8399999999999</v>
      </c>
      <c r="M629" t="s">
        <v>27</v>
      </c>
      <c r="N629">
        <v>1</v>
      </c>
      <c r="O629">
        <v>1330</v>
      </c>
      <c r="P629">
        <v>1157</v>
      </c>
      <c r="Q629">
        <v>0</v>
      </c>
      <c r="R629">
        <v>1157</v>
      </c>
    </row>
    <row r="630" spans="1:18" x14ac:dyDescent="0.3">
      <c r="A630" s="5">
        <v>45959</v>
      </c>
      <c r="B630" t="s">
        <v>867</v>
      </c>
      <c r="C630">
        <v>18</v>
      </c>
      <c r="D630">
        <v>36</v>
      </c>
      <c r="E630" s="1">
        <v>1.0833333333333333</v>
      </c>
      <c r="F630" t="s">
        <v>868</v>
      </c>
      <c r="G630">
        <v>0</v>
      </c>
      <c r="H630">
        <v>1081.2542000000001</v>
      </c>
      <c r="I630">
        <v>2.5</v>
      </c>
      <c r="J630">
        <v>1163.79</v>
      </c>
      <c r="K630">
        <v>1.9580666999707901</v>
      </c>
      <c r="L630">
        <v>1158.8800000000001</v>
      </c>
      <c r="M630" t="s">
        <v>27</v>
      </c>
      <c r="N630">
        <v>1</v>
      </c>
      <c r="O630">
        <v>1281</v>
      </c>
      <c r="P630">
        <v>1108</v>
      </c>
      <c r="Q630">
        <v>0</v>
      </c>
      <c r="R630">
        <v>1108</v>
      </c>
    </row>
    <row r="631" spans="1:18" x14ac:dyDescent="0.3">
      <c r="A631" s="5">
        <v>45959</v>
      </c>
      <c r="B631" t="s">
        <v>869</v>
      </c>
      <c r="C631">
        <v>27</v>
      </c>
      <c r="D631">
        <v>36</v>
      </c>
      <c r="E631" s="1">
        <v>1.25</v>
      </c>
      <c r="F631" t="s">
        <v>870</v>
      </c>
      <c r="G631">
        <v>4</v>
      </c>
      <c r="H631">
        <v>1081.0146</v>
      </c>
      <c r="I631">
        <v>7</v>
      </c>
      <c r="J631">
        <v>1163.79</v>
      </c>
      <c r="K631">
        <v>5.4825867599182097</v>
      </c>
      <c r="L631">
        <v>1158.8800000000001</v>
      </c>
      <c r="M631" t="s">
        <v>27</v>
      </c>
      <c r="N631">
        <v>1</v>
      </c>
      <c r="O631">
        <v>1330</v>
      </c>
      <c r="P631">
        <v>1157</v>
      </c>
      <c r="Q631">
        <v>0</v>
      </c>
      <c r="R631">
        <v>1157</v>
      </c>
    </row>
    <row r="632" spans="1:18" x14ac:dyDescent="0.3">
      <c r="A632" s="5">
        <v>45959</v>
      </c>
      <c r="B632" t="s">
        <v>871</v>
      </c>
      <c r="C632">
        <v>35</v>
      </c>
      <c r="D632">
        <v>36</v>
      </c>
      <c r="E632" s="1">
        <v>1.9993055555555554</v>
      </c>
      <c r="F632" t="s">
        <v>872</v>
      </c>
      <c r="G632">
        <v>4</v>
      </c>
      <c r="H632">
        <v>1080.4000000000001</v>
      </c>
      <c r="I632">
        <v>7</v>
      </c>
      <c r="J632">
        <v>1163.79</v>
      </c>
      <c r="K632">
        <v>5.4825867599182097</v>
      </c>
      <c r="L632">
        <v>1097.8399999999999</v>
      </c>
      <c r="M632" t="s">
        <v>27</v>
      </c>
      <c r="N632">
        <v>1</v>
      </c>
      <c r="O632">
        <v>1329</v>
      </c>
      <c r="P632">
        <v>1156</v>
      </c>
      <c r="Q632">
        <v>0</v>
      </c>
      <c r="R632">
        <v>1156</v>
      </c>
    </row>
    <row r="633" spans="1:18" x14ac:dyDescent="0.3">
      <c r="A633" s="5">
        <v>45959</v>
      </c>
      <c r="B633" t="s">
        <v>873</v>
      </c>
      <c r="C633">
        <v>9</v>
      </c>
      <c r="D633">
        <v>35</v>
      </c>
      <c r="E633" s="1">
        <v>1.9895833333333335</v>
      </c>
      <c r="F633" t="s">
        <v>874</v>
      </c>
      <c r="G633">
        <v>5</v>
      </c>
      <c r="H633">
        <v>1081.1895999999999</v>
      </c>
      <c r="I633">
        <v>0</v>
      </c>
      <c r="J633">
        <v>1163.79</v>
      </c>
      <c r="K633">
        <v>0</v>
      </c>
      <c r="L633">
        <v>1158.8800000000001</v>
      </c>
      <c r="M633" t="s">
        <v>27</v>
      </c>
      <c r="N633">
        <v>1</v>
      </c>
      <c r="O633">
        <v>1254</v>
      </c>
      <c r="P633">
        <v>1081</v>
      </c>
      <c r="Q633">
        <v>0</v>
      </c>
      <c r="R633">
        <v>1081</v>
      </c>
    </row>
    <row r="634" spans="1:18" x14ac:dyDescent="0.3">
      <c r="A634" s="5">
        <v>45959</v>
      </c>
      <c r="B634" t="s">
        <v>875</v>
      </c>
      <c r="C634">
        <v>4</v>
      </c>
      <c r="D634">
        <v>36</v>
      </c>
      <c r="E634" s="1">
        <v>1.0833333333333333</v>
      </c>
      <c r="F634" t="s">
        <v>876</v>
      </c>
      <c r="G634">
        <v>4</v>
      </c>
      <c r="H634">
        <v>1081.3726999999999</v>
      </c>
      <c r="I634">
        <v>7</v>
      </c>
      <c r="J634">
        <v>1163.79</v>
      </c>
      <c r="K634">
        <v>5.4825867599182097</v>
      </c>
      <c r="L634">
        <v>1158.8800000000001</v>
      </c>
      <c r="M634" t="s">
        <v>27</v>
      </c>
      <c r="N634">
        <v>1</v>
      </c>
      <c r="O634">
        <v>1330</v>
      </c>
      <c r="P634">
        <v>1157</v>
      </c>
      <c r="Q634">
        <v>0</v>
      </c>
      <c r="R634">
        <v>1157</v>
      </c>
    </row>
    <row r="635" spans="1:18" x14ac:dyDescent="0.3">
      <c r="A635" s="5">
        <v>45959</v>
      </c>
      <c r="B635" t="s">
        <v>877</v>
      </c>
      <c r="C635">
        <v>31</v>
      </c>
      <c r="D635">
        <v>36</v>
      </c>
      <c r="E635" s="1">
        <v>1.4583333333333333</v>
      </c>
      <c r="F635" t="s">
        <v>878</v>
      </c>
      <c r="G635">
        <v>5</v>
      </c>
      <c r="H635">
        <v>1080.8829000000001</v>
      </c>
      <c r="I635">
        <v>0</v>
      </c>
      <c r="J635">
        <v>1163.79</v>
      </c>
      <c r="K635">
        <v>0</v>
      </c>
      <c r="L635">
        <v>1158.8800000000001</v>
      </c>
      <c r="M635" t="s">
        <v>27</v>
      </c>
      <c r="N635">
        <v>1</v>
      </c>
      <c r="O635">
        <v>1254</v>
      </c>
      <c r="P635">
        <v>1081</v>
      </c>
      <c r="Q635">
        <v>0</v>
      </c>
      <c r="R635">
        <v>1081</v>
      </c>
    </row>
    <row r="636" spans="1:18" x14ac:dyDescent="0.3">
      <c r="A636" s="5">
        <v>45959</v>
      </c>
      <c r="B636" t="s">
        <v>879</v>
      </c>
      <c r="C636">
        <v>30</v>
      </c>
      <c r="D636">
        <v>36</v>
      </c>
      <c r="E636" s="1">
        <v>1.4583333333333333</v>
      </c>
      <c r="F636" t="s">
        <v>880</v>
      </c>
      <c r="G636">
        <v>0</v>
      </c>
      <c r="H636">
        <v>1080.9009000000001</v>
      </c>
      <c r="I636">
        <v>2.5</v>
      </c>
      <c r="J636">
        <v>1163.79</v>
      </c>
      <c r="K636">
        <v>1.9580666999707901</v>
      </c>
      <c r="L636">
        <v>1158.8800000000001</v>
      </c>
      <c r="M636" t="s">
        <v>27</v>
      </c>
      <c r="N636">
        <v>1</v>
      </c>
      <c r="O636">
        <v>1281</v>
      </c>
      <c r="P636">
        <v>1108</v>
      </c>
      <c r="Q636">
        <v>0</v>
      </c>
      <c r="R636">
        <v>1108</v>
      </c>
    </row>
    <row r="637" spans="1:18" x14ac:dyDescent="0.3">
      <c r="A637" s="5">
        <v>45959</v>
      </c>
      <c r="B637" t="s">
        <v>881</v>
      </c>
      <c r="C637">
        <v>30</v>
      </c>
      <c r="D637">
        <v>36</v>
      </c>
      <c r="E637" s="1">
        <v>1.9791666666666665</v>
      </c>
      <c r="F637" t="s">
        <v>882</v>
      </c>
      <c r="G637">
        <v>2</v>
      </c>
      <c r="H637">
        <v>1080.8625</v>
      </c>
      <c r="I637">
        <v>5</v>
      </c>
      <c r="J637">
        <v>1163.79</v>
      </c>
      <c r="K637">
        <v>3.9161333999415802</v>
      </c>
      <c r="L637">
        <v>609.91</v>
      </c>
      <c r="M637" t="s">
        <v>60</v>
      </c>
      <c r="N637">
        <v>1</v>
      </c>
      <c r="O637">
        <v>1308</v>
      </c>
      <c r="P637">
        <v>1135</v>
      </c>
      <c r="Q637">
        <v>0.5</v>
      </c>
      <c r="R637">
        <v>567.5</v>
      </c>
    </row>
    <row r="638" spans="1:18" x14ac:dyDescent="0.3">
      <c r="A638" s="5">
        <v>45959</v>
      </c>
      <c r="B638" t="s">
        <v>881</v>
      </c>
      <c r="C638">
        <v>30</v>
      </c>
      <c r="D638">
        <v>36</v>
      </c>
      <c r="E638" s="1">
        <v>1.9791666666666665</v>
      </c>
      <c r="F638" t="s">
        <v>883</v>
      </c>
      <c r="G638">
        <v>2</v>
      </c>
      <c r="H638">
        <v>1080.8625</v>
      </c>
      <c r="I638">
        <v>5</v>
      </c>
      <c r="J638">
        <v>1163.79</v>
      </c>
      <c r="K638">
        <v>3.9161333999415802</v>
      </c>
      <c r="L638">
        <v>609.91</v>
      </c>
      <c r="M638" t="s">
        <v>60</v>
      </c>
      <c r="N638">
        <v>1</v>
      </c>
      <c r="O638">
        <v>1308</v>
      </c>
      <c r="P638">
        <v>1135</v>
      </c>
      <c r="Q638">
        <v>0.5</v>
      </c>
      <c r="R638">
        <v>567.5</v>
      </c>
    </row>
    <row r="639" spans="1:18" x14ac:dyDescent="0.3">
      <c r="A639" s="5">
        <v>45959</v>
      </c>
      <c r="B639" t="s">
        <v>884</v>
      </c>
      <c r="C639">
        <v>31</v>
      </c>
      <c r="D639">
        <v>36</v>
      </c>
      <c r="E639" s="1">
        <v>1.9791666666666665</v>
      </c>
      <c r="F639" t="s">
        <v>882</v>
      </c>
      <c r="G639">
        <v>2</v>
      </c>
      <c r="H639">
        <v>1080.8445999999999</v>
      </c>
      <c r="I639">
        <v>5</v>
      </c>
      <c r="J639">
        <v>1163.79</v>
      </c>
      <c r="K639">
        <v>3.9161333999415802</v>
      </c>
      <c r="L639">
        <v>609.91</v>
      </c>
      <c r="M639" t="s">
        <v>60</v>
      </c>
      <c r="N639">
        <v>1</v>
      </c>
      <c r="O639">
        <v>1308</v>
      </c>
      <c r="P639">
        <v>1135</v>
      </c>
      <c r="Q639">
        <v>0.5</v>
      </c>
      <c r="R639">
        <v>567.5</v>
      </c>
    </row>
    <row r="640" spans="1:18" x14ac:dyDescent="0.3">
      <c r="A640" s="5">
        <v>45959</v>
      </c>
      <c r="B640" t="s">
        <v>884</v>
      </c>
      <c r="C640">
        <v>31</v>
      </c>
      <c r="D640">
        <v>36</v>
      </c>
      <c r="E640" s="1">
        <v>1.9791666666666665</v>
      </c>
      <c r="F640" t="s">
        <v>883</v>
      </c>
      <c r="G640">
        <v>2</v>
      </c>
      <c r="H640">
        <v>1080.8445999999999</v>
      </c>
      <c r="I640">
        <v>5</v>
      </c>
      <c r="J640">
        <v>1163.79</v>
      </c>
      <c r="K640">
        <v>3.9161333999415802</v>
      </c>
      <c r="L640">
        <v>609.91</v>
      </c>
      <c r="M640" t="s">
        <v>60</v>
      </c>
      <c r="N640">
        <v>1</v>
      </c>
      <c r="O640">
        <v>1308</v>
      </c>
      <c r="P640">
        <v>1135</v>
      </c>
      <c r="Q640">
        <v>0.5</v>
      </c>
      <c r="R640">
        <v>567.5</v>
      </c>
    </row>
    <row r="641" spans="1:18" x14ac:dyDescent="0.3">
      <c r="A641" s="5">
        <v>45959</v>
      </c>
      <c r="B641" t="s">
        <v>885</v>
      </c>
      <c r="C641">
        <v>30</v>
      </c>
      <c r="D641">
        <v>35</v>
      </c>
      <c r="E641" s="1">
        <v>1.9993055555555554</v>
      </c>
      <c r="F641" t="s">
        <v>886</v>
      </c>
      <c r="G641">
        <v>5</v>
      </c>
      <c r="H641">
        <v>1080.8112000000001</v>
      </c>
      <c r="I641">
        <v>0</v>
      </c>
      <c r="J641">
        <v>1163.79</v>
      </c>
      <c r="K641">
        <v>0</v>
      </c>
      <c r="L641">
        <v>1120.69</v>
      </c>
      <c r="M641" t="s">
        <v>27</v>
      </c>
      <c r="N641">
        <v>1</v>
      </c>
      <c r="O641">
        <v>1254</v>
      </c>
      <c r="P641">
        <v>1081</v>
      </c>
      <c r="Q641">
        <v>0</v>
      </c>
      <c r="R641">
        <v>1081</v>
      </c>
    </row>
    <row r="642" spans="1:18" x14ac:dyDescent="0.3">
      <c r="A642" s="5">
        <v>45959</v>
      </c>
      <c r="B642" t="s">
        <v>887</v>
      </c>
      <c r="C642">
        <v>21</v>
      </c>
      <c r="D642">
        <v>36</v>
      </c>
      <c r="E642" s="1">
        <v>1.4583333333333333</v>
      </c>
      <c r="F642" t="s">
        <v>888</v>
      </c>
      <c r="G642">
        <v>5</v>
      </c>
      <c r="H642">
        <v>1081.2509</v>
      </c>
      <c r="I642">
        <v>0</v>
      </c>
      <c r="J642">
        <v>1163.79</v>
      </c>
      <c r="K642">
        <v>0</v>
      </c>
      <c r="L642">
        <v>1158.8800000000001</v>
      </c>
      <c r="M642" t="s">
        <v>27</v>
      </c>
      <c r="N642">
        <v>1</v>
      </c>
      <c r="O642">
        <v>1254</v>
      </c>
      <c r="P642">
        <v>1081</v>
      </c>
      <c r="Q642">
        <v>0</v>
      </c>
      <c r="R642">
        <v>1081</v>
      </c>
    </row>
    <row r="643" spans="1:18" x14ac:dyDescent="0.3">
      <c r="A643" s="5">
        <v>45959</v>
      </c>
      <c r="B643" t="s">
        <v>889</v>
      </c>
      <c r="C643">
        <v>31</v>
      </c>
      <c r="D643">
        <v>35</v>
      </c>
      <c r="E643" s="1">
        <v>1.9993055555555554</v>
      </c>
      <c r="F643" t="s">
        <v>890</v>
      </c>
      <c r="G643">
        <v>5</v>
      </c>
      <c r="H643">
        <v>1080.6597999999999</v>
      </c>
      <c r="I643">
        <v>0</v>
      </c>
      <c r="J643">
        <v>1163.79</v>
      </c>
      <c r="K643">
        <v>0</v>
      </c>
      <c r="L643">
        <v>1158.8800000000001</v>
      </c>
      <c r="M643" t="s">
        <v>27</v>
      </c>
      <c r="N643">
        <v>1</v>
      </c>
      <c r="O643">
        <v>1254</v>
      </c>
      <c r="P643">
        <v>1081</v>
      </c>
      <c r="Q643">
        <v>0</v>
      </c>
      <c r="R643">
        <v>1081</v>
      </c>
    </row>
    <row r="644" spans="1:18" x14ac:dyDescent="0.3">
      <c r="A644" s="5">
        <v>45959</v>
      </c>
      <c r="B644" t="s">
        <v>891</v>
      </c>
      <c r="C644">
        <v>1</v>
      </c>
      <c r="D644">
        <v>36</v>
      </c>
      <c r="E644" s="1">
        <v>1.0833333333333333</v>
      </c>
      <c r="F644" t="s">
        <v>892</v>
      </c>
      <c r="G644">
        <v>0</v>
      </c>
      <c r="H644">
        <v>1081.5581</v>
      </c>
      <c r="I644">
        <v>2.5</v>
      </c>
      <c r="J644">
        <v>1163.79</v>
      </c>
      <c r="K644">
        <v>1.9580666999707901</v>
      </c>
      <c r="L644">
        <v>1158.8800000000001</v>
      </c>
      <c r="M644" t="s">
        <v>27</v>
      </c>
      <c r="N644">
        <v>1</v>
      </c>
      <c r="O644">
        <v>1282</v>
      </c>
      <c r="P644">
        <v>1109</v>
      </c>
      <c r="Q644">
        <v>0</v>
      </c>
      <c r="R644">
        <v>1109</v>
      </c>
    </row>
    <row r="645" spans="1:18" x14ac:dyDescent="0.3">
      <c r="A645" s="5">
        <v>45959</v>
      </c>
      <c r="B645" t="s">
        <v>893</v>
      </c>
      <c r="C645">
        <v>6</v>
      </c>
      <c r="D645">
        <v>36</v>
      </c>
      <c r="E645" s="1">
        <v>1.0833333333333333</v>
      </c>
      <c r="F645" t="s">
        <v>894</v>
      </c>
      <c r="G645">
        <v>2</v>
      </c>
      <c r="H645">
        <v>1081.4684999999999</v>
      </c>
      <c r="I645">
        <v>5</v>
      </c>
      <c r="J645">
        <v>1163.79</v>
      </c>
      <c r="K645">
        <v>3.9161333999415802</v>
      </c>
      <c r="L645">
        <v>609.91</v>
      </c>
      <c r="M645" t="s">
        <v>60</v>
      </c>
      <c r="N645">
        <v>1</v>
      </c>
      <c r="O645">
        <v>1309</v>
      </c>
      <c r="P645">
        <v>1136</v>
      </c>
      <c r="Q645">
        <v>0.5</v>
      </c>
      <c r="R645">
        <v>568</v>
      </c>
    </row>
    <row r="646" spans="1:18" x14ac:dyDescent="0.3">
      <c r="A646" s="5">
        <v>45959</v>
      </c>
      <c r="B646" t="s">
        <v>893</v>
      </c>
      <c r="C646">
        <v>6</v>
      </c>
      <c r="D646">
        <v>36</v>
      </c>
      <c r="E646" s="1">
        <v>1.0833333333333333</v>
      </c>
      <c r="F646" t="s">
        <v>894</v>
      </c>
      <c r="G646">
        <v>2</v>
      </c>
      <c r="H646">
        <v>1081.4684999999999</v>
      </c>
      <c r="I646">
        <v>5</v>
      </c>
      <c r="J646">
        <v>1163.79</v>
      </c>
      <c r="K646">
        <v>3.9161333999415802</v>
      </c>
      <c r="L646">
        <v>609.91</v>
      </c>
      <c r="M646" t="s">
        <v>60</v>
      </c>
      <c r="N646">
        <v>1</v>
      </c>
      <c r="O646">
        <v>1309</v>
      </c>
      <c r="P646">
        <v>1136</v>
      </c>
      <c r="Q646">
        <v>0.5</v>
      </c>
      <c r="R646">
        <v>568</v>
      </c>
    </row>
    <row r="647" spans="1:18" x14ac:dyDescent="0.3">
      <c r="A647" s="5">
        <v>45959</v>
      </c>
      <c r="B647" t="s">
        <v>895</v>
      </c>
      <c r="C647">
        <v>5</v>
      </c>
      <c r="D647">
        <v>36</v>
      </c>
      <c r="E647" s="1">
        <v>1.0833333333333333</v>
      </c>
      <c r="F647" t="s">
        <v>894</v>
      </c>
      <c r="G647">
        <v>2</v>
      </c>
      <c r="H647">
        <v>1081.4863</v>
      </c>
      <c r="I647">
        <v>5</v>
      </c>
      <c r="J647">
        <v>1163.79</v>
      </c>
      <c r="K647">
        <v>3.9161333999415802</v>
      </c>
      <c r="L647">
        <v>609.91</v>
      </c>
      <c r="M647" t="s">
        <v>60</v>
      </c>
      <c r="N647">
        <v>1</v>
      </c>
      <c r="O647">
        <v>1309</v>
      </c>
      <c r="P647">
        <v>1136</v>
      </c>
      <c r="Q647">
        <v>0.5</v>
      </c>
      <c r="R647">
        <v>568</v>
      </c>
    </row>
    <row r="648" spans="1:18" x14ac:dyDescent="0.3">
      <c r="A648" s="5">
        <v>45959</v>
      </c>
      <c r="B648" t="s">
        <v>895</v>
      </c>
      <c r="C648">
        <v>5</v>
      </c>
      <c r="D648">
        <v>36</v>
      </c>
      <c r="E648" s="1">
        <v>1.0833333333333333</v>
      </c>
      <c r="F648" t="s">
        <v>894</v>
      </c>
      <c r="G648">
        <v>2</v>
      </c>
      <c r="H648">
        <v>1081.4863</v>
      </c>
      <c r="I648">
        <v>5</v>
      </c>
      <c r="J648">
        <v>1163.79</v>
      </c>
      <c r="K648">
        <v>3.9161333999415802</v>
      </c>
      <c r="L648">
        <v>609.91</v>
      </c>
      <c r="M648" t="s">
        <v>60</v>
      </c>
      <c r="N648">
        <v>1</v>
      </c>
      <c r="O648">
        <v>1309</v>
      </c>
      <c r="P648">
        <v>1136</v>
      </c>
      <c r="Q648">
        <v>0.5</v>
      </c>
      <c r="R648">
        <v>568</v>
      </c>
    </row>
    <row r="649" spans="1:18" x14ac:dyDescent="0.3">
      <c r="A649" s="5">
        <v>45959</v>
      </c>
      <c r="B649" t="s">
        <v>896</v>
      </c>
      <c r="C649">
        <v>8</v>
      </c>
      <c r="D649">
        <v>35</v>
      </c>
      <c r="E649" s="1">
        <v>1.9895833333333335</v>
      </c>
      <c r="F649" t="s">
        <v>897</v>
      </c>
      <c r="G649">
        <v>5</v>
      </c>
      <c r="H649">
        <v>1081.2058</v>
      </c>
      <c r="I649">
        <v>0</v>
      </c>
      <c r="J649">
        <v>1163.79</v>
      </c>
      <c r="K649">
        <v>0</v>
      </c>
      <c r="L649">
        <v>1158.8800000000001</v>
      </c>
      <c r="M649" t="s">
        <v>27</v>
      </c>
      <c r="N649">
        <v>1</v>
      </c>
      <c r="O649">
        <v>1254</v>
      </c>
      <c r="P649">
        <v>1081</v>
      </c>
      <c r="Q649">
        <v>0</v>
      </c>
      <c r="R649">
        <v>1081</v>
      </c>
    </row>
    <row r="650" spans="1:18" x14ac:dyDescent="0.3">
      <c r="A650" s="5">
        <v>45959</v>
      </c>
      <c r="B650" t="s">
        <v>898</v>
      </c>
      <c r="C650">
        <v>36</v>
      </c>
      <c r="D650">
        <v>36</v>
      </c>
      <c r="E650" s="1">
        <v>1.0833333333333333</v>
      </c>
      <c r="F650" t="s">
        <v>899</v>
      </c>
      <c r="G650">
        <v>0</v>
      </c>
      <c r="H650">
        <v>1080.7964999999999</v>
      </c>
      <c r="I650">
        <v>2.5</v>
      </c>
      <c r="J650">
        <v>1163.79</v>
      </c>
      <c r="K650">
        <v>1.9580666999707901</v>
      </c>
      <c r="L650">
        <v>1158.8800000000001</v>
      </c>
      <c r="M650" t="s">
        <v>27</v>
      </c>
      <c r="N650">
        <v>1</v>
      </c>
      <c r="O650">
        <v>1281</v>
      </c>
      <c r="P650">
        <v>1108</v>
      </c>
      <c r="Q650">
        <v>0</v>
      </c>
      <c r="R650">
        <v>1108</v>
      </c>
    </row>
    <row r="651" spans="1:18" x14ac:dyDescent="0.3">
      <c r="A651" s="5">
        <v>45959</v>
      </c>
      <c r="B651" t="s">
        <v>898</v>
      </c>
      <c r="C651">
        <v>36</v>
      </c>
      <c r="D651">
        <v>36</v>
      </c>
      <c r="E651" s="1">
        <v>1.0833333333333333</v>
      </c>
      <c r="F651" t="s">
        <v>899</v>
      </c>
      <c r="G651">
        <v>0</v>
      </c>
      <c r="H651">
        <v>1080.7964999999999</v>
      </c>
      <c r="I651">
        <v>2.5</v>
      </c>
      <c r="J651">
        <v>1163.79</v>
      </c>
      <c r="K651">
        <v>1.9580666999707901</v>
      </c>
      <c r="L651">
        <v>1158.8800000000001</v>
      </c>
      <c r="M651" t="s">
        <v>27</v>
      </c>
      <c r="N651">
        <v>1</v>
      </c>
      <c r="O651">
        <v>1281</v>
      </c>
      <c r="P651">
        <v>1108</v>
      </c>
      <c r="Q651">
        <v>0</v>
      </c>
      <c r="R651">
        <v>1108</v>
      </c>
    </row>
    <row r="652" spans="1:18" x14ac:dyDescent="0.3">
      <c r="A652" s="5">
        <v>45959</v>
      </c>
      <c r="B652" t="s">
        <v>900</v>
      </c>
      <c r="C652">
        <v>27</v>
      </c>
      <c r="D652">
        <v>36</v>
      </c>
      <c r="E652" s="1">
        <v>1.0833333333333333</v>
      </c>
      <c r="F652" t="s">
        <v>899</v>
      </c>
      <c r="G652">
        <v>0</v>
      </c>
      <c r="H652">
        <v>1080.9585</v>
      </c>
      <c r="I652">
        <v>2.5</v>
      </c>
      <c r="J652">
        <v>1163.79</v>
      </c>
      <c r="K652">
        <v>1.9580666999707901</v>
      </c>
      <c r="L652">
        <v>1158.8800000000001</v>
      </c>
      <c r="M652" t="s">
        <v>27</v>
      </c>
      <c r="N652">
        <v>1</v>
      </c>
      <c r="O652">
        <v>1281</v>
      </c>
      <c r="P652">
        <v>1108</v>
      </c>
      <c r="Q652">
        <v>0</v>
      </c>
      <c r="R652">
        <v>1108</v>
      </c>
    </row>
    <row r="653" spans="1:18" x14ac:dyDescent="0.3">
      <c r="A653" s="5">
        <v>45959</v>
      </c>
      <c r="B653" t="s">
        <v>900</v>
      </c>
      <c r="C653">
        <v>27</v>
      </c>
      <c r="D653">
        <v>36</v>
      </c>
      <c r="E653" s="1">
        <v>1.0833333333333333</v>
      </c>
      <c r="F653" t="s">
        <v>899</v>
      </c>
      <c r="G653">
        <v>0</v>
      </c>
      <c r="H653">
        <v>1080.9585</v>
      </c>
      <c r="I653">
        <v>2.5</v>
      </c>
      <c r="J653">
        <v>1163.79</v>
      </c>
      <c r="K653">
        <v>1.9580666999707901</v>
      </c>
      <c r="L653">
        <v>1158.8800000000001</v>
      </c>
      <c r="M653" t="s">
        <v>27</v>
      </c>
      <c r="N653">
        <v>1</v>
      </c>
      <c r="O653">
        <v>1281</v>
      </c>
      <c r="P653">
        <v>1108</v>
      </c>
      <c r="Q653">
        <v>0</v>
      </c>
      <c r="R653">
        <v>1108</v>
      </c>
    </row>
    <row r="654" spans="1:18" x14ac:dyDescent="0.3">
      <c r="A654" s="5">
        <v>45959</v>
      </c>
      <c r="B654" t="s">
        <v>901</v>
      </c>
      <c r="C654">
        <v>34</v>
      </c>
      <c r="D654">
        <v>35</v>
      </c>
      <c r="E654" s="1">
        <v>1.9895833333333335</v>
      </c>
      <c r="F654" t="s">
        <v>902</v>
      </c>
      <c r="G654">
        <v>4</v>
      </c>
      <c r="H654">
        <v>1080.6085</v>
      </c>
      <c r="I654">
        <v>7</v>
      </c>
      <c r="J654">
        <v>1163.79</v>
      </c>
      <c r="K654">
        <v>5.4825867599182097</v>
      </c>
      <c r="L654">
        <v>1219.83</v>
      </c>
      <c r="M654" t="s">
        <v>27</v>
      </c>
      <c r="N654">
        <v>1</v>
      </c>
      <c r="O654">
        <v>1329</v>
      </c>
      <c r="P654">
        <v>1156</v>
      </c>
      <c r="Q654">
        <v>0</v>
      </c>
      <c r="R654">
        <v>1156</v>
      </c>
    </row>
    <row r="655" spans="1:18" x14ac:dyDescent="0.3">
      <c r="A655" s="5">
        <v>45959</v>
      </c>
      <c r="B655" t="s">
        <v>903</v>
      </c>
      <c r="C655">
        <v>16</v>
      </c>
      <c r="D655">
        <v>36</v>
      </c>
      <c r="E655" s="1">
        <v>1.9652777777777777</v>
      </c>
      <c r="F655" t="s">
        <v>904</v>
      </c>
      <c r="G655">
        <v>0</v>
      </c>
      <c r="H655">
        <v>1081.1702</v>
      </c>
      <c r="I655">
        <v>2.5</v>
      </c>
      <c r="J655">
        <v>1163.79</v>
      </c>
      <c r="K655">
        <v>1.9580666999707901</v>
      </c>
      <c r="L655">
        <v>1094.83</v>
      </c>
      <c r="M655" t="s">
        <v>27</v>
      </c>
      <c r="N655">
        <v>1</v>
      </c>
      <c r="O655">
        <v>1281</v>
      </c>
      <c r="P655">
        <v>1108</v>
      </c>
      <c r="Q655">
        <v>0</v>
      </c>
      <c r="R655">
        <v>1108</v>
      </c>
    </row>
    <row r="656" spans="1:18" x14ac:dyDescent="0.3">
      <c r="A656" s="5">
        <v>45959</v>
      </c>
      <c r="B656" t="s">
        <v>905</v>
      </c>
      <c r="C656">
        <v>25</v>
      </c>
      <c r="D656">
        <v>36</v>
      </c>
      <c r="E656" s="1">
        <v>1.0833333333333333</v>
      </c>
      <c r="F656" t="s">
        <v>906</v>
      </c>
      <c r="G656">
        <v>0</v>
      </c>
      <c r="H656">
        <v>1080.9935</v>
      </c>
      <c r="I656">
        <v>2.5</v>
      </c>
      <c r="J656">
        <v>1163.79</v>
      </c>
      <c r="K656">
        <v>1.9580666999707901</v>
      </c>
      <c r="L656">
        <v>1158.8800000000001</v>
      </c>
      <c r="M656" t="s">
        <v>27</v>
      </c>
      <c r="N656">
        <v>1</v>
      </c>
      <c r="O656">
        <v>1281</v>
      </c>
      <c r="P656">
        <v>1108</v>
      </c>
      <c r="Q656">
        <v>0</v>
      </c>
      <c r="R656">
        <v>1108</v>
      </c>
    </row>
    <row r="657" spans="1:18" x14ac:dyDescent="0.3">
      <c r="A657" s="5">
        <v>45959</v>
      </c>
      <c r="B657" t="s">
        <v>907</v>
      </c>
      <c r="C657">
        <v>8</v>
      </c>
      <c r="D657">
        <v>36</v>
      </c>
      <c r="E657" s="1">
        <v>1.9993055555555554</v>
      </c>
      <c r="F657" t="s">
        <v>908</v>
      </c>
      <c r="G657">
        <v>0</v>
      </c>
      <c r="H657">
        <v>1081.2003</v>
      </c>
      <c r="I657">
        <v>2.5</v>
      </c>
      <c r="J657">
        <v>1163.79</v>
      </c>
      <c r="K657">
        <v>1.9580666999707901</v>
      </c>
      <c r="L657">
        <v>1158.8800000000001</v>
      </c>
      <c r="M657" t="s">
        <v>27</v>
      </c>
      <c r="N657">
        <v>1</v>
      </c>
      <c r="O657">
        <v>1281</v>
      </c>
      <c r="P657">
        <v>1108</v>
      </c>
      <c r="Q657">
        <v>0</v>
      </c>
      <c r="R657">
        <v>1108</v>
      </c>
    </row>
    <row r="658" spans="1:18" x14ac:dyDescent="0.3">
      <c r="A658" s="5">
        <v>45959</v>
      </c>
      <c r="B658" t="s">
        <v>907</v>
      </c>
      <c r="C658">
        <v>8</v>
      </c>
      <c r="D658">
        <v>36</v>
      </c>
      <c r="E658" s="1">
        <v>1.9993055555555554</v>
      </c>
      <c r="F658" t="s">
        <v>909</v>
      </c>
      <c r="G658">
        <v>0</v>
      </c>
      <c r="H658">
        <v>1081.2003</v>
      </c>
      <c r="I658">
        <v>2.5</v>
      </c>
      <c r="J658">
        <v>1163.79</v>
      </c>
      <c r="K658">
        <v>1.9580666999707901</v>
      </c>
      <c r="L658">
        <v>1158.8800000000001</v>
      </c>
      <c r="M658" t="s">
        <v>27</v>
      </c>
      <c r="N658">
        <v>1</v>
      </c>
      <c r="O658">
        <v>1281</v>
      </c>
      <c r="P658">
        <v>1108</v>
      </c>
      <c r="Q658">
        <v>0</v>
      </c>
      <c r="R658">
        <v>1108</v>
      </c>
    </row>
    <row r="659" spans="1:18" x14ac:dyDescent="0.3">
      <c r="A659" s="5">
        <v>45959</v>
      </c>
      <c r="B659" t="s">
        <v>910</v>
      </c>
      <c r="C659">
        <v>9</v>
      </c>
      <c r="D659">
        <v>36</v>
      </c>
      <c r="E659" s="1">
        <v>1.9993055555555554</v>
      </c>
      <c r="F659" t="s">
        <v>908</v>
      </c>
      <c r="G659">
        <v>0</v>
      </c>
      <c r="H659">
        <v>1081.1823999999999</v>
      </c>
      <c r="I659">
        <v>2.5</v>
      </c>
      <c r="J659">
        <v>1163.79</v>
      </c>
      <c r="K659">
        <v>1.9580666999707901</v>
      </c>
      <c r="L659">
        <v>1158.8800000000001</v>
      </c>
      <c r="M659" t="s">
        <v>27</v>
      </c>
      <c r="N659">
        <v>1</v>
      </c>
      <c r="O659">
        <v>1281</v>
      </c>
      <c r="P659">
        <v>1108</v>
      </c>
      <c r="Q659">
        <v>0</v>
      </c>
      <c r="R659">
        <v>1108</v>
      </c>
    </row>
    <row r="660" spans="1:18" x14ac:dyDescent="0.3">
      <c r="A660" s="5">
        <v>45959</v>
      </c>
      <c r="B660" t="s">
        <v>910</v>
      </c>
      <c r="C660">
        <v>9</v>
      </c>
      <c r="D660">
        <v>36</v>
      </c>
      <c r="E660" s="1">
        <v>1.9993055555555554</v>
      </c>
      <c r="F660" t="s">
        <v>909</v>
      </c>
      <c r="G660">
        <v>0</v>
      </c>
      <c r="H660">
        <v>1081.1823999999999</v>
      </c>
      <c r="I660">
        <v>2.5</v>
      </c>
      <c r="J660">
        <v>1163.79</v>
      </c>
      <c r="K660">
        <v>1.9580666999707901</v>
      </c>
      <c r="L660">
        <v>1158.8800000000001</v>
      </c>
      <c r="M660" t="s">
        <v>27</v>
      </c>
      <c r="N660">
        <v>1</v>
      </c>
      <c r="O660">
        <v>1281</v>
      </c>
      <c r="P660">
        <v>1108</v>
      </c>
      <c r="Q660">
        <v>0</v>
      </c>
      <c r="R660">
        <v>1108</v>
      </c>
    </row>
    <row r="661" spans="1:18" x14ac:dyDescent="0.3">
      <c r="A661" s="5">
        <v>45959</v>
      </c>
      <c r="B661" t="s">
        <v>911</v>
      </c>
      <c r="C661">
        <v>22</v>
      </c>
      <c r="D661">
        <v>35</v>
      </c>
      <c r="E661" s="1">
        <v>1.9895833333333335</v>
      </c>
      <c r="F661" t="s">
        <v>912</v>
      </c>
      <c r="G661">
        <v>4</v>
      </c>
      <c r="H661">
        <v>1078.9094</v>
      </c>
      <c r="I661">
        <v>7</v>
      </c>
      <c r="J661">
        <v>1163.79</v>
      </c>
      <c r="K661">
        <v>5.4825867599182097</v>
      </c>
      <c r="L661">
        <v>1219.83</v>
      </c>
      <c r="M661" t="s">
        <v>27</v>
      </c>
      <c r="N661">
        <v>1</v>
      </c>
      <c r="O661">
        <v>1327</v>
      </c>
      <c r="P661">
        <v>1154</v>
      </c>
      <c r="Q661">
        <v>0</v>
      </c>
      <c r="R661">
        <v>1154</v>
      </c>
    </row>
    <row r="662" spans="1:18" x14ac:dyDescent="0.3">
      <c r="A662" s="5">
        <v>45959</v>
      </c>
      <c r="B662" t="s">
        <v>913</v>
      </c>
      <c r="C662">
        <v>15</v>
      </c>
      <c r="D662">
        <v>35</v>
      </c>
      <c r="E662" s="1">
        <v>1.9993055555555554</v>
      </c>
      <c r="F662" t="s">
        <v>914</v>
      </c>
      <c r="G662">
        <v>1</v>
      </c>
      <c r="H662">
        <v>1081.0685000000001</v>
      </c>
      <c r="I662">
        <v>8.5</v>
      </c>
      <c r="J662">
        <v>1163.79</v>
      </c>
      <c r="K662">
        <v>6.6574267799006801</v>
      </c>
      <c r="L662">
        <v>1219.83</v>
      </c>
      <c r="M662" t="s">
        <v>27</v>
      </c>
      <c r="N662">
        <v>1</v>
      </c>
      <c r="O662">
        <v>1346</v>
      </c>
      <c r="P662">
        <v>1173</v>
      </c>
      <c r="Q662">
        <v>0</v>
      </c>
      <c r="R662">
        <v>1173</v>
      </c>
    </row>
    <row r="663" spans="1:18" x14ac:dyDescent="0.3">
      <c r="A663" s="5">
        <v>45959</v>
      </c>
      <c r="B663" t="s">
        <v>915</v>
      </c>
      <c r="C663">
        <v>16</v>
      </c>
      <c r="D663">
        <v>36</v>
      </c>
      <c r="E663" s="1">
        <v>1.0833333333333333</v>
      </c>
      <c r="F663" t="s">
        <v>916</v>
      </c>
      <c r="G663">
        <v>5</v>
      </c>
      <c r="H663">
        <v>1081.288</v>
      </c>
      <c r="I663">
        <v>0</v>
      </c>
      <c r="J663">
        <v>1163.79</v>
      </c>
      <c r="K663">
        <v>0</v>
      </c>
      <c r="L663">
        <v>1158.8800000000001</v>
      </c>
      <c r="M663" t="s">
        <v>27</v>
      </c>
      <c r="N663">
        <v>1</v>
      </c>
      <c r="O663">
        <v>1254</v>
      </c>
      <c r="P663">
        <v>1081</v>
      </c>
      <c r="Q663">
        <v>0</v>
      </c>
      <c r="R663">
        <v>1081</v>
      </c>
    </row>
    <row r="664" spans="1:18" x14ac:dyDescent="0.3">
      <c r="A664" s="5">
        <v>45959</v>
      </c>
      <c r="B664" t="s">
        <v>917</v>
      </c>
      <c r="C664">
        <v>32</v>
      </c>
      <c r="D664">
        <v>36</v>
      </c>
      <c r="E664" s="1">
        <v>1.0833333333333333</v>
      </c>
      <c r="F664" t="s">
        <v>918</v>
      </c>
      <c r="G664">
        <v>4</v>
      </c>
      <c r="H664">
        <v>1080.8552</v>
      </c>
      <c r="I664">
        <v>7</v>
      </c>
      <c r="J664">
        <v>1163.79</v>
      </c>
      <c r="K664">
        <v>5.4825867599182097</v>
      </c>
      <c r="L664">
        <v>1219.83</v>
      </c>
      <c r="M664" t="s">
        <v>27</v>
      </c>
      <c r="N664">
        <v>1</v>
      </c>
      <c r="O664">
        <v>1329</v>
      </c>
      <c r="P664">
        <v>1157</v>
      </c>
      <c r="Q664">
        <v>0</v>
      </c>
      <c r="R664">
        <v>1157</v>
      </c>
    </row>
    <row r="665" spans="1:18" x14ac:dyDescent="0.3">
      <c r="A665" s="5">
        <v>45960</v>
      </c>
      <c r="B665" t="s">
        <v>919</v>
      </c>
      <c r="C665">
        <v>23</v>
      </c>
      <c r="D665">
        <v>36</v>
      </c>
      <c r="E665" s="1">
        <v>1.0833333333333333</v>
      </c>
      <c r="F665" t="s">
        <v>920</v>
      </c>
      <c r="G665">
        <v>4</v>
      </c>
      <c r="H665">
        <v>1081.0164</v>
      </c>
      <c r="I665">
        <v>7</v>
      </c>
      <c r="J665">
        <v>1163.79</v>
      </c>
      <c r="K665">
        <v>5.4825867599182097</v>
      </c>
      <c r="L665">
        <v>1219.83</v>
      </c>
      <c r="M665" t="s">
        <v>27</v>
      </c>
      <c r="N665">
        <v>1</v>
      </c>
      <c r="O665">
        <v>1330</v>
      </c>
      <c r="P665">
        <v>1157</v>
      </c>
      <c r="Q665">
        <v>0</v>
      </c>
      <c r="R665">
        <v>1157</v>
      </c>
    </row>
    <row r="666" spans="1:18" x14ac:dyDescent="0.3">
      <c r="A666" s="5">
        <v>45960</v>
      </c>
      <c r="B666" t="s">
        <v>921</v>
      </c>
      <c r="C666">
        <v>8</v>
      </c>
      <c r="D666">
        <v>36</v>
      </c>
      <c r="E666" s="1">
        <v>1.0833333333333333</v>
      </c>
      <c r="F666" t="s">
        <v>922</v>
      </c>
      <c r="G666">
        <v>4</v>
      </c>
      <c r="H666">
        <v>1081.4183</v>
      </c>
      <c r="I666">
        <v>7</v>
      </c>
      <c r="J666">
        <v>1163.79</v>
      </c>
      <c r="K666">
        <v>5.4825867599182097</v>
      </c>
      <c r="L666">
        <v>1219.83</v>
      </c>
      <c r="M666" t="s">
        <v>27</v>
      </c>
      <c r="N666">
        <v>1</v>
      </c>
      <c r="O666">
        <v>1330</v>
      </c>
      <c r="P666">
        <v>1157</v>
      </c>
      <c r="Q666">
        <v>0</v>
      </c>
      <c r="R666">
        <v>1157</v>
      </c>
    </row>
    <row r="667" spans="1:18" x14ac:dyDescent="0.3">
      <c r="A667" s="5">
        <v>45960</v>
      </c>
      <c r="B667" t="s">
        <v>923</v>
      </c>
      <c r="C667">
        <v>9</v>
      </c>
      <c r="D667">
        <v>36</v>
      </c>
      <c r="E667" s="1">
        <v>1.0833333333333333</v>
      </c>
      <c r="F667" t="s">
        <v>924</v>
      </c>
      <c r="G667">
        <v>4</v>
      </c>
      <c r="H667">
        <v>1081.4004</v>
      </c>
      <c r="I667">
        <v>7</v>
      </c>
      <c r="J667">
        <v>1163.79</v>
      </c>
      <c r="K667">
        <v>5.4825867599182097</v>
      </c>
      <c r="L667">
        <v>1219.83</v>
      </c>
      <c r="M667" t="s">
        <v>27</v>
      </c>
      <c r="N667">
        <v>1</v>
      </c>
      <c r="O667">
        <v>1330</v>
      </c>
      <c r="P667">
        <v>1157</v>
      </c>
      <c r="Q667">
        <v>0</v>
      </c>
      <c r="R667">
        <v>1157</v>
      </c>
    </row>
    <row r="668" spans="1:18" x14ac:dyDescent="0.3">
      <c r="A668" s="5">
        <v>45960</v>
      </c>
      <c r="B668" t="s">
        <v>925</v>
      </c>
      <c r="C668">
        <v>11</v>
      </c>
      <c r="D668">
        <v>36</v>
      </c>
      <c r="E668" s="1">
        <v>1.0833333333333333</v>
      </c>
      <c r="F668" t="s">
        <v>926</v>
      </c>
      <c r="G668">
        <v>3</v>
      </c>
      <c r="H668">
        <v>1081.3643999999999</v>
      </c>
      <c r="I668">
        <v>10</v>
      </c>
      <c r="J668">
        <v>1163.79</v>
      </c>
      <c r="K668">
        <v>7.8322667998831603</v>
      </c>
      <c r="L668">
        <v>609.91</v>
      </c>
      <c r="M668" t="s">
        <v>20</v>
      </c>
      <c r="N668">
        <v>1</v>
      </c>
      <c r="O668">
        <v>1363</v>
      </c>
      <c r="P668">
        <v>1190</v>
      </c>
      <c r="Q668">
        <v>0.5</v>
      </c>
      <c r="R668">
        <v>595</v>
      </c>
    </row>
    <row r="669" spans="1:18" x14ac:dyDescent="0.3">
      <c r="A669" s="5">
        <v>45960</v>
      </c>
      <c r="B669" t="s">
        <v>927</v>
      </c>
      <c r="C669">
        <v>12</v>
      </c>
      <c r="D669">
        <v>36</v>
      </c>
      <c r="E669" s="1">
        <v>1.0833333333333333</v>
      </c>
      <c r="F669" t="s">
        <v>928</v>
      </c>
      <c r="G669">
        <v>3</v>
      </c>
      <c r="H669">
        <v>1081.3462999999999</v>
      </c>
      <c r="I669">
        <v>10</v>
      </c>
      <c r="J669">
        <v>1163.79</v>
      </c>
      <c r="K669">
        <v>7.8322667998831603</v>
      </c>
      <c r="L669">
        <v>609.91</v>
      </c>
      <c r="M669" t="s">
        <v>20</v>
      </c>
      <c r="N669">
        <v>1</v>
      </c>
      <c r="O669">
        <v>1362</v>
      </c>
      <c r="P669">
        <v>1189</v>
      </c>
      <c r="Q669">
        <v>0.5</v>
      </c>
      <c r="R669">
        <v>594.5</v>
      </c>
    </row>
    <row r="670" spans="1:18" x14ac:dyDescent="0.3">
      <c r="A670" s="5">
        <v>45960</v>
      </c>
      <c r="B670" t="s">
        <v>929</v>
      </c>
      <c r="C670">
        <v>35</v>
      </c>
      <c r="D670">
        <v>36</v>
      </c>
      <c r="E670" s="1">
        <v>1.0833333333333333</v>
      </c>
      <c r="F670" t="s">
        <v>930</v>
      </c>
      <c r="G670">
        <v>0</v>
      </c>
      <c r="H670">
        <v>1080.8004000000001</v>
      </c>
      <c r="I670">
        <v>2.5</v>
      </c>
      <c r="J670">
        <v>1163.79</v>
      </c>
      <c r="K670">
        <v>1.9580666999707901</v>
      </c>
      <c r="L670">
        <v>975.86</v>
      </c>
      <c r="M670" t="s">
        <v>44</v>
      </c>
      <c r="N670">
        <v>1</v>
      </c>
      <c r="O670">
        <v>1281</v>
      </c>
      <c r="P670">
        <v>1108</v>
      </c>
      <c r="Q670">
        <v>0</v>
      </c>
      <c r="R670">
        <v>1108</v>
      </c>
    </row>
    <row r="671" spans="1:18" x14ac:dyDescent="0.3">
      <c r="A671" s="5">
        <v>45960</v>
      </c>
      <c r="B671" t="s">
        <v>931</v>
      </c>
      <c r="C671">
        <v>28</v>
      </c>
      <c r="D671">
        <v>36</v>
      </c>
      <c r="E671" s="1">
        <v>1.0833333333333333</v>
      </c>
      <c r="F671" t="s">
        <v>932</v>
      </c>
      <c r="G671">
        <v>4</v>
      </c>
      <c r="H671">
        <v>1080.9263000000001</v>
      </c>
      <c r="I671">
        <v>7</v>
      </c>
      <c r="J671">
        <v>1163.79</v>
      </c>
      <c r="K671">
        <v>5.4825867599182097</v>
      </c>
      <c r="L671">
        <v>1219.83</v>
      </c>
      <c r="M671" t="s">
        <v>27</v>
      </c>
      <c r="N671">
        <v>1</v>
      </c>
      <c r="O671">
        <v>1330</v>
      </c>
      <c r="P671">
        <v>1157</v>
      </c>
      <c r="Q671">
        <v>0</v>
      </c>
      <c r="R671">
        <v>1157</v>
      </c>
    </row>
    <row r="672" spans="1:18" x14ac:dyDescent="0.3">
      <c r="A672" s="5">
        <v>45960</v>
      </c>
      <c r="B672" t="s">
        <v>933</v>
      </c>
      <c r="C672">
        <v>29</v>
      </c>
      <c r="D672">
        <v>36</v>
      </c>
      <c r="E672" s="1">
        <v>1.0833333333333333</v>
      </c>
      <c r="F672" t="s">
        <v>934</v>
      </c>
      <c r="G672">
        <v>4</v>
      </c>
      <c r="H672">
        <v>1080.9083000000001</v>
      </c>
      <c r="I672">
        <v>7</v>
      </c>
      <c r="J672">
        <v>1163.79</v>
      </c>
      <c r="K672">
        <v>5.4825867599182097</v>
      </c>
      <c r="L672">
        <v>1219.83</v>
      </c>
      <c r="M672" t="s">
        <v>27</v>
      </c>
      <c r="N672">
        <v>1</v>
      </c>
      <c r="O672">
        <v>1330</v>
      </c>
      <c r="P672">
        <v>1157</v>
      </c>
      <c r="Q672">
        <v>0</v>
      </c>
      <c r="R672">
        <v>1157</v>
      </c>
    </row>
    <row r="673" spans="1:18" x14ac:dyDescent="0.3">
      <c r="A673" s="5">
        <v>45960</v>
      </c>
      <c r="B673" t="s">
        <v>935</v>
      </c>
      <c r="C673">
        <v>34</v>
      </c>
      <c r="D673">
        <v>36</v>
      </c>
      <c r="E673" s="1">
        <v>1.0833333333333333</v>
      </c>
      <c r="F673" t="s">
        <v>936</v>
      </c>
      <c r="G673">
        <v>4</v>
      </c>
      <c r="H673">
        <v>1080.8176000000001</v>
      </c>
      <c r="I673">
        <v>7</v>
      </c>
      <c r="J673">
        <v>1163.79</v>
      </c>
      <c r="K673">
        <v>5.4825867599182097</v>
      </c>
      <c r="L673">
        <v>1219.83</v>
      </c>
      <c r="M673" t="s">
        <v>27</v>
      </c>
      <c r="N673">
        <v>1</v>
      </c>
      <c r="O673">
        <v>1329</v>
      </c>
      <c r="P673">
        <v>1156</v>
      </c>
      <c r="Q673">
        <v>0</v>
      </c>
      <c r="R673">
        <v>1156</v>
      </c>
    </row>
    <row r="674" spans="1:18" x14ac:dyDescent="0.3">
      <c r="A674" s="5">
        <v>45960</v>
      </c>
      <c r="B674" t="s">
        <v>937</v>
      </c>
      <c r="C674">
        <v>30</v>
      </c>
      <c r="D674">
        <v>36</v>
      </c>
      <c r="E674" s="1">
        <v>1.0833333333333333</v>
      </c>
      <c r="F674" t="s">
        <v>938</v>
      </c>
      <c r="G674">
        <v>4</v>
      </c>
      <c r="H674">
        <v>1080.8895</v>
      </c>
      <c r="I674">
        <v>7</v>
      </c>
      <c r="J674">
        <v>1163.79</v>
      </c>
      <c r="K674">
        <v>5.4825867599182097</v>
      </c>
      <c r="L674">
        <v>1219.83</v>
      </c>
      <c r="M674" t="s">
        <v>27</v>
      </c>
      <c r="N674">
        <v>1</v>
      </c>
      <c r="O674">
        <v>1329</v>
      </c>
      <c r="P674">
        <v>1157</v>
      </c>
      <c r="Q674">
        <v>0</v>
      </c>
      <c r="R674">
        <v>1157</v>
      </c>
    </row>
    <row r="675" spans="1:18" x14ac:dyDescent="0.3">
      <c r="A675" s="5">
        <v>45960</v>
      </c>
      <c r="B675" t="s">
        <v>939</v>
      </c>
      <c r="C675">
        <v>22</v>
      </c>
      <c r="D675">
        <v>36</v>
      </c>
      <c r="E675" s="1">
        <v>1.0833333333333333</v>
      </c>
      <c r="F675" t="s">
        <v>940</v>
      </c>
      <c r="G675">
        <v>0</v>
      </c>
      <c r="H675">
        <v>1081.0332000000001</v>
      </c>
      <c r="I675">
        <v>2.5</v>
      </c>
      <c r="J675">
        <v>1163.79</v>
      </c>
      <c r="K675">
        <v>1.9580666999707901</v>
      </c>
      <c r="L675">
        <v>1142.5</v>
      </c>
      <c r="M675" t="s">
        <v>27</v>
      </c>
      <c r="N675">
        <v>1</v>
      </c>
      <c r="O675">
        <v>1281</v>
      </c>
      <c r="P675">
        <v>1108</v>
      </c>
      <c r="Q675">
        <v>0</v>
      </c>
      <c r="R675">
        <v>1108</v>
      </c>
    </row>
    <row r="676" spans="1:18" x14ac:dyDescent="0.3">
      <c r="A676" s="5">
        <v>45960</v>
      </c>
      <c r="B676" t="s">
        <v>941</v>
      </c>
      <c r="C676">
        <v>31</v>
      </c>
      <c r="D676">
        <v>36</v>
      </c>
      <c r="E676" s="1">
        <v>1.0833333333333333</v>
      </c>
      <c r="F676" t="s">
        <v>942</v>
      </c>
      <c r="G676">
        <v>4</v>
      </c>
      <c r="H676">
        <v>1080.8716999999999</v>
      </c>
      <c r="I676">
        <v>7</v>
      </c>
      <c r="J676">
        <v>1163.79</v>
      </c>
      <c r="K676">
        <v>5.4825867599182097</v>
      </c>
      <c r="L676">
        <v>1219.83</v>
      </c>
      <c r="M676" t="s">
        <v>27</v>
      </c>
      <c r="N676">
        <v>1</v>
      </c>
      <c r="O676">
        <v>1329</v>
      </c>
      <c r="P676">
        <v>1157</v>
      </c>
      <c r="Q676">
        <v>0</v>
      </c>
      <c r="R676">
        <v>1157</v>
      </c>
    </row>
    <row r="677" spans="1:18" x14ac:dyDescent="0.3">
      <c r="A677" s="5">
        <v>45960</v>
      </c>
      <c r="B677" t="s">
        <v>943</v>
      </c>
      <c r="C677">
        <v>3</v>
      </c>
      <c r="D677">
        <v>36</v>
      </c>
      <c r="E677" s="1">
        <v>1.0833333333333333</v>
      </c>
      <c r="F677" t="s">
        <v>944</v>
      </c>
      <c r="G677">
        <v>5</v>
      </c>
      <c r="H677">
        <v>1081.5208</v>
      </c>
      <c r="I677">
        <v>0</v>
      </c>
      <c r="J677">
        <v>1163.79</v>
      </c>
      <c r="K677">
        <v>0</v>
      </c>
      <c r="L677">
        <v>1158.8800000000001</v>
      </c>
      <c r="M677" t="s">
        <v>27</v>
      </c>
      <c r="N677">
        <v>1</v>
      </c>
      <c r="O677">
        <v>1255</v>
      </c>
      <c r="P677">
        <v>1082</v>
      </c>
      <c r="Q677">
        <v>0</v>
      </c>
      <c r="R677">
        <v>1082</v>
      </c>
    </row>
    <row r="678" spans="1:18" x14ac:dyDescent="0.3">
      <c r="A678" s="5">
        <v>45960</v>
      </c>
      <c r="B678" t="s">
        <v>943</v>
      </c>
      <c r="C678">
        <v>3</v>
      </c>
      <c r="D678">
        <v>36</v>
      </c>
      <c r="E678" s="1">
        <v>1.0833333333333333</v>
      </c>
      <c r="F678" t="s">
        <v>944</v>
      </c>
      <c r="G678">
        <v>5</v>
      </c>
      <c r="H678">
        <v>1081.5208</v>
      </c>
      <c r="I678">
        <v>0</v>
      </c>
      <c r="J678">
        <v>1163.79</v>
      </c>
      <c r="K678">
        <v>0</v>
      </c>
      <c r="L678">
        <v>1158.8800000000001</v>
      </c>
      <c r="M678" t="s">
        <v>27</v>
      </c>
      <c r="N678">
        <v>1</v>
      </c>
      <c r="O678">
        <v>1255</v>
      </c>
      <c r="P678">
        <v>1082</v>
      </c>
      <c r="Q678">
        <v>0</v>
      </c>
      <c r="R678">
        <v>1082</v>
      </c>
    </row>
    <row r="679" spans="1:18" x14ac:dyDescent="0.3">
      <c r="A679" s="5">
        <v>45960</v>
      </c>
      <c r="B679" t="s">
        <v>945</v>
      </c>
      <c r="C679">
        <v>2</v>
      </c>
      <c r="D679">
        <v>36</v>
      </c>
      <c r="E679" s="1">
        <v>1.0833333333333333</v>
      </c>
      <c r="F679" t="s">
        <v>944</v>
      </c>
      <c r="G679">
        <v>5</v>
      </c>
      <c r="H679">
        <v>1081.5387000000001</v>
      </c>
      <c r="I679">
        <v>0</v>
      </c>
      <c r="J679">
        <v>1163.79</v>
      </c>
      <c r="K679">
        <v>0</v>
      </c>
      <c r="L679">
        <v>1158.8800000000001</v>
      </c>
      <c r="M679" t="s">
        <v>27</v>
      </c>
      <c r="N679">
        <v>1</v>
      </c>
      <c r="O679">
        <v>1255</v>
      </c>
      <c r="P679">
        <v>1082</v>
      </c>
      <c r="Q679">
        <v>0</v>
      </c>
      <c r="R679">
        <v>1082</v>
      </c>
    </row>
    <row r="680" spans="1:18" x14ac:dyDescent="0.3">
      <c r="A680" s="5">
        <v>45960</v>
      </c>
      <c r="B680" t="s">
        <v>945</v>
      </c>
      <c r="C680">
        <v>2</v>
      </c>
      <c r="D680">
        <v>36</v>
      </c>
      <c r="E680" s="1">
        <v>1.0833333333333333</v>
      </c>
      <c r="F680" t="s">
        <v>944</v>
      </c>
      <c r="G680">
        <v>5</v>
      </c>
      <c r="H680">
        <v>1081.5387000000001</v>
      </c>
      <c r="I680">
        <v>0</v>
      </c>
      <c r="J680">
        <v>1163.79</v>
      </c>
      <c r="K680">
        <v>0</v>
      </c>
      <c r="L680">
        <v>1158.8800000000001</v>
      </c>
      <c r="M680" t="s">
        <v>27</v>
      </c>
      <c r="N680">
        <v>1</v>
      </c>
      <c r="O680">
        <v>1255</v>
      </c>
      <c r="P680">
        <v>1082</v>
      </c>
      <c r="Q680">
        <v>0</v>
      </c>
      <c r="R680">
        <v>1082</v>
      </c>
    </row>
    <row r="681" spans="1:18" x14ac:dyDescent="0.3">
      <c r="A681" s="5">
        <v>45960</v>
      </c>
      <c r="B681" t="s">
        <v>946</v>
      </c>
      <c r="C681">
        <v>26</v>
      </c>
      <c r="D681">
        <v>36</v>
      </c>
      <c r="E681" s="1">
        <v>1.0833333333333333</v>
      </c>
      <c r="F681" t="s">
        <v>947</v>
      </c>
      <c r="G681">
        <v>5</v>
      </c>
      <c r="H681">
        <v>1080.9740999999999</v>
      </c>
      <c r="I681">
        <v>0</v>
      </c>
      <c r="J681">
        <v>1163.79</v>
      </c>
      <c r="K681">
        <v>0</v>
      </c>
      <c r="L681">
        <v>1158.8800000000001</v>
      </c>
      <c r="M681" t="s">
        <v>27</v>
      </c>
      <c r="N681">
        <v>1</v>
      </c>
      <c r="O681">
        <v>1254</v>
      </c>
      <c r="P681">
        <v>1081</v>
      </c>
      <c r="Q681">
        <v>0</v>
      </c>
      <c r="R681">
        <v>1081</v>
      </c>
    </row>
    <row r="682" spans="1:18" x14ac:dyDescent="0.3">
      <c r="A682" s="5">
        <v>45960</v>
      </c>
      <c r="B682" t="s">
        <v>948</v>
      </c>
      <c r="C682">
        <v>33</v>
      </c>
      <c r="D682">
        <v>36</v>
      </c>
      <c r="E682" s="1">
        <v>1.0833333333333333</v>
      </c>
      <c r="F682" t="s">
        <v>949</v>
      </c>
      <c r="G682">
        <v>5</v>
      </c>
      <c r="H682">
        <v>1080.8480999999999</v>
      </c>
      <c r="I682">
        <v>0</v>
      </c>
      <c r="J682">
        <v>1163.79</v>
      </c>
      <c r="K682">
        <v>0</v>
      </c>
      <c r="L682">
        <v>1158.8800000000001</v>
      </c>
      <c r="M682" t="s">
        <v>27</v>
      </c>
      <c r="N682">
        <v>1</v>
      </c>
      <c r="O682">
        <v>1254</v>
      </c>
      <c r="P682">
        <v>1081</v>
      </c>
      <c r="Q682">
        <v>0</v>
      </c>
      <c r="R682">
        <v>1081</v>
      </c>
    </row>
    <row r="683" spans="1:18" x14ac:dyDescent="0.3">
      <c r="A683" s="5">
        <v>45960</v>
      </c>
      <c r="B683" t="s">
        <v>950</v>
      </c>
      <c r="C683">
        <v>17</v>
      </c>
      <c r="D683">
        <v>36</v>
      </c>
      <c r="E683" s="1">
        <v>1.25</v>
      </c>
      <c r="F683" t="s">
        <v>951</v>
      </c>
      <c r="G683">
        <v>1</v>
      </c>
      <c r="H683">
        <v>1081.2521999999999</v>
      </c>
      <c r="I683">
        <v>8.5</v>
      </c>
      <c r="J683">
        <v>1163.79</v>
      </c>
      <c r="K683">
        <v>6.6574267799006801</v>
      </c>
      <c r="L683">
        <v>1219.83</v>
      </c>
      <c r="M683" t="s">
        <v>27</v>
      </c>
      <c r="N683">
        <v>1</v>
      </c>
      <c r="O683">
        <v>1346</v>
      </c>
      <c r="P683">
        <v>1173</v>
      </c>
      <c r="Q683">
        <v>0</v>
      </c>
      <c r="R683">
        <v>1173</v>
      </c>
    </row>
    <row r="684" spans="1:18" x14ac:dyDescent="0.3">
      <c r="A684" s="5">
        <v>45960</v>
      </c>
      <c r="B684" t="s">
        <v>952</v>
      </c>
      <c r="C684">
        <v>33</v>
      </c>
      <c r="D684">
        <v>36</v>
      </c>
      <c r="E684" s="1">
        <v>1.25</v>
      </c>
      <c r="F684" t="s">
        <v>953</v>
      </c>
      <c r="G684">
        <v>1</v>
      </c>
      <c r="H684">
        <v>1080.8322000000001</v>
      </c>
      <c r="I684">
        <v>8.5</v>
      </c>
      <c r="J684">
        <v>1163.79</v>
      </c>
      <c r="K684">
        <v>6.6574267799006801</v>
      </c>
      <c r="L684">
        <v>1219.83</v>
      </c>
      <c r="M684" t="s">
        <v>27</v>
      </c>
      <c r="N684">
        <v>1</v>
      </c>
      <c r="O684">
        <v>1346</v>
      </c>
      <c r="P684">
        <v>1173</v>
      </c>
      <c r="Q684">
        <v>0</v>
      </c>
      <c r="R684">
        <v>1173</v>
      </c>
    </row>
    <row r="685" spans="1:18" x14ac:dyDescent="0.3">
      <c r="A685" s="5">
        <v>45960</v>
      </c>
      <c r="B685" t="s">
        <v>954</v>
      </c>
      <c r="C685">
        <v>12</v>
      </c>
      <c r="D685">
        <v>36</v>
      </c>
      <c r="E685" s="1">
        <v>1.4583333333333333</v>
      </c>
      <c r="F685" t="s">
        <v>955</v>
      </c>
      <c r="G685">
        <v>5</v>
      </c>
      <c r="H685">
        <v>1081.3507999999999</v>
      </c>
      <c r="I685">
        <v>0</v>
      </c>
      <c r="J685">
        <v>1163.79</v>
      </c>
      <c r="K685">
        <v>0</v>
      </c>
      <c r="L685">
        <v>1158.8800000000001</v>
      </c>
      <c r="M685" t="s">
        <v>27</v>
      </c>
      <c r="N685">
        <v>1</v>
      </c>
      <c r="O685">
        <v>1254</v>
      </c>
      <c r="P685">
        <v>1081</v>
      </c>
      <c r="Q685">
        <v>0</v>
      </c>
      <c r="R685">
        <v>1081</v>
      </c>
    </row>
    <row r="686" spans="1:18" x14ac:dyDescent="0.3">
      <c r="A686" s="5">
        <v>45960</v>
      </c>
      <c r="B686" t="s">
        <v>956</v>
      </c>
      <c r="C686">
        <v>11</v>
      </c>
      <c r="D686">
        <v>36</v>
      </c>
      <c r="E686" s="1">
        <v>1.4583333333333333</v>
      </c>
      <c r="F686" t="s">
        <v>957</v>
      </c>
      <c r="G686">
        <v>5</v>
      </c>
      <c r="H686">
        <v>1081.3687</v>
      </c>
      <c r="I686">
        <v>0</v>
      </c>
      <c r="J686">
        <v>1163.79</v>
      </c>
      <c r="K686">
        <v>0</v>
      </c>
      <c r="L686">
        <v>1158.8800000000001</v>
      </c>
      <c r="M686" t="s">
        <v>27</v>
      </c>
      <c r="N686">
        <v>1</v>
      </c>
      <c r="O686">
        <v>1254</v>
      </c>
      <c r="P686">
        <v>1081</v>
      </c>
      <c r="Q686">
        <v>0</v>
      </c>
      <c r="R686">
        <v>1081</v>
      </c>
    </row>
    <row r="687" spans="1:18" x14ac:dyDescent="0.3">
      <c r="A687" s="5">
        <v>45960</v>
      </c>
      <c r="B687" t="s">
        <v>958</v>
      </c>
      <c r="C687">
        <v>7</v>
      </c>
      <c r="D687">
        <v>36</v>
      </c>
      <c r="E687" s="1">
        <v>1.25</v>
      </c>
      <c r="F687" t="s">
        <v>959</v>
      </c>
      <c r="G687">
        <v>1</v>
      </c>
      <c r="H687">
        <v>1081.4304</v>
      </c>
      <c r="I687">
        <v>8.5</v>
      </c>
      <c r="J687">
        <v>1163.79</v>
      </c>
      <c r="K687">
        <v>6.6574267799006801</v>
      </c>
      <c r="L687">
        <v>1219.83</v>
      </c>
      <c r="M687" t="s">
        <v>27</v>
      </c>
      <c r="N687">
        <v>1</v>
      </c>
      <c r="O687">
        <v>1346</v>
      </c>
      <c r="P687">
        <v>1173</v>
      </c>
      <c r="Q687">
        <v>0</v>
      </c>
      <c r="R687">
        <v>1173</v>
      </c>
    </row>
    <row r="688" spans="1:18" x14ac:dyDescent="0.3">
      <c r="A688" s="5">
        <v>45960</v>
      </c>
      <c r="B688" t="s">
        <v>960</v>
      </c>
      <c r="C688">
        <v>18</v>
      </c>
      <c r="D688">
        <v>36</v>
      </c>
      <c r="E688" s="1">
        <v>1.25</v>
      </c>
      <c r="F688" t="s">
        <v>961</v>
      </c>
      <c r="G688">
        <v>1</v>
      </c>
      <c r="H688">
        <v>1081.2327</v>
      </c>
      <c r="I688">
        <v>8.5</v>
      </c>
      <c r="J688">
        <v>1163.79</v>
      </c>
      <c r="K688">
        <v>6.6574267799006801</v>
      </c>
      <c r="L688">
        <v>1219.83</v>
      </c>
      <c r="M688" t="s">
        <v>27</v>
      </c>
      <c r="N688">
        <v>1</v>
      </c>
      <c r="O688">
        <v>1346</v>
      </c>
      <c r="P688">
        <v>1173</v>
      </c>
      <c r="Q688">
        <v>0</v>
      </c>
      <c r="R688">
        <v>1173</v>
      </c>
    </row>
    <row r="689" spans="1:18" x14ac:dyDescent="0.3">
      <c r="A689" s="5">
        <v>45960</v>
      </c>
      <c r="B689" t="s">
        <v>962</v>
      </c>
      <c r="C689">
        <v>26</v>
      </c>
      <c r="D689">
        <v>36</v>
      </c>
      <c r="E689" s="1">
        <v>1.4583333333333333</v>
      </c>
      <c r="F689" t="s">
        <v>963</v>
      </c>
      <c r="G689">
        <v>5</v>
      </c>
      <c r="H689">
        <v>1080.9640999999999</v>
      </c>
      <c r="I689">
        <v>0</v>
      </c>
      <c r="J689">
        <v>1163.79</v>
      </c>
      <c r="K689">
        <v>0</v>
      </c>
      <c r="L689">
        <v>1158.8800000000001</v>
      </c>
      <c r="M689" t="s">
        <v>27</v>
      </c>
      <c r="N689">
        <v>1</v>
      </c>
      <c r="O689">
        <v>1254</v>
      </c>
      <c r="P689">
        <v>1081</v>
      </c>
      <c r="Q689">
        <v>0</v>
      </c>
      <c r="R689">
        <v>1081</v>
      </c>
    </row>
    <row r="690" spans="1:18" x14ac:dyDescent="0.3">
      <c r="A690" s="5">
        <v>45960</v>
      </c>
      <c r="B690" t="s">
        <v>964</v>
      </c>
      <c r="C690">
        <v>28</v>
      </c>
      <c r="D690">
        <v>36</v>
      </c>
      <c r="E690" s="1">
        <v>1.4583333333333333</v>
      </c>
      <c r="F690" t="s">
        <v>963</v>
      </c>
      <c r="G690">
        <v>5</v>
      </c>
      <c r="H690">
        <v>1080.9282000000001</v>
      </c>
      <c r="I690">
        <v>0</v>
      </c>
      <c r="J690">
        <v>1163.79</v>
      </c>
      <c r="K690">
        <v>0</v>
      </c>
      <c r="L690">
        <v>1158.8800000000001</v>
      </c>
      <c r="M690" t="s">
        <v>27</v>
      </c>
      <c r="N690">
        <v>1</v>
      </c>
      <c r="O690">
        <v>1254</v>
      </c>
      <c r="P690">
        <v>1081</v>
      </c>
      <c r="Q690">
        <v>0</v>
      </c>
      <c r="R690">
        <v>1081</v>
      </c>
    </row>
    <row r="691" spans="1:18" x14ac:dyDescent="0.3">
      <c r="A691" s="5">
        <v>45960</v>
      </c>
      <c r="B691" t="s">
        <v>965</v>
      </c>
      <c r="C691">
        <v>25</v>
      </c>
      <c r="D691">
        <v>36</v>
      </c>
      <c r="E691" s="1">
        <v>1.4583333333333333</v>
      </c>
      <c r="F691" t="s">
        <v>963</v>
      </c>
      <c r="G691">
        <v>5</v>
      </c>
      <c r="H691">
        <v>1080.9821999999999</v>
      </c>
      <c r="I691">
        <v>0</v>
      </c>
      <c r="J691">
        <v>1163.79</v>
      </c>
      <c r="K691">
        <v>0</v>
      </c>
      <c r="L691">
        <v>1158.8800000000001</v>
      </c>
      <c r="M691" t="s">
        <v>27</v>
      </c>
      <c r="N691">
        <v>1</v>
      </c>
      <c r="O691">
        <v>1254</v>
      </c>
      <c r="P691">
        <v>1081</v>
      </c>
      <c r="Q691">
        <v>0</v>
      </c>
      <c r="R691">
        <v>1081</v>
      </c>
    </row>
    <row r="692" spans="1:18" x14ac:dyDescent="0.3">
      <c r="A692" s="5">
        <v>45960</v>
      </c>
      <c r="B692" t="s">
        <v>966</v>
      </c>
      <c r="C692">
        <v>29</v>
      </c>
      <c r="D692">
        <v>36</v>
      </c>
      <c r="E692" s="1">
        <v>1.4583333333333333</v>
      </c>
      <c r="F692" t="s">
        <v>963</v>
      </c>
      <c r="G692">
        <v>5</v>
      </c>
      <c r="H692">
        <v>1080.9100000000001</v>
      </c>
      <c r="I692">
        <v>0</v>
      </c>
      <c r="J692">
        <v>1163.79</v>
      </c>
      <c r="K692">
        <v>0</v>
      </c>
      <c r="L692">
        <v>1158.8800000000001</v>
      </c>
      <c r="M692" t="s">
        <v>27</v>
      </c>
      <c r="N692">
        <v>1</v>
      </c>
      <c r="O692">
        <v>1254</v>
      </c>
      <c r="P692">
        <v>1081</v>
      </c>
      <c r="Q692">
        <v>0</v>
      </c>
      <c r="R692">
        <v>1081</v>
      </c>
    </row>
    <row r="693" spans="1:18" x14ac:dyDescent="0.3">
      <c r="A693" s="5">
        <v>45960</v>
      </c>
      <c r="B693" t="s">
        <v>967</v>
      </c>
      <c r="C693">
        <v>7</v>
      </c>
      <c r="D693">
        <v>36</v>
      </c>
      <c r="E693" s="1">
        <v>1.4583333333333333</v>
      </c>
      <c r="F693" t="s">
        <v>968</v>
      </c>
      <c r="G693">
        <v>5</v>
      </c>
      <c r="H693">
        <v>1081.4373000000001</v>
      </c>
      <c r="I693">
        <v>0</v>
      </c>
      <c r="J693">
        <v>1163.79</v>
      </c>
      <c r="K693">
        <v>0</v>
      </c>
      <c r="L693">
        <v>1142.5</v>
      </c>
      <c r="M693" t="s">
        <v>27</v>
      </c>
      <c r="N693">
        <v>1</v>
      </c>
      <c r="O693">
        <v>1254</v>
      </c>
      <c r="P693">
        <v>1081</v>
      </c>
      <c r="Q693">
        <v>0</v>
      </c>
      <c r="R693">
        <v>1081</v>
      </c>
    </row>
    <row r="694" spans="1:18" x14ac:dyDescent="0.3">
      <c r="A694" s="5">
        <v>45960</v>
      </c>
      <c r="B694" t="s">
        <v>969</v>
      </c>
      <c r="C694">
        <v>24</v>
      </c>
      <c r="D694">
        <v>36</v>
      </c>
      <c r="E694" s="1">
        <v>1.4583333333333333</v>
      </c>
      <c r="F694" t="s">
        <v>970</v>
      </c>
      <c r="G694">
        <v>1</v>
      </c>
      <c r="H694">
        <v>1080.9938</v>
      </c>
      <c r="I694">
        <v>8.5</v>
      </c>
      <c r="J694">
        <v>1163.79</v>
      </c>
      <c r="K694">
        <v>6.6574267799006801</v>
      </c>
      <c r="L694">
        <v>1219.83</v>
      </c>
      <c r="M694" t="s">
        <v>27</v>
      </c>
      <c r="N694">
        <v>1</v>
      </c>
      <c r="O694">
        <v>1346</v>
      </c>
      <c r="P694">
        <v>1173</v>
      </c>
      <c r="Q694">
        <v>0</v>
      </c>
      <c r="R694">
        <v>1173</v>
      </c>
    </row>
    <row r="695" spans="1:18" x14ac:dyDescent="0.3">
      <c r="A695" s="5">
        <v>45960</v>
      </c>
      <c r="B695" t="s">
        <v>482</v>
      </c>
      <c r="C695">
        <v>7</v>
      </c>
      <c r="D695">
        <v>36</v>
      </c>
      <c r="E695" s="1">
        <v>1.25</v>
      </c>
      <c r="F695" t="s">
        <v>483</v>
      </c>
      <c r="G695">
        <v>0</v>
      </c>
      <c r="H695">
        <v>1081.4829</v>
      </c>
      <c r="I695">
        <v>2.5</v>
      </c>
      <c r="J695">
        <v>1163.79</v>
      </c>
      <c r="K695">
        <v>1.9580666999707901</v>
      </c>
      <c r="L695">
        <v>1142.5</v>
      </c>
      <c r="M695" t="s">
        <v>27</v>
      </c>
      <c r="N695">
        <v>1</v>
      </c>
      <c r="O695">
        <v>1282</v>
      </c>
      <c r="P695">
        <v>1109</v>
      </c>
      <c r="Q695">
        <v>0</v>
      </c>
      <c r="R695">
        <v>1109</v>
      </c>
    </row>
    <row r="696" spans="1:18" x14ac:dyDescent="0.3">
      <c r="A696" s="5">
        <v>45960</v>
      </c>
      <c r="B696" t="s">
        <v>482</v>
      </c>
      <c r="C696">
        <v>10</v>
      </c>
      <c r="D696">
        <v>36</v>
      </c>
      <c r="E696" s="1">
        <v>1.0833333333333333</v>
      </c>
      <c r="F696" t="s">
        <v>483</v>
      </c>
      <c r="G696">
        <v>0</v>
      </c>
      <c r="H696">
        <v>1081.4313</v>
      </c>
      <c r="I696">
        <v>2.5</v>
      </c>
      <c r="J696">
        <v>1163.79</v>
      </c>
      <c r="K696">
        <v>1.9580666999707901</v>
      </c>
      <c r="L696">
        <v>1142.5</v>
      </c>
      <c r="M696" t="s">
        <v>27</v>
      </c>
      <c r="N696">
        <v>1</v>
      </c>
      <c r="O696">
        <v>1281</v>
      </c>
      <c r="P696">
        <v>1108</v>
      </c>
      <c r="Q696">
        <v>0</v>
      </c>
      <c r="R696">
        <v>1108</v>
      </c>
    </row>
    <row r="697" spans="1:18" x14ac:dyDescent="0.3">
      <c r="A697" s="5">
        <v>45960</v>
      </c>
      <c r="B697" t="s">
        <v>971</v>
      </c>
      <c r="C697">
        <v>4</v>
      </c>
      <c r="D697">
        <v>36</v>
      </c>
      <c r="E697" s="1">
        <v>1.9993055555555554</v>
      </c>
      <c r="F697" t="s">
        <v>972</v>
      </c>
      <c r="G697">
        <v>4</v>
      </c>
      <c r="H697">
        <v>1081.1587</v>
      </c>
      <c r="I697">
        <v>7</v>
      </c>
      <c r="J697">
        <v>1163.79</v>
      </c>
      <c r="K697">
        <v>5.4825867599182097</v>
      </c>
      <c r="L697">
        <v>1097.8399999999999</v>
      </c>
      <c r="M697" t="s">
        <v>27</v>
      </c>
      <c r="N697">
        <v>1</v>
      </c>
      <c r="O697">
        <v>1330</v>
      </c>
      <c r="P697">
        <v>1157</v>
      </c>
      <c r="Q697">
        <v>0</v>
      </c>
      <c r="R697">
        <v>1157</v>
      </c>
    </row>
    <row r="698" spans="1:18" x14ac:dyDescent="0.3">
      <c r="A698" s="5">
        <v>45960</v>
      </c>
      <c r="B698" t="s">
        <v>973</v>
      </c>
      <c r="C698">
        <v>18</v>
      </c>
      <c r="D698">
        <v>36</v>
      </c>
      <c r="E698" s="1">
        <v>1.4583333333333333</v>
      </c>
      <c r="F698" t="s">
        <v>974</v>
      </c>
      <c r="G698">
        <v>0</v>
      </c>
      <c r="H698">
        <v>1081.2954999999999</v>
      </c>
      <c r="I698">
        <v>2.5</v>
      </c>
      <c r="J698">
        <v>1163.79</v>
      </c>
      <c r="K698">
        <v>1.9580666999707901</v>
      </c>
      <c r="L698">
        <v>1158.8800000000001</v>
      </c>
      <c r="M698" t="s">
        <v>27</v>
      </c>
      <c r="N698">
        <v>1</v>
      </c>
      <c r="O698">
        <v>1281</v>
      </c>
      <c r="P698">
        <v>1108</v>
      </c>
      <c r="Q698">
        <v>0</v>
      </c>
      <c r="R698">
        <v>1108</v>
      </c>
    </row>
    <row r="699" spans="1:18" x14ac:dyDescent="0.3">
      <c r="A699" s="5">
        <v>45960</v>
      </c>
      <c r="B699" t="s">
        <v>975</v>
      </c>
      <c r="C699">
        <v>7</v>
      </c>
      <c r="D699">
        <v>36</v>
      </c>
      <c r="E699" s="1">
        <v>1.9993055555555554</v>
      </c>
      <c r="F699" t="s">
        <v>972</v>
      </c>
      <c r="G699">
        <v>4</v>
      </c>
      <c r="H699">
        <v>1081.2374</v>
      </c>
      <c r="I699">
        <v>7</v>
      </c>
      <c r="J699">
        <v>1163.79</v>
      </c>
      <c r="K699">
        <v>5.4825867599182097</v>
      </c>
      <c r="L699">
        <v>1097.8399999999999</v>
      </c>
      <c r="M699" t="s">
        <v>27</v>
      </c>
      <c r="N699">
        <v>1</v>
      </c>
      <c r="O699">
        <v>1330</v>
      </c>
      <c r="P699">
        <v>1157</v>
      </c>
      <c r="Q699">
        <v>0</v>
      </c>
      <c r="R699">
        <v>1157</v>
      </c>
    </row>
    <row r="700" spans="1:18" x14ac:dyDescent="0.3">
      <c r="A700" s="5">
        <v>45960</v>
      </c>
      <c r="B700" t="s">
        <v>976</v>
      </c>
      <c r="C700">
        <v>13</v>
      </c>
      <c r="D700">
        <v>36</v>
      </c>
      <c r="E700" s="1">
        <v>1.4583333333333333</v>
      </c>
      <c r="F700" t="s">
        <v>977</v>
      </c>
      <c r="G700">
        <v>4</v>
      </c>
      <c r="H700">
        <v>1081.5173</v>
      </c>
      <c r="I700">
        <v>7</v>
      </c>
      <c r="J700">
        <v>1163.79</v>
      </c>
      <c r="K700">
        <v>5.4825867599182097</v>
      </c>
      <c r="L700">
        <v>1219.83</v>
      </c>
      <c r="M700" t="s">
        <v>27</v>
      </c>
      <c r="N700">
        <v>1</v>
      </c>
      <c r="O700">
        <v>1330</v>
      </c>
      <c r="P700">
        <v>1157</v>
      </c>
      <c r="Q700">
        <v>0</v>
      </c>
      <c r="R700">
        <v>1157</v>
      </c>
    </row>
    <row r="701" spans="1:18" x14ac:dyDescent="0.3">
      <c r="A701" s="5">
        <v>45960</v>
      </c>
      <c r="B701" t="s">
        <v>978</v>
      </c>
      <c r="C701">
        <v>2</v>
      </c>
      <c r="D701">
        <v>36</v>
      </c>
      <c r="E701" s="1">
        <v>1.9791666666666665</v>
      </c>
      <c r="F701" t="s">
        <v>979</v>
      </c>
      <c r="G701">
        <v>4</v>
      </c>
      <c r="H701">
        <v>1081.4164000000001</v>
      </c>
      <c r="I701">
        <v>7</v>
      </c>
      <c r="J701">
        <v>1163.79</v>
      </c>
      <c r="K701">
        <v>5.4825867599182097</v>
      </c>
      <c r="L701">
        <v>1097.8399999999999</v>
      </c>
      <c r="M701" t="s">
        <v>27</v>
      </c>
      <c r="N701">
        <v>1</v>
      </c>
      <c r="O701">
        <v>1330</v>
      </c>
      <c r="P701">
        <v>1157</v>
      </c>
      <c r="Q701">
        <v>0</v>
      </c>
      <c r="R701">
        <v>1157</v>
      </c>
    </row>
    <row r="702" spans="1:18" x14ac:dyDescent="0.3">
      <c r="A702" s="5">
        <v>45960</v>
      </c>
      <c r="B702" t="s">
        <v>978</v>
      </c>
      <c r="C702">
        <v>2</v>
      </c>
      <c r="D702">
        <v>36</v>
      </c>
      <c r="E702" s="1">
        <v>1.9791666666666665</v>
      </c>
      <c r="F702" t="s">
        <v>979</v>
      </c>
      <c r="G702">
        <v>4</v>
      </c>
      <c r="H702">
        <v>1081.4164000000001</v>
      </c>
      <c r="I702">
        <v>7</v>
      </c>
      <c r="J702">
        <v>1163.79</v>
      </c>
      <c r="K702">
        <v>5.4825867599182097</v>
      </c>
      <c r="L702">
        <v>1097.8399999999999</v>
      </c>
      <c r="M702" t="s">
        <v>27</v>
      </c>
      <c r="N702">
        <v>1</v>
      </c>
      <c r="O702">
        <v>1330</v>
      </c>
      <c r="P702">
        <v>1157</v>
      </c>
      <c r="Q702">
        <v>0</v>
      </c>
      <c r="R702">
        <v>1157</v>
      </c>
    </row>
    <row r="703" spans="1:18" x14ac:dyDescent="0.3">
      <c r="A703" s="5">
        <v>45960</v>
      </c>
      <c r="B703" t="s">
        <v>980</v>
      </c>
      <c r="C703">
        <v>3</v>
      </c>
      <c r="D703">
        <v>36</v>
      </c>
      <c r="E703" s="1">
        <v>1.9791666666666665</v>
      </c>
      <c r="F703" t="s">
        <v>979</v>
      </c>
      <c r="G703">
        <v>4</v>
      </c>
      <c r="H703">
        <v>1081.3986</v>
      </c>
      <c r="I703">
        <v>7</v>
      </c>
      <c r="J703">
        <v>1163.79</v>
      </c>
      <c r="K703">
        <v>5.4825867599182097</v>
      </c>
      <c r="L703">
        <v>1097.8399999999999</v>
      </c>
      <c r="M703" t="s">
        <v>27</v>
      </c>
      <c r="N703">
        <v>1</v>
      </c>
      <c r="O703">
        <v>1330</v>
      </c>
      <c r="P703">
        <v>1157</v>
      </c>
      <c r="Q703">
        <v>0</v>
      </c>
      <c r="R703">
        <v>1157</v>
      </c>
    </row>
    <row r="704" spans="1:18" x14ac:dyDescent="0.3">
      <c r="A704" s="5">
        <v>45960</v>
      </c>
      <c r="B704" t="s">
        <v>980</v>
      </c>
      <c r="C704">
        <v>3</v>
      </c>
      <c r="D704">
        <v>36</v>
      </c>
      <c r="E704" s="1">
        <v>1.9791666666666665</v>
      </c>
      <c r="F704" t="s">
        <v>979</v>
      </c>
      <c r="G704">
        <v>4</v>
      </c>
      <c r="H704">
        <v>1081.3986</v>
      </c>
      <c r="I704">
        <v>7</v>
      </c>
      <c r="J704">
        <v>1163.79</v>
      </c>
      <c r="K704">
        <v>5.4825867599182097</v>
      </c>
      <c r="L704">
        <v>1097.8399999999999</v>
      </c>
      <c r="M704" t="s">
        <v>27</v>
      </c>
      <c r="N704">
        <v>1</v>
      </c>
      <c r="O704">
        <v>1330</v>
      </c>
      <c r="P704">
        <v>1157</v>
      </c>
      <c r="Q704">
        <v>0</v>
      </c>
      <c r="R704">
        <v>1157</v>
      </c>
    </row>
    <row r="705" spans="1:18" x14ac:dyDescent="0.3">
      <c r="A705" s="5">
        <v>45960</v>
      </c>
      <c r="B705" t="s">
        <v>981</v>
      </c>
      <c r="C705">
        <v>16</v>
      </c>
      <c r="D705">
        <v>36</v>
      </c>
      <c r="E705" s="1">
        <v>1.4583333333333333</v>
      </c>
      <c r="F705" t="s">
        <v>982</v>
      </c>
      <c r="G705">
        <v>2</v>
      </c>
      <c r="H705">
        <v>1081.2616</v>
      </c>
      <c r="I705">
        <v>5</v>
      </c>
      <c r="J705">
        <v>1163.79</v>
      </c>
      <c r="K705">
        <v>3.9161333999415802</v>
      </c>
      <c r="L705">
        <v>601.29</v>
      </c>
      <c r="M705" t="s">
        <v>60</v>
      </c>
      <c r="N705">
        <v>1</v>
      </c>
      <c r="O705">
        <v>1308</v>
      </c>
      <c r="P705">
        <v>1135</v>
      </c>
      <c r="Q705">
        <v>0.5</v>
      </c>
      <c r="R705">
        <v>567.5</v>
      </c>
    </row>
    <row r="706" spans="1:18" x14ac:dyDescent="0.3">
      <c r="A706" s="5">
        <v>45960</v>
      </c>
      <c r="B706" t="s">
        <v>983</v>
      </c>
      <c r="C706">
        <v>24</v>
      </c>
      <c r="D706">
        <v>36</v>
      </c>
      <c r="E706" s="1">
        <v>1.9993055555555554</v>
      </c>
      <c r="F706" t="s">
        <v>984</v>
      </c>
      <c r="G706">
        <v>5</v>
      </c>
      <c r="H706">
        <v>1080.77</v>
      </c>
      <c r="I706">
        <v>0</v>
      </c>
      <c r="J706">
        <v>1163.79</v>
      </c>
      <c r="K706">
        <v>0</v>
      </c>
      <c r="L706">
        <v>1158.8800000000001</v>
      </c>
      <c r="M706" t="s">
        <v>27</v>
      </c>
      <c r="N706">
        <v>1</v>
      </c>
      <c r="O706">
        <v>1254</v>
      </c>
      <c r="P706">
        <v>1081</v>
      </c>
      <c r="Q706">
        <v>0</v>
      </c>
      <c r="R706">
        <v>1081</v>
      </c>
    </row>
    <row r="707" spans="1:18" x14ac:dyDescent="0.3">
      <c r="A707" s="5">
        <v>45960</v>
      </c>
      <c r="B707" t="s">
        <v>985</v>
      </c>
      <c r="C707">
        <v>18</v>
      </c>
      <c r="D707">
        <v>36</v>
      </c>
      <c r="E707" s="1">
        <v>1.9993055555555554</v>
      </c>
      <c r="F707" t="s">
        <v>986</v>
      </c>
      <c r="G707">
        <v>1</v>
      </c>
      <c r="H707">
        <v>1080.9979000000001</v>
      </c>
      <c r="I707">
        <v>8.5</v>
      </c>
      <c r="J707">
        <v>1163.79</v>
      </c>
      <c r="K707">
        <v>6.6574267799006801</v>
      </c>
      <c r="L707">
        <v>1219.83</v>
      </c>
      <c r="M707" t="s">
        <v>27</v>
      </c>
      <c r="N707">
        <v>1</v>
      </c>
      <c r="O707">
        <v>1346</v>
      </c>
      <c r="P707">
        <v>1173</v>
      </c>
      <c r="Q707">
        <v>0</v>
      </c>
      <c r="R707">
        <v>1173</v>
      </c>
    </row>
    <row r="708" spans="1:18" x14ac:dyDescent="0.3">
      <c r="A708" s="5">
        <v>45960</v>
      </c>
      <c r="B708" t="s">
        <v>987</v>
      </c>
      <c r="C708">
        <v>10</v>
      </c>
      <c r="D708">
        <v>36</v>
      </c>
      <c r="E708" s="1">
        <v>1.4583333333333333</v>
      </c>
      <c r="F708" t="s">
        <v>988</v>
      </c>
      <c r="G708">
        <v>0</v>
      </c>
      <c r="H708">
        <v>1081.6356000000001</v>
      </c>
      <c r="I708">
        <v>2.5</v>
      </c>
      <c r="J708">
        <v>1163.79</v>
      </c>
      <c r="K708">
        <v>1.9580666999707901</v>
      </c>
      <c r="L708">
        <v>1099.1400000000001</v>
      </c>
      <c r="M708" t="s">
        <v>27</v>
      </c>
      <c r="N708">
        <v>1</v>
      </c>
      <c r="O708">
        <v>1282</v>
      </c>
      <c r="P708">
        <v>1109</v>
      </c>
      <c r="Q708">
        <v>0</v>
      </c>
      <c r="R708">
        <v>1109</v>
      </c>
    </row>
    <row r="709" spans="1:18" x14ac:dyDescent="0.3">
      <c r="A709" s="5">
        <v>45960</v>
      </c>
      <c r="B709" t="s">
        <v>989</v>
      </c>
      <c r="C709">
        <v>6</v>
      </c>
      <c r="D709">
        <v>36</v>
      </c>
      <c r="E709" s="1">
        <v>1.9993055555555554</v>
      </c>
      <c r="F709" t="s">
        <v>990</v>
      </c>
      <c r="G709">
        <v>4</v>
      </c>
      <c r="H709">
        <v>1081.2260000000001</v>
      </c>
      <c r="I709">
        <v>7</v>
      </c>
      <c r="J709">
        <v>1163.79</v>
      </c>
      <c r="K709">
        <v>5.4825867599182097</v>
      </c>
      <c r="L709">
        <v>1158.8800000000001</v>
      </c>
      <c r="M709" t="s">
        <v>27</v>
      </c>
      <c r="N709">
        <v>1</v>
      </c>
      <c r="O709">
        <v>1330</v>
      </c>
      <c r="P709">
        <v>1157</v>
      </c>
      <c r="Q709">
        <v>0</v>
      </c>
      <c r="R709">
        <v>1157</v>
      </c>
    </row>
    <row r="710" spans="1:18" x14ac:dyDescent="0.3">
      <c r="A710" s="5">
        <v>45960</v>
      </c>
      <c r="B710" t="s">
        <v>991</v>
      </c>
      <c r="C710">
        <v>10</v>
      </c>
      <c r="D710">
        <v>36</v>
      </c>
      <c r="E710" s="1">
        <v>1.9791666666666665</v>
      </c>
      <c r="F710" t="s">
        <v>992</v>
      </c>
      <c r="G710">
        <v>2</v>
      </c>
      <c r="H710">
        <v>1081.1981000000001</v>
      </c>
      <c r="I710">
        <v>5</v>
      </c>
      <c r="J710">
        <v>1163.79</v>
      </c>
      <c r="K710">
        <v>3.9161333999415802</v>
      </c>
      <c r="L710">
        <v>609.91</v>
      </c>
      <c r="M710" t="s">
        <v>60</v>
      </c>
      <c r="N710">
        <v>1</v>
      </c>
      <c r="O710">
        <v>1308</v>
      </c>
      <c r="P710">
        <v>1135</v>
      </c>
      <c r="Q710">
        <v>0.5</v>
      </c>
      <c r="R710">
        <v>567.5</v>
      </c>
    </row>
    <row r="711" spans="1:18" x14ac:dyDescent="0.3">
      <c r="A711" s="5">
        <v>45960</v>
      </c>
      <c r="B711" t="s">
        <v>993</v>
      </c>
      <c r="C711">
        <v>27</v>
      </c>
      <c r="D711">
        <v>36</v>
      </c>
      <c r="E711" s="1">
        <v>1.4583333333333333</v>
      </c>
      <c r="F711" t="s">
        <v>994</v>
      </c>
      <c r="G711">
        <v>0</v>
      </c>
      <c r="H711">
        <v>1080.9698000000001</v>
      </c>
      <c r="I711">
        <v>2.5</v>
      </c>
      <c r="J711">
        <v>1163.79</v>
      </c>
      <c r="K711">
        <v>1.9580666999707901</v>
      </c>
      <c r="L711">
        <v>1158.8800000000001</v>
      </c>
      <c r="M711" t="s">
        <v>27</v>
      </c>
      <c r="N711">
        <v>1</v>
      </c>
      <c r="O711">
        <v>1281</v>
      </c>
      <c r="P711">
        <v>1108</v>
      </c>
      <c r="Q711">
        <v>0</v>
      </c>
      <c r="R711">
        <v>1108</v>
      </c>
    </row>
    <row r="712" spans="1:18" x14ac:dyDescent="0.3">
      <c r="A712" s="5">
        <v>45960</v>
      </c>
      <c r="B712" t="s">
        <v>995</v>
      </c>
      <c r="C712">
        <v>18</v>
      </c>
      <c r="D712">
        <v>36</v>
      </c>
      <c r="E712" s="1">
        <v>1.0833333333333333</v>
      </c>
      <c r="F712" t="s">
        <v>996</v>
      </c>
      <c r="G712">
        <v>2</v>
      </c>
      <c r="H712">
        <v>1081.2119</v>
      </c>
      <c r="I712">
        <v>5</v>
      </c>
      <c r="J712">
        <v>1163.79</v>
      </c>
      <c r="K712">
        <v>3.9161333999415802</v>
      </c>
      <c r="L712">
        <v>609.91</v>
      </c>
      <c r="M712" t="s">
        <v>60</v>
      </c>
      <c r="N712">
        <v>1</v>
      </c>
      <c r="O712">
        <v>1308</v>
      </c>
      <c r="P712">
        <v>1135</v>
      </c>
      <c r="Q712">
        <v>0.5</v>
      </c>
      <c r="R712">
        <v>567.5</v>
      </c>
    </row>
    <row r="713" spans="1:18" x14ac:dyDescent="0.3">
      <c r="A713" s="5">
        <v>45960</v>
      </c>
      <c r="B713" t="s">
        <v>997</v>
      </c>
      <c r="C713">
        <v>32</v>
      </c>
      <c r="D713">
        <v>36</v>
      </c>
      <c r="E713" s="1">
        <v>1.25</v>
      </c>
      <c r="F713" t="s">
        <v>998</v>
      </c>
      <c r="G713">
        <v>3</v>
      </c>
      <c r="H713">
        <v>1080.8988999999999</v>
      </c>
      <c r="I713">
        <v>10</v>
      </c>
      <c r="J713">
        <v>1163.79</v>
      </c>
      <c r="K713">
        <v>7.8322667998831603</v>
      </c>
      <c r="L713">
        <v>609.91</v>
      </c>
      <c r="M713" t="s">
        <v>20</v>
      </c>
      <c r="N713">
        <v>1</v>
      </c>
      <c r="O713">
        <v>1362</v>
      </c>
      <c r="P713">
        <v>1189</v>
      </c>
      <c r="Q713">
        <v>0.5</v>
      </c>
      <c r="R713">
        <v>594.5</v>
      </c>
    </row>
    <row r="714" spans="1:18" x14ac:dyDescent="0.3">
      <c r="A714" s="5">
        <v>45960</v>
      </c>
      <c r="B714" t="s">
        <v>999</v>
      </c>
      <c r="C714">
        <v>14</v>
      </c>
      <c r="D714">
        <v>36</v>
      </c>
      <c r="E714" s="1">
        <v>1.4583333333333333</v>
      </c>
      <c r="F714" t="s">
        <v>1000</v>
      </c>
      <c r="G714">
        <v>0</v>
      </c>
      <c r="H714">
        <v>1081.3651</v>
      </c>
      <c r="I714">
        <v>2.5</v>
      </c>
      <c r="J714">
        <v>1163.79</v>
      </c>
      <c r="K714">
        <v>1.9580666999707901</v>
      </c>
      <c r="L714">
        <v>1158.8800000000001</v>
      </c>
      <c r="M714" t="s">
        <v>27</v>
      </c>
      <c r="N714">
        <v>1</v>
      </c>
      <c r="O714">
        <v>1281</v>
      </c>
      <c r="P714">
        <v>1108</v>
      </c>
      <c r="Q714">
        <v>0</v>
      </c>
      <c r="R714">
        <v>1108</v>
      </c>
    </row>
    <row r="715" spans="1:18" x14ac:dyDescent="0.3">
      <c r="A715" s="5">
        <v>45960</v>
      </c>
      <c r="B715" t="s">
        <v>1001</v>
      </c>
      <c r="C715">
        <v>3</v>
      </c>
      <c r="D715">
        <v>36</v>
      </c>
      <c r="E715" s="1">
        <v>1.9993055555555554</v>
      </c>
      <c r="F715" t="s">
        <v>1002</v>
      </c>
      <c r="G715">
        <v>4</v>
      </c>
      <c r="H715">
        <v>1081.3231000000001</v>
      </c>
      <c r="I715">
        <v>7</v>
      </c>
      <c r="J715">
        <v>1163.79</v>
      </c>
      <c r="K715">
        <v>5.4825867599182097</v>
      </c>
      <c r="L715">
        <v>1082.33</v>
      </c>
      <c r="M715" t="s">
        <v>27</v>
      </c>
      <c r="N715">
        <v>1</v>
      </c>
      <c r="O715">
        <v>1330</v>
      </c>
      <c r="P715">
        <v>1157</v>
      </c>
      <c r="Q715">
        <v>0</v>
      </c>
      <c r="R715">
        <v>1157</v>
      </c>
    </row>
    <row r="716" spans="1:18" x14ac:dyDescent="0.3">
      <c r="A716" s="5">
        <v>45960</v>
      </c>
      <c r="B716" t="s">
        <v>467</v>
      </c>
      <c r="C716">
        <v>1</v>
      </c>
      <c r="D716">
        <v>36</v>
      </c>
      <c r="E716" s="1">
        <v>1.4583333333333333</v>
      </c>
      <c r="F716" t="s">
        <v>468</v>
      </c>
      <c r="G716">
        <v>0</v>
      </c>
      <c r="H716">
        <v>1081.7108000000001</v>
      </c>
      <c r="I716">
        <v>2.5</v>
      </c>
      <c r="J716">
        <v>1163.79</v>
      </c>
      <c r="K716">
        <v>1.9580666999707901</v>
      </c>
      <c r="L716">
        <v>1158.8800000000001</v>
      </c>
      <c r="M716" t="s">
        <v>27</v>
      </c>
      <c r="N716">
        <v>1</v>
      </c>
      <c r="O716">
        <v>1282</v>
      </c>
      <c r="P716">
        <v>1109</v>
      </c>
      <c r="Q716">
        <v>0</v>
      </c>
      <c r="R716">
        <v>1109</v>
      </c>
    </row>
    <row r="717" spans="1:18" x14ac:dyDescent="0.3">
      <c r="A717" s="5">
        <v>45960</v>
      </c>
      <c r="B717" t="s">
        <v>1003</v>
      </c>
      <c r="C717">
        <v>32</v>
      </c>
      <c r="D717">
        <v>36</v>
      </c>
      <c r="E717" s="1">
        <v>1.9993055555555554</v>
      </c>
      <c r="F717" t="s">
        <v>1004</v>
      </c>
      <c r="G717">
        <v>0</v>
      </c>
      <c r="H717">
        <v>1080.6524999999999</v>
      </c>
      <c r="I717">
        <v>2.5</v>
      </c>
      <c r="J717">
        <v>1163.79</v>
      </c>
      <c r="K717">
        <v>1.9580666999707901</v>
      </c>
      <c r="L717">
        <v>1158.8800000000001</v>
      </c>
      <c r="M717" t="s">
        <v>27</v>
      </c>
      <c r="N717">
        <v>1</v>
      </c>
      <c r="O717">
        <v>1281</v>
      </c>
      <c r="P717">
        <v>1108</v>
      </c>
      <c r="Q717">
        <v>0</v>
      </c>
      <c r="R717">
        <v>1108</v>
      </c>
    </row>
    <row r="718" spans="1:18" x14ac:dyDescent="0.3">
      <c r="A718" s="5">
        <v>45960</v>
      </c>
      <c r="B718" t="s">
        <v>1005</v>
      </c>
      <c r="C718">
        <v>9</v>
      </c>
      <c r="D718">
        <v>36</v>
      </c>
      <c r="E718" s="1">
        <v>1.0833333333333333</v>
      </c>
      <c r="F718" t="s">
        <v>1006</v>
      </c>
      <c r="G718">
        <v>0</v>
      </c>
      <c r="H718">
        <v>1081.4576</v>
      </c>
      <c r="I718">
        <v>2.5</v>
      </c>
      <c r="J718">
        <v>1163.79</v>
      </c>
      <c r="K718">
        <v>1.9580666999707901</v>
      </c>
      <c r="L718">
        <v>1158.8800000000001</v>
      </c>
      <c r="M718" t="s">
        <v>27</v>
      </c>
      <c r="N718">
        <v>1</v>
      </c>
      <c r="O718">
        <v>1282</v>
      </c>
      <c r="P718">
        <v>1108</v>
      </c>
      <c r="Q718">
        <v>0</v>
      </c>
      <c r="R718">
        <v>1108</v>
      </c>
    </row>
    <row r="719" spans="1:18" x14ac:dyDescent="0.3">
      <c r="A719" s="5">
        <v>45960</v>
      </c>
      <c r="B719" t="s">
        <v>1007</v>
      </c>
      <c r="C719">
        <v>8</v>
      </c>
      <c r="D719">
        <v>36</v>
      </c>
      <c r="E719" s="1">
        <v>1.0833333333333333</v>
      </c>
      <c r="F719" t="s">
        <v>1008</v>
      </c>
      <c r="G719">
        <v>0</v>
      </c>
      <c r="H719">
        <v>1081.4757</v>
      </c>
      <c r="I719">
        <v>2.5</v>
      </c>
      <c r="J719">
        <v>1163.79</v>
      </c>
      <c r="K719">
        <v>1.9580666999707901</v>
      </c>
      <c r="L719">
        <v>1158.8800000000001</v>
      </c>
      <c r="M719" t="s">
        <v>27</v>
      </c>
      <c r="N719">
        <v>1</v>
      </c>
      <c r="O719">
        <v>1282</v>
      </c>
      <c r="P719">
        <v>1109</v>
      </c>
      <c r="Q719">
        <v>0</v>
      </c>
      <c r="R719">
        <v>1109</v>
      </c>
    </row>
    <row r="720" spans="1:18" x14ac:dyDescent="0.3">
      <c r="A720" s="5">
        <v>45960</v>
      </c>
      <c r="B720" t="s">
        <v>1009</v>
      </c>
      <c r="C720">
        <v>32</v>
      </c>
      <c r="D720">
        <v>36</v>
      </c>
      <c r="E720" s="1">
        <v>1.9993055555555554</v>
      </c>
      <c r="F720" t="s">
        <v>1010</v>
      </c>
      <c r="G720">
        <v>4</v>
      </c>
      <c r="H720">
        <v>1080.7463</v>
      </c>
      <c r="I720">
        <v>7</v>
      </c>
      <c r="J720">
        <v>1163.79</v>
      </c>
      <c r="K720">
        <v>5.4825867599182097</v>
      </c>
      <c r="L720">
        <v>609.91</v>
      </c>
      <c r="M720" t="s">
        <v>60</v>
      </c>
      <c r="N720">
        <v>1</v>
      </c>
      <c r="O720">
        <v>1329</v>
      </c>
      <c r="P720">
        <v>1156</v>
      </c>
      <c r="Q720">
        <v>0.5</v>
      </c>
      <c r="R720">
        <v>578</v>
      </c>
    </row>
    <row r="721" spans="1:18" x14ac:dyDescent="0.3">
      <c r="A721" s="5">
        <v>45960</v>
      </c>
      <c r="B721" t="s">
        <v>1011</v>
      </c>
      <c r="C721">
        <v>16</v>
      </c>
      <c r="D721">
        <v>36</v>
      </c>
      <c r="E721" s="1">
        <v>1.9993055555555554</v>
      </c>
      <c r="F721" t="s">
        <v>1012</v>
      </c>
      <c r="G721">
        <v>4</v>
      </c>
      <c r="H721">
        <v>1080.3624</v>
      </c>
      <c r="I721">
        <v>7</v>
      </c>
      <c r="J721">
        <v>1163.79</v>
      </c>
      <c r="K721">
        <v>5.4825867599182097</v>
      </c>
      <c r="L721">
        <v>1219.83</v>
      </c>
      <c r="M721" t="s">
        <v>27</v>
      </c>
      <c r="N721">
        <v>1</v>
      </c>
      <c r="O721">
        <v>1329</v>
      </c>
      <c r="P721">
        <v>1156</v>
      </c>
      <c r="Q721">
        <v>0</v>
      </c>
      <c r="R721">
        <v>1156</v>
      </c>
    </row>
    <row r="722" spans="1:18" x14ac:dyDescent="0.3">
      <c r="A722" s="5">
        <v>45960</v>
      </c>
      <c r="B722" t="s">
        <v>1013</v>
      </c>
      <c r="C722">
        <v>31</v>
      </c>
      <c r="D722">
        <v>36</v>
      </c>
      <c r="E722" s="1">
        <v>1.9993055555555554</v>
      </c>
      <c r="F722" t="s">
        <v>1014</v>
      </c>
      <c r="G722">
        <v>5</v>
      </c>
      <c r="H722">
        <v>1080.6410000000001</v>
      </c>
      <c r="I722">
        <v>0</v>
      </c>
      <c r="J722">
        <v>1163.79</v>
      </c>
      <c r="K722">
        <v>0</v>
      </c>
      <c r="L722">
        <v>1175.17</v>
      </c>
      <c r="M722" t="s">
        <v>27</v>
      </c>
      <c r="N722">
        <v>1</v>
      </c>
      <c r="O722">
        <v>1254</v>
      </c>
      <c r="P722">
        <v>1081</v>
      </c>
      <c r="Q722">
        <v>0</v>
      </c>
      <c r="R722">
        <v>1081</v>
      </c>
    </row>
    <row r="723" spans="1:18" x14ac:dyDescent="0.3">
      <c r="A723" s="5">
        <v>45960</v>
      </c>
      <c r="B723" t="s">
        <v>1015</v>
      </c>
      <c r="C723">
        <v>5</v>
      </c>
      <c r="D723">
        <v>36</v>
      </c>
      <c r="E723" s="1">
        <v>1.9993055555555554</v>
      </c>
      <c r="F723" t="s">
        <v>1016</v>
      </c>
      <c r="G723">
        <v>3</v>
      </c>
      <c r="H723">
        <v>1081.2291</v>
      </c>
      <c r="I723">
        <v>10</v>
      </c>
      <c r="J723">
        <v>1163.79</v>
      </c>
      <c r="K723">
        <v>7.8322667998831603</v>
      </c>
      <c r="L723">
        <v>618.53</v>
      </c>
      <c r="M723" t="s">
        <v>20</v>
      </c>
      <c r="N723">
        <v>1</v>
      </c>
      <c r="O723">
        <v>1362</v>
      </c>
      <c r="P723">
        <v>1189</v>
      </c>
      <c r="Q723">
        <v>0.5</v>
      </c>
      <c r="R723">
        <v>594.5</v>
      </c>
    </row>
    <row r="724" spans="1:18" x14ac:dyDescent="0.3">
      <c r="A724" s="5">
        <v>45960</v>
      </c>
      <c r="B724" t="s">
        <v>1017</v>
      </c>
      <c r="C724">
        <v>26</v>
      </c>
      <c r="D724">
        <v>36</v>
      </c>
      <c r="E724" s="1">
        <v>1.9993055555555554</v>
      </c>
      <c r="F724" t="s">
        <v>1018</v>
      </c>
      <c r="G724">
        <v>5</v>
      </c>
      <c r="H724">
        <v>1080.73</v>
      </c>
      <c r="I724">
        <v>0</v>
      </c>
      <c r="J724">
        <v>1163.79</v>
      </c>
      <c r="K724">
        <v>0</v>
      </c>
      <c r="L724">
        <v>1175.17</v>
      </c>
      <c r="M724" t="s">
        <v>27</v>
      </c>
      <c r="N724">
        <v>1</v>
      </c>
      <c r="O724">
        <v>1254</v>
      </c>
      <c r="P724">
        <v>1081</v>
      </c>
      <c r="Q724">
        <v>0</v>
      </c>
      <c r="R724">
        <v>1081</v>
      </c>
    </row>
    <row r="725" spans="1:18" x14ac:dyDescent="0.3">
      <c r="A725" s="5">
        <v>45960</v>
      </c>
      <c r="B725" t="s">
        <v>1019</v>
      </c>
      <c r="C725">
        <v>25</v>
      </c>
      <c r="D725">
        <v>36</v>
      </c>
      <c r="E725" s="1">
        <v>1.9993055555555554</v>
      </c>
      <c r="F725" t="s">
        <v>1020</v>
      </c>
      <c r="G725">
        <v>5</v>
      </c>
      <c r="H725">
        <v>1080.7474</v>
      </c>
      <c r="I725">
        <v>0</v>
      </c>
      <c r="J725">
        <v>1163.79</v>
      </c>
      <c r="K725">
        <v>0</v>
      </c>
      <c r="L725">
        <v>1175.17</v>
      </c>
      <c r="M725" t="s">
        <v>27</v>
      </c>
      <c r="N725">
        <v>1</v>
      </c>
      <c r="O725">
        <v>1254</v>
      </c>
      <c r="P725">
        <v>1081</v>
      </c>
      <c r="Q725">
        <v>0</v>
      </c>
      <c r="R725">
        <v>1081</v>
      </c>
    </row>
    <row r="726" spans="1:18" x14ac:dyDescent="0.3">
      <c r="A726" s="5">
        <v>45960</v>
      </c>
      <c r="B726" t="s">
        <v>1021</v>
      </c>
      <c r="C726">
        <v>3</v>
      </c>
      <c r="D726">
        <v>36</v>
      </c>
      <c r="E726" s="1">
        <v>1.25</v>
      </c>
      <c r="F726" t="s">
        <v>1022</v>
      </c>
      <c r="G726">
        <v>4</v>
      </c>
      <c r="H726">
        <v>1081.5613000000001</v>
      </c>
      <c r="I726">
        <v>7</v>
      </c>
      <c r="J726">
        <v>1163.79</v>
      </c>
      <c r="K726">
        <v>5.4825867599182097</v>
      </c>
      <c r="L726">
        <v>1175.17</v>
      </c>
      <c r="M726" t="s">
        <v>27</v>
      </c>
      <c r="N726">
        <v>1</v>
      </c>
      <c r="O726">
        <v>1330</v>
      </c>
      <c r="P726">
        <v>1157</v>
      </c>
      <c r="Q726">
        <v>0</v>
      </c>
      <c r="R726">
        <v>1157</v>
      </c>
    </row>
    <row r="727" spans="1:18" x14ac:dyDescent="0.3">
      <c r="A727" s="5">
        <v>45960</v>
      </c>
      <c r="B727" t="s">
        <v>1023</v>
      </c>
      <c r="C727">
        <v>1</v>
      </c>
      <c r="D727">
        <v>36</v>
      </c>
      <c r="E727" s="1">
        <v>1.9652777777777777</v>
      </c>
      <c r="F727" t="s">
        <v>1024</v>
      </c>
      <c r="G727">
        <v>5</v>
      </c>
      <c r="H727">
        <v>1081.3105</v>
      </c>
      <c r="I727">
        <v>0</v>
      </c>
      <c r="J727">
        <v>1163.79</v>
      </c>
      <c r="K727">
        <v>0</v>
      </c>
      <c r="L727">
        <v>1175.17</v>
      </c>
      <c r="M727" t="s">
        <v>27</v>
      </c>
      <c r="N727">
        <v>1</v>
      </c>
      <c r="O727">
        <v>1254</v>
      </c>
      <c r="P727">
        <v>1081</v>
      </c>
      <c r="Q727">
        <v>0</v>
      </c>
      <c r="R727">
        <v>1081</v>
      </c>
    </row>
    <row r="728" spans="1:18" x14ac:dyDescent="0.3">
      <c r="A728" s="5">
        <v>45960</v>
      </c>
      <c r="B728" t="s">
        <v>1025</v>
      </c>
      <c r="C728">
        <v>19</v>
      </c>
      <c r="D728">
        <v>36</v>
      </c>
      <c r="E728" s="1">
        <v>1.4583333333333333</v>
      </c>
      <c r="F728" t="s">
        <v>1026</v>
      </c>
      <c r="G728">
        <v>4</v>
      </c>
      <c r="H728">
        <v>1081.2695000000001</v>
      </c>
      <c r="I728">
        <v>7</v>
      </c>
      <c r="J728">
        <v>1163.79</v>
      </c>
      <c r="K728">
        <v>5.4825867599182097</v>
      </c>
      <c r="L728">
        <v>1175.17</v>
      </c>
      <c r="M728" t="s">
        <v>27</v>
      </c>
      <c r="N728">
        <v>1</v>
      </c>
      <c r="O728">
        <v>1330</v>
      </c>
      <c r="P728">
        <v>1157</v>
      </c>
      <c r="Q728">
        <v>0</v>
      </c>
      <c r="R728">
        <v>1157</v>
      </c>
    </row>
    <row r="729" spans="1:18" x14ac:dyDescent="0.3">
      <c r="A729" s="5">
        <v>45960</v>
      </c>
      <c r="B729" t="s">
        <v>1025</v>
      </c>
      <c r="C729">
        <v>19</v>
      </c>
      <c r="D729">
        <v>36</v>
      </c>
      <c r="E729" s="1">
        <v>1.4583333333333333</v>
      </c>
      <c r="F729" t="s">
        <v>1027</v>
      </c>
      <c r="G729">
        <v>4</v>
      </c>
      <c r="H729">
        <v>1081.2695000000001</v>
      </c>
      <c r="I729">
        <v>7</v>
      </c>
      <c r="J729">
        <v>1163.79</v>
      </c>
      <c r="K729">
        <v>5.4825867599182097</v>
      </c>
      <c r="L729">
        <v>1175.17</v>
      </c>
      <c r="M729" t="s">
        <v>27</v>
      </c>
      <c r="N729">
        <v>1</v>
      </c>
      <c r="O729">
        <v>1330</v>
      </c>
      <c r="P729">
        <v>1157</v>
      </c>
      <c r="Q729">
        <v>0</v>
      </c>
      <c r="R729">
        <v>1157</v>
      </c>
    </row>
    <row r="730" spans="1:18" x14ac:dyDescent="0.3">
      <c r="A730" s="5">
        <v>45960</v>
      </c>
      <c r="B730" t="s">
        <v>1028</v>
      </c>
      <c r="C730">
        <v>20</v>
      </c>
      <c r="D730">
        <v>36</v>
      </c>
      <c r="E730" s="1">
        <v>1.4583333333333333</v>
      </c>
      <c r="F730" t="s">
        <v>1026</v>
      </c>
      <c r="G730">
        <v>4</v>
      </c>
      <c r="H730">
        <v>1081.2516000000001</v>
      </c>
      <c r="I730">
        <v>7</v>
      </c>
      <c r="J730">
        <v>1163.79</v>
      </c>
      <c r="K730">
        <v>5.4825867599182097</v>
      </c>
      <c r="L730">
        <v>1175.17</v>
      </c>
      <c r="M730" t="s">
        <v>27</v>
      </c>
      <c r="N730">
        <v>1</v>
      </c>
      <c r="O730">
        <v>1330</v>
      </c>
      <c r="P730">
        <v>1157</v>
      </c>
      <c r="Q730">
        <v>0</v>
      </c>
      <c r="R730">
        <v>1157</v>
      </c>
    </row>
    <row r="731" spans="1:18" x14ac:dyDescent="0.3">
      <c r="A731" s="5">
        <v>45960</v>
      </c>
      <c r="B731" t="s">
        <v>1028</v>
      </c>
      <c r="C731">
        <v>20</v>
      </c>
      <c r="D731">
        <v>36</v>
      </c>
      <c r="E731" s="1">
        <v>1.4583333333333333</v>
      </c>
      <c r="F731" t="s">
        <v>1027</v>
      </c>
      <c r="G731">
        <v>4</v>
      </c>
      <c r="H731">
        <v>1081.2516000000001</v>
      </c>
      <c r="I731">
        <v>7</v>
      </c>
      <c r="J731">
        <v>1163.79</v>
      </c>
      <c r="K731">
        <v>5.4825867599182097</v>
      </c>
      <c r="L731">
        <v>1175.17</v>
      </c>
      <c r="M731" t="s">
        <v>27</v>
      </c>
      <c r="N731">
        <v>1</v>
      </c>
      <c r="O731">
        <v>1330</v>
      </c>
      <c r="P731">
        <v>1157</v>
      </c>
      <c r="Q731">
        <v>0</v>
      </c>
      <c r="R731">
        <v>1157</v>
      </c>
    </row>
    <row r="732" spans="1:18" x14ac:dyDescent="0.3">
      <c r="A732" s="5">
        <v>45960</v>
      </c>
      <c r="B732" t="s">
        <v>1029</v>
      </c>
      <c r="C732">
        <v>30</v>
      </c>
      <c r="D732">
        <v>36</v>
      </c>
      <c r="E732" s="1">
        <v>1.9993055555555554</v>
      </c>
      <c r="F732" t="s">
        <v>1030</v>
      </c>
      <c r="G732">
        <v>0</v>
      </c>
      <c r="H732">
        <v>1080.7125000000001</v>
      </c>
      <c r="I732">
        <v>2.5</v>
      </c>
      <c r="J732">
        <v>1163.79</v>
      </c>
      <c r="K732">
        <v>1.9580666999707901</v>
      </c>
      <c r="L732">
        <v>1175.17</v>
      </c>
      <c r="M732" t="s">
        <v>27</v>
      </c>
      <c r="N732">
        <v>1</v>
      </c>
      <c r="O732">
        <v>1281</v>
      </c>
      <c r="P732">
        <v>1108</v>
      </c>
      <c r="Q732">
        <v>0</v>
      </c>
      <c r="R732">
        <v>1108</v>
      </c>
    </row>
    <row r="733" spans="1:18" x14ac:dyDescent="0.3">
      <c r="A733" s="5">
        <v>45960</v>
      </c>
      <c r="B733" t="s">
        <v>1031</v>
      </c>
      <c r="C733">
        <v>4</v>
      </c>
      <c r="D733">
        <v>36</v>
      </c>
      <c r="E733" s="1">
        <v>1.9652777777777777</v>
      </c>
      <c r="F733" t="s">
        <v>1032</v>
      </c>
      <c r="G733">
        <v>3</v>
      </c>
      <c r="H733">
        <v>1081.1270999999999</v>
      </c>
      <c r="I733">
        <v>10</v>
      </c>
      <c r="J733">
        <v>1163.79</v>
      </c>
      <c r="K733">
        <v>7.8322667998831603</v>
      </c>
      <c r="L733">
        <v>618.53</v>
      </c>
      <c r="M733" t="s">
        <v>20</v>
      </c>
      <c r="N733">
        <v>1</v>
      </c>
      <c r="O733">
        <v>1362</v>
      </c>
      <c r="P733">
        <v>1189</v>
      </c>
      <c r="Q733">
        <v>0.5</v>
      </c>
      <c r="R733">
        <v>594.5</v>
      </c>
    </row>
    <row r="734" spans="1:18" x14ac:dyDescent="0.3">
      <c r="A734" s="5">
        <v>45960</v>
      </c>
      <c r="B734" t="s">
        <v>1033</v>
      </c>
      <c r="C734">
        <v>9</v>
      </c>
      <c r="D734">
        <v>36</v>
      </c>
      <c r="E734" s="1">
        <v>1.25</v>
      </c>
      <c r="F734" t="s">
        <v>1034</v>
      </c>
      <c r="G734">
        <v>0</v>
      </c>
      <c r="H734">
        <v>1081.4518</v>
      </c>
      <c r="I734">
        <v>2.5</v>
      </c>
      <c r="J734">
        <v>1163.79</v>
      </c>
      <c r="K734">
        <v>1.9580666999707901</v>
      </c>
      <c r="L734">
        <v>1175.17</v>
      </c>
      <c r="M734" t="s">
        <v>27</v>
      </c>
      <c r="N734">
        <v>1</v>
      </c>
      <c r="O734">
        <v>1282</v>
      </c>
      <c r="P734">
        <v>1108</v>
      </c>
      <c r="Q734">
        <v>0</v>
      </c>
      <c r="R734">
        <v>1108</v>
      </c>
    </row>
    <row r="735" spans="1:18" x14ac:dyDescent="0.3">
      <c r="A735" s="5">
        <v>45960</v>
      </c>
      <c r="B735" t="s">
        <v>1033</v>
      </c>
      <c r="C735">
        <v>9</v>
      </c>
      <c r="D735">
        <v>36</v>
      </c>
      <c r="E735" s="1">
        <v>1.25</v>
      </c>
      <c r="F735" t="s">
        <v>1034</v>
      </c>
      <c r="G735">
        <v>0</v>
      </c>
      <c r="H735">
        <v>1081.4518</v>
      </c>
      <c r="I735">
        <v>2.5</v>
      </c>
      <c r="J735">
        <v>1163.79</v>
      </c>
      <c r="K735">
        <v>1.9580666999707901</v>
      </c>
      <c r="L735">
        <v>1175.17</v>
      </c>
      <c r="M735" t="s">
        <v>27</v>
      </c>
      <c r="N735">
        <v>1</v>
      </c>
      <c r="O735">
        <v>1282</v>
      </c>
      <c r="P735">
        <v>1108</v>
      </c>
      <c r="Q735">
        <v>0</v>
      </c>
      <c r="R735">
        <v>1108</v>
      </c>
    </row>
    <row r="736" spans="1:18" x14ac:dyDescent="0.3">
      <c r="A736" s="5">
        <v>45960</v>
      </c>
      <c r="B736" t="s">
        <v>1035</v>
      </c>
      <c r="C736">
        <v>8</v>
      </c>
      <c r="D736">
        <v>36</v>
      </c>
      <c r="E736" s="1">
        <v>1.25</v>
      </c>
      <c r="F736" t="s">
        <v>1034</v>
      </c>
      <c r="G736">
        <v>0</v>
      </c>
      <c r="H736">
        <v>1081.4697000000001</v>
      </c>
      <c r="I736">
        <v>2.5</v>
      </c>
      <c r="J736">
        <v>1163.79</v>
      </c>
      <c r="K736">
        <v>1.9580666999707901</v>
      </c>
      <c r="L736">
        <v>1175.17</v>
      </c>
      <c r="M736" t="s">
        <v>27</v>
      </c>
      <c r="N736">
        <v>1</v>
      </c>
      <c r="O736">
        <v>1282</v>
      </c>
      <c r="P736">
        <v>1109</v>
      </c>
      <c r="Q736">
        <v>0</v>
      </c>
      <c r="R736">
        <v>1109</v>
      </c>
    </row>
    <row r="737" spans="1:18" x14ac:dyDescent="0.3">
      <c r="A737" s="5">
        <v>45960</v>
      </c>
      <c r="B737" t="s">
        <v>1035</v>
      </c>
      <c r="C737">
        <v>8</v>
      </c>
      <c r="D737">
        <v>36</v>
      </c>
      <c r="E737" s="1">
        <v>1.25</v>
      </c>
      <c r="F737" t="s">
        <v>1034</v>
      </c>
      <c r="G737">
        <v>0</v>
      </c>
      <c r="H737">
        <v>1081.4697000000001</v>
      </c>
      <c r="I737">
        <v>2.5</v>
      </c>
      <c r="J737">
        <v>1163.79</v>
      </c>
      <c r="K737">
        <v>1.9580666999707901</v>
      </c>
      <c r="L737">
        <v>1175.17</v>
      </c>
      <c r="M737" t="s">
        <v>27</v>
      </c>
      <c r="N737">
        <v>1</v>
      </c>
      <c r="O737">
        <v>1282</v>
      </c>
      <c r="P737">
        <v>1109</v>
      </c>
      <c r="Q737">
        <v>0</v>
      </c>
      <c r="R737">
        <v>1109</v>
      </c>
    </row>
    <row r="738" spans="1:18" x14ac:dyDescent="0.3">
      <c r="A738" s="5">
        <v>45960</v>
      </c>
      <c r="B738" t="s">
        <v>1036</v>
      </c>
      <c r="C738">
        <v>7</v>
      </c>
      <c r="D738">
        <v>36</v>
      </c>
      <c r="E738" s="1">
        <v>1.9652777777777777</v>
      </c>
      <c r="F738" t="s">
        <v>1037</v>
      </c>
      <c r="G738">
        <v>3</v>
      </c>
      <c r="H738">
        <v>1081.1913</v>
      </c>
      <c r="I738">
        <v>10</v>
      </c>
      <c r="J738">
        <v>1163.79</v>
      </c>
      <c r="K738">
        <v>7.8322667998831603</v>
      </c>
      <c r="L738">
        <v>618.53</v>
      </c>
      <c r="M738" t="s">
        <v>20</v>
      </c>
      <c r="N738">
        <v>1</v>
      </c>
      <c r="O738">
        <v>1362</v>
      </c>
      <c r="P738">
        <v>1189</v>
      </c>
      <c r="Q738">
        <v>0.5</v>
      </c>
      <c r="R738">
        <v>594.5</v>
      </c>
    </row>
    <row r="739" spans="1:18" x14ac:dyDescent="0.3">
      <c r="A739" s="5">
        <v>45960</v>
      </c>
      <c r="B739" t="s">
        <v>1038</v>
      </c>
      <c r="C739">
        <v>17</v>
      </c>
      <c r="D739">
        <v>36</v>
      </c>
      <c r="E739" s="1">
        <v>1.0833333333333333</v>
      </c>
      <c r="F739" t="s">
        <v>1039</v>
      </c>
      <c r="G739">
        <v>0</v>
      </c>
      <c r="H739">
        <v>1081.3091999999999</v>
      </c>
      <c r="I739">
        <v>2.5</v>
      </c>
      <c r="J739">
        <v>1163.79</v>
      </c>
      <c r="K739">
        <v>1.9580666999707901</v>
      </c>
      <c r="L739">
        <v>1175.17</v>
      </c>
      <c r="M739" t="s">
        <v>27</v>
      </c>
      <c r="N739">
        <v>1</v>
      </c>
      <c r="O739">
        <v>1281</v>
      </c>
      <c r="P739">
        <v>1108</v>
      </c>
      <c r="Q739">
        <v>0</v>
      </c>
      <c r="R739">
        <v>1108</v>
      </c>
    </row>
    <row r="740" spans="1:18" x14ac:dyDescent="0.3">
      <c r="A740" s="5">
        <v>45960</v>
      </c>
      <c r="B740" t="s">
        <v>1040</v>
      </c>
      <c r="C740">
        <v>14</v>
      </c>
      <c r="D740">
        <v>36</v>
      </c>
      <c r="E740" s="1">
        <v>1.9652777777777777</v>
      </c>
      <c r="F740" t="s">
        <v>1041</v>
      </c>
      <c r="G740">
        <v>1</v>
      </c>
      <c r="H740">
        <v>1081.0650000000001</v>
      </c>
      <c r="I740">
        <v>8.5</v>
      </c>
      <c r="J740">
        <v>1163.79</v>
      </c>
      <c r="K740">
        <v>6.6574267799006801</v>
      </c>
      <c r="L740">
        <v>1237.07</v>
      </c>
      <c r="M740" t="s">
        <v>27</v>
      </c>
      <c r="N740">
        <v>1</v>
      </c>
      <c r="O740">
        <v>1346</v>
      </c>
      <c r="P740">
        <v>1173</v>
      </c>
      <c r="Q740">
        <v>0</v>
      </c>
      <c r="R740">
        <v>1173</v>
      </c>
    </row>
    <row r="741" spans="1:18" x14ac:dyDescent="0.3">
      <c r="A741" s="5">
        <v>45960</v>
      </c>
      <c r="B741" t="s">
        <v>1042</v>
      </c>
      <c r="C741">
        <v>16</v>
      </c>
      <c r="D741">
        <v>36</v>
      </c>
      <c r="E741" s="1">
        <v>1.9652777777777777</v>
      </c>
      <c r="F741" t="s">
        <v>1043</v>
      </c>
      <c r="G741">
        <v>0</v>
      </c>
      <c r="H741">
        <v>1081.0287000000001</v>
      </c>
      <c r="I741">
        <v>2.5</v>
      </c>
      <c r="J741">
        <v>1163.79</v>
      </c>
      <c r="K741">
        <v>1.9580666999707901</v>
      </c>
      <c r="L741">
        <v>609.91</v>
      </c>
      <c r="M741" t="s">
        <v>20</v>
      </c>
      <c r="N741">
        <v>1</v>
      </c>
      <c r="O741">
        <v>1281</v>
      </c>
      <c r="P741">
        <v>1108</v>
      </c>
      <c r="Q741">
        <v>0.5</v>
      </c>
      <c r="R741">
        <v>554</v>
      </c>
    </row>
    <row r="742" spans="1:18" x14ac:dyDescent="0.3">
      <c r="A742" s="5">
        <v>45960</v>
      </c>
      <c r="B742" t="s">
        <v>1044</v>
      </c>
      <c r="C742">
        <v>35</v>
      </c>
      <c r="D742">
        <v>36</v>
      </c>
      <c r="E742" s="1">
        <v>1.9791666666666665</v>
      </c>
      <c r="F742" t="s">
        <v>1045</v>
      </c>
      <c r="G742">
        <v>2</v>
      </c>
      <c r="H742">
        <v>1080.6744000000001</v>
      </c>
      <c r="I742">
        <v>5</v>
      </c>
      <c r="J742">
        <v>1163.79</v>
      </c>
      <c r="K742">
        <v>3.9161333999415802</v>
      </c>
      <c r="L742">
        <v>609.91</v>
      </c>
      <c r="M742" t="s">
        <v>60</v>
      </c>
      <c r="N742">
        <v>1</v>
      </c>
      <c r="O742">
        <v>1308</v>
      </c>
      <c r="P742">
        <v>1135</v>
      </c>
      <c r="Q742">
        <v>0.5</v>
      </c>
      <c r="R742">
        <v>567.5</v>
      </c>
    </row>
    <row r="743" spans="1:18" x14ac:dyDescent="0.3">
      <c r="A743" s="5">
        <v>45960</v>
      </c>
      <c r="B743" t="s">
        <v>1046</v>
      </c>
      <c r="C743">
        <v>15</v>
      </c>
      <c r="D743">
        <v>36</v>
      </c>
      <c r="E743" s="1">
        <v>1.9993055555555554</v>
      </c>
      <c r="F743" t="s">
        <v>1047</v>
      </c>
      <c r="G743">
        <v>4</v>
      </c>
      <c r="H743">
        <v>1081.0841</v>
      </c>
      <c r="I743">
        <v>7</v>
      </c>
      <c r="J743">
        <v>1163.79</v>
      </c>
      <c r="K743">
        <v>5.4825867599182097</v>
      </c>
      <c r="L743">
        <v>1175.17</v>
      </c>
      <c r="M743" t="s">
        <v>27</v>
      </c>
      <c r="N743">
        <v>1</v>
      </c>
      <c r="O743">
        <v>1330</v>
      </c>
      <c r="P743">
        <v>1157</v>
      </c>
      <c r="Q743">
        <v>0</v>
      </c>
      <c r="R743">
        <v>1157</v>
      </c>
    </row>
    <row r="744" spans="1:18" x14ac:dyDescent="0.3">
      <c r="A744" s="5">
        <v>45960</v>
      </c>
      <c r="B744" t="s">
        <v>1048</v>
      </c>
      <c r="C744">
        <v>14</v>
      </c>
      <c r="D744">
        <v>36</v>
      </c>
      <c r="E744" s="1">
        <v>1.9993055555555554</v>
      </c>
      <c r="F744" t="s">
        <v>1049</v>
      </c>
      <c r="G744">
        <v>4</v>
      </c>
      <c r="H744">
        <v>1081.1018999999999</v>
      </c>
      <c r="I744">
        <v>7</v>
      </c>
      <c r="J744">
        <v>1163.79</v>
      </c>
      <c r="K744">
        <v>5.4825867599182097</v>
      </c>
      <c r="L744">
        <v>1175.17</v>
      </c>
      <c r="M744" t="s">
        <v>27</v>
      </c>
      <c r="N744">
        <v>1</v>
      </c>
      <c r="O744">
        <v>1330</v>
      </c>
      <c r="P744">
        <v>1157</v>
      </c>
      <c r="Q744">
        <v>0</v>
      </c>
      <c r="R744">
        <v>1157</v>
      </c>
    </row>
    <row r="745" spans="1:18" x14ac:dyDescent="0.3">
      <c r="A745" s="5">
        <v>45960</v>
      </c>
      <c r="B745" t="s">
        <v>1050</v>
      </c>
      <c r="C745">
        <v>4</v>
      </c>
      <c r="D745">
        <v>36</v>
      </c>
      <c r="E745" s="1">
        <v>1.4583333333333333</v>
      </c>
      <c r="F745" t="s">
        <v>1051</v>
      </c>
      <c r="G745">
        <v>0</v>
      </c>
      <c r="H745">
        <v>1081.4051999999999</v>
      </c>
      <c r="I745">
        <v>2.5</v>
      </c>
      <c r="J745">
        <v>1163.79</v>
      </c>
      <c r="K745">
        <v>1.9580666999707901</v>
      </c>
      <c r="L745">
        <v>1175.17</v>
      </c>
      <c r="M745" t="s">
        <v>27</v>
      </c>
      <c r="N745">
        <v>1</v>
      </c>
      <c r="O745">
        <v>1281</v>
      </c>
      <c r="P745">
        <v>1108</v>
      </c>
      <c r="Q745">
        <v>0</v>
      </c>
      <c r="R745">
        <v>1108</v>
      </c>
    </row>
    <row r="746" spans="1:18" x14ac:dyDescent="0.3">
      <c r="A746" s="5">
        <v>45960</v>
      </c>
      <c r="B746" t="s">
        <v>1052</v>
      </c>
      <c r="C746">
        <v>13</v>
      </c>
      <c r="D746">
        <v>36</v>
      </c>
      <c r="E746" s="1">
        <v>1.0833333333333333</v>
      </c>
      <c r="F746" t="s">
        <v>1053</v>
      </c>
      <c r="G746">
        <v>0</v>
      </c>
      <c r="H746">
        <v>1081.3795</v>
      </c>
      <c r="I746">
        <v>2.5</v>
      </c>
      <c r="J746">
        <v>1163.79</v>
      </c>
      <c r="K746">
        <v>1.9580666999707901</v>
      </c>
      <c r="L746">
        <v>618.53</v>
      </c>
      <c r="M746" t="s">
        <v>77</v>
      </c>
      <c r="N746">
        <v>1</v>
      </c>
      <c r="O746">
        <v>1281</v>
      </c>
      <c r="P746">
        <v>1108</v>
      </c>
      <c r="Q746">
        <v>0.5</v>
      </c>
      <c r="R746">
        <v>554</v>
      </c>
    </row>
    <row r="747" spans="1:18" x14ac:dyDescent="0.3">
      <c r="A747" s="5">
        <v>45960</v>
      </c>
      <c r="B747" t="s">
        <v>1054</v>
      </c>
      <c r="C747">
        <v>11</v>
      </c>
      <c r="D747">
        <v>36</v>
      </c>
      <c r="E747" s="1">
        <v>1.0833333333333333</v>
      </c>
      <c r="F747" t="s">
        <v>1055</v>
      </c>
      <c r="G747">
        <v>4</v>
      </c>
      <c r="H747">
        <v>1081.5473999999999</v>
      </c>
      <c r="I747">
        <v>7</v>
      </c>
      <c r="J747">
        <v>1163.79</v>
      </c>
      <c r="K747">
        <v>5.4825867599182097</v>
      </c>
      <c r="L747">
        <v>1175.17</v>
      </c>
      <c r="M747" t="s">
        <v>27</v>
      </c>
      <c r="N747">
        <v>1</v>
      </c>
      <c r="O747">
        <v>1330</v>
      </c>
      <c r="P747">
        <v>1157</v>
      </c>
      <c r="Q747">
        <v>0</v>
      </c>
      <c r="R747">
        <v>1157</v>
      </c>
    </row>
    <row r="748" spans="1:18" x14ac:dyDescent="0.3">
      <c r="A748" s="5">
        <v>45960</v>
      </c>
      <c r="B748" t="s">
        <v>1054</v>
      </c>
      <c r="C748">
        <v>11</v>
      </c>
      <c r="D748">
        <v>36</v>
      </c>
      <c r="E748" s="1">
        <v>1.0833333333333333</v>
      </c>
      <c r="F748" t="s">
        <v>1055</v>
      </c>
      <c r="G748">
        <v>4</v>
      </c>
      <c r="H748">
        <v>1081.5473999999999</v>
      </c>
      <c r="I748">
        <v>7</v>
      </c>
      <c r="J748">
        <v>1163.79</v>
      </c>
      <c r="K748">
        <v>5.4825867599182097</v>
      </c>
      <c r="L748">
        <v>1175.17</v>
      </c>
      <c r="M748" t="s">
        <v>27</v>
      </c>
      <c r="N748">
        <v>1</v>
      </c>
      <c r="O748">
        <v>1330</v>
      </c>
      <c r="P748">
        <v>1157</v>
      </c>
      <c r="Q748">
        <v>0</v>
      </c>
      <c r="R748">
        <v>1157</v>
      </c>
    </row>
    <row r="749" spans="1:18" x14ac:dyDescent="0.3">
      <c r="A749" s="5">
        <v>45960</v>
      </c>
      <c r="B749" t="s">
        <v>1056</v>
      </c>
      <c r="C749">
        <v>12</v>
      </c>
      <c r="D749">
        <v>36</v>
      </c>
      <c r="E749" s="1">
        <v>1.0833333333333333</v>
      </c>
      <c r="F749" t="s">
        <v>1055</v>
      </c>
      <c r="G749">
        <v>4</v>
      </c>
      <c r="H749">
        <v>1081.5295000000001</v>
      </c>
      <c r="I749">
        <v>7</v>
      </c>
      <c r="J749">
        <v>1163.79</v>
      </c>
      <c r="K749">
        <v>5.4825867599182097</v>
      </c>
      <c r="L749">
        <v>1175.17</v>
      </c>
      <c r="M749" t="s">
        <v>27</v>
      </c>
      <c r="N749">
        <v>1</v>
      </c>
      <c r="O749">
        <v>1330</v>
      </c>
      <c r="P749">
        <v>1157</v>
      </c>
      <c r="Q749">
        <v>0</v>
      </c>
      <c r="R749">
        <v>1157</v>
      </c>
    </row>
    <row r="750" spans="1:18" x14ac:dyDescent="0.3">
      <c r="A750" s="5">
        <v>45960</v>
      </c>
      <c r="B750" t="s">
        <v>1056</v>
      </c>
      <c r="C750">
        <v>12</v>
      </c>
      <c r="D750">
        <v>36</v>
      </c>
      <c r="E750" s="1">
        <v>1.0833333333333333</v>
      </c>
      <c r="F750" t="s">
        <v>1055</v>
      </c>
      <c r="G750">
        <v>4</v>
      </c>
      <c r="H750">
        <v>1081.5295000000001</v>
      </c>
      <c r="I750">
        <v>7</v>
      </c>
      <c r="J750">
        <v>1163.79</v>
      </c>
      <c r="K750">
        <v>5.4825867599182097</v>
      </c>
      <c r="L750">
        <v>1175.17</v>
      </c>
      <c r="M750" t="s">
        <v>27</v>
      </c>
      <c r="N750">
        <v>1</v>
      </c>
      <c r="O750">
        <v>1330</v>
      </c>
      <c r="P750">
        <v>1157</v>
      </c>
      <c r="Q750">
        <v>0</v>
      </c>
      <c r="R750">
        <v>1157</v>
      </c>
    </row>
    <row r="751" spans="1:18" x14ac:dyDescent="0.3">
      <c r="A751" s="5">
        <v>45960</v>
      </c>
      <c r="B751" t="s">
        <v>1057</v>
      </c>
      <c r="C751">
        <v>19</v>
      </c>
      <c r="D751">
        <v>36</v>
      </c>
      <c r="E751" s="1">
        <v>1.0833333333333333</v>
      </c>
      <c r="F751" t="s">
        <v>1058</v>
      </c>
      <c r="G751">
        <v>2</v>
      </c>
      <c r="H751">
        <v>1081.2592999999999</v>
      </c>
      <c r="I751">
        <v>5</v>
      </c>
      <c r="J751">
        <v>1163.79</v>
      </c>
      <c r="K751">
        <v>3.9161333999415802</v>
      </c>
      <c r="L751">
        <v>618.53</v>
      </c>
      <c r="M751" t="s">
        <v>60</v>
      </c>
      <c r="N751">
        <v>1</v>
      </c>
      <c r="O751">
        <v>1308</v>
      </c>
      <c r="P751">
        <v>1135</v>
      </c>
      <c r="Q751">
        <v>0.5</v>
      </c>
      <c r="R751">
        <v>567.5</v>
      </c>
    </row>
    <row r="752" spans="1:18" x14ac:dyDescent="0.3">
      <c r="A752" s="5">
        <v>45960</v>
      </c>
      <c r="B752" t="s">
        <v>1059</v>
      </c>
      <c r="C752">
        <v>20</v>
      </c>
      <c r="D752">
        <v>36</v>
      </c>
      <c r="E752" s="1">
        <v>1.0833333333333333</v>
      </c>
      <c r="F752" t="s">
        <v>1060</v>
      </c>
      <c r="G752">
        <v>3</v>
      </c>
      <c r="H752">
        <v>1081.2411</v>
      </c>
      <c r="I752">
        <v>10</v>
      </c>
      <c r="J752">
        <v>1163.79</v>
      </c>
      <c r="K752">
        <v>7.8322667998831603</v>
      </c>
      <c r="L752">
        <v>618.53</v>
      </c>
      <c r="M752" t="s">
        <v>20</v>
      </c>
      <c r="N752">
        <v>1</v>
      </c>
      <c r="O752">
        <v>1362</v>
      </c>
      <c r="P752">
        <v>1189</v>
      </c>
      <c r="Q752">
        <v>0.5</v>
      </c>
      <c r="R752">
        <v>594.5</v>
      </c>
    </row>
    <row r="753" spans="1:18" x14ac:dyDescent="0.3">
      <c r="A753" s="5">
        <v>45960</v>
      </c>
      <c r="B753" t="s">
        <v>1061</v>
      </c>
      <c r="C753">
        <v>21</v>
      </c>
      <c r="D753">
        <v>36</v>
      </c>
      <c r="E753" s="1">
        <v>1.0833333333333333</v>
      </c>
      <c r="F753" t="s">
        <v>1062</v>
      </c>
      <c r="G753">
        <v>4</v>
      </c>
      <c r="H753">
        <v>1081.2234000000001</v>
      </c>
      <c r="I753">
        <v>7</v>
      </c>
      <c r="J753">
        <v>1163.79</v>
      </c>
      <c r="K753">
        <v>5.4825867599182097</v>
      </c>
      <c r="L753">
        <v>1237.07</v>
      </c>
      <c r="M753" t="s">
        <v>27</v>
      </c>
      <c r="N753">
        <v>1</v>
      </c>
      <c r="O753">
        <v>1330</v>
      </c>
      <c r="P753">
        <v>1157</v>
      </c>
      <c r="Q753">
        <v>0</v>
      </c>
      <c r="R753">
        <v>1157</v>
      </c>
    </row>
    <row r="754" spans="1:18" x14ac:dyDescent="0.3">
      <c r="A754" s="5">
        <v>45960</v>
      </c>
      <c r="B754" t="s">
        <v>1063</v>
      </c>
      <c r="C754">
        <v>30</v>
      </c>
      <c r="D754">
        <v>36</v>
      </c>
      <c r="E754" s="1">
        <v>1.9993055555555554</v>
      </c>
      <c r="F754" t="s">
        <v>1064</v>
      </c>
      <c r="G754">
        <v>1</v>
      </c>
      <c r="H754">
        <v>1080.6578</v>
      </c>
      <c r="I754">
        <v>8.5</v>
      </c>
      <c r="J754">
        <v>1163.79</v>
      </c>
      <c r="K754">
        <v>6.6574267799006801</v>
      </c>
      <c r="L754">
        <v>1237.07</v>
      </c>
      <c r="M754" t="s">
        <v>27</v>
      </c>
      <c r="N754">
        <v>1</v>
      </c>
      <c r="O754">
        <v>1345</v>
      </c>
      <c r="P754">
        <v>1173</v>
      </c>
      <c r="Q754">
        <v>0</v>
      </c>
      <c r="R754">
        <v>1173</v>
      </c>
    </row>
    <row r="755" spans="1:18" x14ac:dyDescent="0.3">
      <c r="A755" s="5">
        <v>45960</v>
      </c>
      <c r="B755" t="s">
        <v>1065</v>
      </c>
      <c r="C755">
        <v>33</v>
      </c>
      <c r="D755">
        <v>36</v>
      </c>
      <c r="E755" s="1">
        <v>1.9993055555555554</v>
      </c>
      <c r="F755" t="s">
        <v>1066</v>
      </c>
      <c r="G755">
        <v>1</v>
      </c>
      <c r="H755">
        <v>1080.6041</v>
      </c>
      <c r="I755">
        <v>8.5</v>
      </c>
      <c r="J755">
        <v>1163.79</v>
      </c>
      <c r="K755">
        <v>6.6574267799006801</v>
      </c>
      <c r="L755">
        <v>1237.07</v>
      </c>
      <c r="M755" t="s">
        <v>27</v>
      </c>
      <c r="N755">
        <v>1</v>
      </c>
      <c r="O755">
        <v>1345</v>
      </c>
      <c r="P755">
        <v>1172</v>
      </c>
      <c r="Q755">
        <v>0</v>
      </c>
      <c r="R755">
        <v>1172</v>
      </c>
    </row>
    <row r="756" spans="1:18" x14ac:dyDescent="0.3">
      <c r="A756" s="5">
        <v>45961</v>
      </c>
      <c r="B756" t="s">
        <v>1067</v>
      </c>
      <c r="C756">
        <v>32</v>
      </c>
      <c r="D756">
        <v>36</v>
      </c>
      <c r="E756" s="1">
        <v>1.0833333333333333</v>
      </c>
      <c r="F756" t="s">
        <v>1068</v>
      </c>
      <c r="G756">
        <v>3</v>
      </c>
      <c r="H756">
        <v>1080.8921</v>
      </c>
      <c r="I756">
        <v>10</v>
      </c>
      <c r="J756">
        <v>1163.79</v>
      </c>
      <c r="K756">
        <v>7.8322667998831603</v>
      </c>
      <c r="L756">
        <v>618.53</v>
      </c>
      <c r="M756" t="s">
        <v>20</v>
      </c>
      <c r="N756">
        <v>1</v>
      </c>
      <c r="O756">
        <v>1362</v>
      </c>
      <c r="P756">
        <v>1189</v>
      </c>
      <c r="Q756">
        <v>0.5</v>
      </c>
      <c r="R756">
        <v>594.5</v>
      </c>
    </row>
    <row r="757" spans="1:18" x14ac:dyDescent="0.3">
      <c r="A757" s="5">
        <v>45961</v>
      </c>
      <c r="B757" t="s">
        <v>1069</v>
      </c>
      <c r="C757">
        <v>16</v>
      </c>
      <c r="D757">
        <v>36</v>
      </c>
      <c r="E757" s="1">
        <v>1.0833333333333333</v>
      </c>
      <c r="F757" t="s">
        <v>1070</v>
      </c>
      <c r="G757">
        <v>4</v>
      </c>
      <c r="H757">
        <v>1081.3124</v>
      </c>
      <c r="I757">
        <v>7</v>
      </c>
      <c r="J757">
        <v>1163.79</v>
      </c>
      <c r="K757">
        <v>5.4825867599182097</v>
      </c>
      <c r="L757">
        <v>1237.07</v>
      </c>
      <c r="M757" t="s">
        <v>27</v>
      </c>
      <c r="N757">
        <v>1</v>
      </c>
      <c r="O757">
        <v>1330</v>
      </c>
      <c r="P757">
        <v>1157</v>
      </c>
      <c r="Q757">
        <v>0</v>
      </c>
      <c r="R757">
        <v>1157</v>
      </c>
    </row>
    <row r="758" spans="1:18" x14ac:dyDescent="0.3">
      <c r="A758" s="5">
        <v>45961</v>
      </c>
      <c r="B758" t="s">
        <v>1071</v>
      </c>
      <c r="C758">
        <v>23</v>
      </c>
      <c r="D758">
        <v>36</v>
      </c>
      <c r="E758" s="1">
        <v>1.0833333333333333</v>
      </c>
      <c r="F758" t="s">
        <v>1072</v>
      </c>
      <c r="G758">
        <v>4</v>
      </c>
      <c r="H758">
        <v>1081.0531000000001</v>
      </c>
      <c r="I758">
        <v>7</v>
      </c>
      <c r="J758">
        <v>1163.79</v>
      </c>
      <c r="K758">
        <v>5.4825867599182097</v>
      </c>
      <c r="L758">
        <v>1237.07</v>
      </c>
      <c r="M758" t="s">
        <v>27</v>
      </c>
      <c r="N758">
        <v>1</v>
      </c>
      <c r="O758">
        <v>1330</v>
      </c>
      <c r="P758">
        <v>1157</v>
      </c>
      <c r="Q758">
        <v>0</v>
      </c>
      <c r="R758">
        <v>1157</v>
      </c>
    </row>
    <row r="759" spans="1:18" x14ac:dyDescent="0.3">
      <c r="A759" s="5">
        <v>45961</v>
      </c>
      <c r="B759" t="s">
        <v>1073</v>
      </c>
      <c r="C759">
        <v>26</v>
      </c>
      <c r="D759">
        <v>36</v>
      </c>
      <c r="E759" s="1">
        <v>1.0833333333333333</v>
      </c>
      <c r="F759" t="s">
        <v>1074</v>
      </c>
      <c r="G759">
        <v>1</v>
      </c>
      <c r="H759">
        <v>1080.9992999999999</v>
      </c>
      <c r="I759">
        <v>8.5</v>
      </c>
      <c r="J759">
        <v>1163.79</v>
      </c>
      <c r="K759">
        <v>6.6574267799006801</v>
      </c>
      <c r="L759">
        <v>1237.07</v>
      </c>
      <c r="M759" t="s">
        <v>27</v>
      </c>
      <c r="N759">
        <v>1</v>
      </c>
      <c r="O759">
        <v>1346</v>
      </c>
      <c r="P759">
        <v>1173</v>
      </c>
      <c r="Q759">
        <v>0</v>
      </c>
      <c r="R759">
        <v>1173</v>
      </c>
    </row>
    <row r="760" spans="1:18" x14ac:dyDescent="0.3">
      <c r="A760" s="5">
        <v>45961</v>
      </c>
      <c r="B760" t="s">
        <v>1075</v>
      </c>
      <c r="C760">
        <v>27</v>
      </c>
      <c r="D760">
        <v>36</v>
      </c>
      <c r="E760" s="1">
        <v>1.0833333333333333</v>
      </c>
      <c r="F760" t="s">
        <v>1076</v>
      </c>
      <c r="G760">
        <v>4</v>
      </c>
      <c r="H760">
        <v>1080.9811999999999</v>
      </c>
      <c r="I760">
        <v>7</v>
      </c>
      <c r="J760">
        <v>1163.79</v>
      </c>
      <c r="K760">
        <v>5.4825867599182097</v>
      </c>
      <c r="L760">
        <v>1237.07</v>
      </c>
      <c r="M760" t="s">
        <v>27</v>
      </c>
      <c r="N760">
        <v>1</v>
      </c>
      <c r="O760">
        <v>1330</v>
      </c>
      <c r="P760">
        <v>1157</v>
      </c>
      <c r="Q760">
        <v>0</v>
      </c>
      <c r="R760">
        <v>1157</v>
      </c>
    </row>
    <row r="761" spans="1:18" x14ac:dyDescent="0.3">
      <c r="A761" s="5">
        <v>45961</v>
      </c>
      <c r="B761" t="s">
        <v>1077</v>
      </c>
      <c r="C761">
        <v>7</v>
      </c>
      <c r="D761">
        <v>36</v>
      </c>
      <c r="E761" s="1">
        <v>1.0833333333333333</v>
      </c>
      <c r="F761" t="s">
        <v>1078</v>
      </c>
      <c r="G761">
        <v>4</v>
      </c>
      <c r="H761">
        <v>1081.4730999999999</v>
      </c>
      <c r="I761">
        <v>7</v>
      </c>
      <c r="J761">
        <v>1163.79</v>
      </c>
      <c r="K761">
        <v>5.4825867599182097</v>
      </c>
      <c r="L761">
        <v>1237.07</v>
      </c>
      <c r="M761" t="s">
        <v>27</v>
      </c>
      <c r="N761">
        <v>1</v>
      </c>
      <c r="O761">
        <v>1330</v>
      </c>
      <c r="P761">
        <v>1157</v>
      </c>
      <c r="Q761">
        <v>0</v>
      </c>
      <c r="R761">
        <v>1157</v>
      </c>
    </row>
    <row r="762" spans="1:18" x14ac:dyDescent="0.3">
      <c r="A762" s="5">
        <v>45961</v>
      </c>
      <c r="B762" t="s">
        <v>1079</v>
      </c>
      <c r="C762">
        <v>5</v>
      </c>
      <c r="D762">
        <v>36</v>
      </c>
      <c r="E762" s="1">
        <v>1.0833333333333333</v>
      </c>
      <c r="F762" t="s">
        <v>1080</v>
      </c>
      <c r="G762">
        <v>4</v>
      </c>
      <c r="H762">
        <v>1081.5092999999999</v>
      </c>
      <c r="I762">
        <v>7</v>
      </c>
      <c r="J762">
        <v>1163.79</v>
      </c>
      <c r="K762">
        <v>5.4825867599182097</v>
      </c>
      <c r="L762">
        <v>1237.07</v>
      </c>
      <c r="M762" t="s">
        <v>27</v>
      </c>
      <c r="N762">
        <v>1</v>
      </c>
      <c r="O762">
        <v>1330</v>
      </c>
      <c r="P762">
        <v>1157</v>
      </c>
      <c r="Q762">
        <v>0</v>
      </c>
      <c r="R762">
        <v>1157</v>
      </c>
    </row>
    <row r="763" spans="1:18" x14ac:dyDescent="0.3">
      <c r="A763" s="5">
        <v>45961</v>
      </c>
      <c r="B763" t="s">
        <v>1081</v>
      </c>
      <c r="C763">
        <v>24</v>
      </c>
      <c r="D763">
        <v>36</v>
      </c>
      <c r="E763" s="1">
        <v>1.0833333333333333</v>
      </c>
      <c r="F763" t="s">
        <v>1082</v>
      </c>
      <c r="G763">
        <v>0</v>
      </c>
      <c r="H763">
        <v>1081.0485000000001</v>
      </c>
      <c r="I763">
        <v>2.5</v>
      </c>
      <c r="J763">
        <v>1163.79</v>
      </c>
      <c r="K763">
        <v>1.9580666999707901</v>
      </c>
      <c r="L763">
        <v>1175.17</v>
      </c>
      <c r="M763" t="s">
        <v>27</v>
      </c>
      <c r="N763">
        <v>1</v>
      </c>
      <c r="O763">
        <v>1281</v>
      </c>
      <c r="P763">
        <v>1108</v>
      </c>
      <c r="Q763">
        <v>0</v>
      </c>
      <c r="R763">
        <v>1108</v>
      </c>
    </row>
    <row r="764" spans="1:18" x14ac:dyDescent="0.3">
      <c r="A764" s="5">
        <v>45961</v>
      </c>
      <c r="B764" t="s">
        <v>1046</v>
      </c>
      <c r="C764">
        <v>14</v>
      </c>
      <c r="D764">
        <v>36</v>
      </c>
      <c r="E764" s="1">
        <v>1.9993055555555554</v>
      </c>
      <c r="F764" t="s">
        <v>1047</v>
      </c>
      <c r="G764">
        <v>4</v>
      </c>
      <c r="H764">
        <v>1081.0437999999999</v>
      </c>
      <c r="I764">
        <v>7</v>
      </c>
      <c r="J764">
        <v>1163.79</v>
      </c>
      <c r="K764">
        <v>5.4825867599182097</v>
      </c>
      <c r="L764">
        <v>1175.17</v>
      </c>
      <c r="M764" t="s">
        <v>27</v>
      </c>
      <c r="N764">
        <v>1</v>
      </c>
      <c r="O764">
        <v>1330</v>
      </c>
      <c r="P764">
        <v>1157</v>
      </c>
      <c r="Q764">
        <v>0</v>
      </c>
      <c r="R764">
        <v>1157</v>
      </c>
    </row>
    <row r="765" spans="1:18" x14ac:dyDescent="0.3">
      <c r="A765" s="5">
        <v>45961</v>
      </c>
      <c r="B765" t="s">
        <v>1048</v>
      </c>
      <c r="C765">
        <v>15</v>
      </c>
      <c r="D765">
        <v>36</v>
      </c>
      <c r="E765" s="1">
        <v>1.9993055555555554</v>
      </c>
      <c r="F765" t="s">
        <v>1049</v>
      </c>
      <c r="G765">
        <v>4</v>
      </c>
      <c r="H765">
        <v>1081.0259000000001</v>
      </c>
      <c r="I765">
        <v>7</v>
      </c>
      <c r="J765">
        <v>1163.79</v>
      </c>
      <c r="K765">
        <v>5.4825867599182097</v>
      </c>
      <c r="L765">
        <v>1175.17</v>
      </c>
      <c r="M765" t="s">
        <v>27</v>
      </c>
      <c r="N765">
        <v>1</v>
      </c>
      <c r="O765">
        <v>1330</v>
      </c>
      <c r="P765">
        <v>1157</v>
      </c>
      <c r="Q765">
        <v>0</v>
      </c>
      <c r="R765">
        <v>1157</v>
      </c>
    </row>
    <row r="766" spans="1:18" x14ac:dyDescent="0.3">
      <c r="A766" s="5">
        <v>45961</v>
      </c>
      <c r="B766" t="s">
        <v>1083</v>
      </c>
      <c r="C766">
        <v>15</v>
      </c>
      <c r="D766">
        <v>36</v>
      </c>
      <c r="E766" s="1">
        <v>1.0833333333333333</v>
      </c>
      <c r="F766" t="s">
        <v>1084</v>
      </c>
      <c r="G766">
        <v>5</v>
      </c>
      <c r="H766">
        <v>1081.3422</v>
      </c>
      <c r="I766">
        <v>0</v>
      </c>
      <c r="J766">
        <v>1163.79</v>
      </c>
      <c r="K766">
        <v>0</v>
      </c>
      <c r="L766">
        <v>1175.17</v>
      </c>
      <c r="M766" t="s">
        <v>27</v>
      </c>
      <c r="N766">
        <v>1</v>
      </c>
      <c r="O766">
        <v>1254</v>
      </c>
      <c r="P766">
        <v>1081</v>
      </c>
      <c r="Q766">
        <v>0</v>
      </c>
      <c r="R766">
        <v>1081</v>
      </c>
    </row>
    <row r="767" spans="1:18" x14ac:dyDescent="0.3">
      <c r="A767" s="5">
        <v>45961</v>
      </c>
      <c r="B767" t="s">
        <v>1083</v>
      </c>
      <c r="C767">
        <v>15</v>
      </c>
      <c r="D767">
        <v>36</v>
      </c>
      <c r="E767" s="1">
        <v>1.0833333333333333</v>
      </c>
      <c r="F767" t="s">
        <v>1084</v>
      </c>
      <c r="G767">
        <v>5</v>
      </c>
      <c r="H767">
        <v>1081.3422</v>
      </c>
      <c r="I767">
        <v>0</v>
      </c>
      <c r="J767">
        <v>1163.79</v>
      </c>
      <c r="K767">
        <v>0</v>
      </c>
      <c r="L767">
        <v>1175.17</v>
      </c>
      <c r="M767" t="s">
        <v>27</v>
      </c>
      <c r="N767">
        <v>1</v>
      </c>
      <c r="O767">
        <v>1254</v>
      </c>
      <c r="P767">
        <v>1081</v>
      </c>
      <c r="Q767">
        <v>0</v>
      </c>
      <c r="R767">
        <v>1081</v>
      </c>
    </row>
    <row r="768" spans="1:18" x14ac:dyDescent="0.3">
      <c r="A768" s="5">
        <v>45961</v>
      </c>
      <c r="B768" t="s">
        <v>1085</v>
      </c>
      <c r="C768">
        <v>14</v>
      </c>
      <c r="D768">
        <v>36</v>
      </c>
      <c r="E768" s="1">
        <v>1.0833333333333333</v>
      </c>
      <c r="F768" t="s">
        <v>1084</v>
      </c>
      <c r="G768">
        <v>5</v>
      </c>
      <c r="H768">
        <v>1081.3599999999999</v>
      </c>
      <c r="I768">
        <v>0</v>
      </c>
      <c r="J768">
        <v>1163.79</v>
      </c>
      <c r="K768">
        <v>0</v>
      </c>
      <c r="L768">
        <v>1175.17</v>
      </c>
      <c r="M768" t="s">
        <v>27</v>
      </c>
      <c r="N768">
        <v>1</v>
      </c>
      <c r="O768">
        <v>1254</v>
      </c>
      <c r="P768">
        <v>1081</v>
      </c>
      <c r="Q768">
        <v>0</v>
      </c>
      <c r="R768">
        <v>1081</v>
      </c>
    </row>
    <row r="769" spans="1:18" x14ac:dyDescent="0.3">
      <c r="A769" s="5">
        <v>45961</v>
      </c>
      <c r="B769" t="s">
        <v>1085</v>
      </c>
      <c r="C769">
        <v>14</v>
      </c>
      <c r="D769">
        <v>36</v>
      </c>
      <c r="E769" s="1">
        <v>1.0833333333333333</v>
      </c>
      <c r="F769" t="s">
        <v>1084</v>
      </c>
      <c r="G769">
        <v>5</v>
      </c>
      <c r="H769">
        <v>1081.3599999999999</v>
      </c>
      <c r="I769">
        <v>0</v>
      </c>
      <c r="J769">
        <v>1163.79</v>
      </c>
      <c r="K769">
        <v>0</v>
      </c>
      <c r="L769">
        <v>1175.17</v>
      </c>
      <c r="M769" t="s">
        <v>27</v>
      </c>
      <c r="N769">
        <v>1</v>
      </c>
      <c r="O769">
        <v>1254</v>
      </c>
      <c r="P769">
        <v>1081</v>
      </c>
      <c r="Q769">
        <v>0</v>
      </c>
      <c r="R769">
        <v>1081</v>
      </c>
    </row>
    <row r="770" spans="1:18" x14ac:dyDescent="0.3">
      <c r="A770" s="5">
        <v>45961</v>
      </c>
      <c r="B770" t="s">
        <v>1086</v>
      </c>
      <c r="C770">
        <v>4</v>
      </c>
      <c r="D770">
        <v>36</v>
      </c>
      <c r="E770" s="1">
        <v>1.25</v>
      </c>
      <c r="F770" t="s">
        <v>1087</v>
      </c>
      <c r="G770">
        <v>1</v>
      </c>
      <c r="H770">
        <v>1081.3914</v>
      </c>
      <c r="I770">
        <v>8.5</v>
      </c>
      <c r="J770">
        <v>1163.79</v>
      </c>
      <c r="K770">
        <v>6.6574267799006801</v>
      </c>
      <c r="L770">
        <v>1237.07</v>
      </c>
      <c r="M770" t="s">
        <v>27</v>
      </c>
      <c r="N770">
        <v>1</v>
      </c>
      <c r="O770">
        <v>1346</v>
      </c>
      <c r="P770">
        <v>1173</v>
      </c>
      <c r="Q770">
        <v>0</v>
      </c>
      <c r="R770">
        <v>1173</v>
      </c>
    </row>
    <row r="771" spans="1:18" x14ac:dyDescent="0.3">
      <c r="A771" s="5">
        <v>45961</v>
      </c>
      <c r="B771" t="s">
        <v>1088</v>
      </c>
      <c r="C771">
        <v>1</v>
      </c>
      <c r="D771">
        <v>36</v>
      </c>
      <c r="E771" s="1">
        <v>1.25</v>
      </c>
      <c r="F771" t="s">
        <v>1089</v>
      </c>
      <c r="G771">
        <v>1</v>
      </c>
      <c r="H771">
        <v>1081.5762</v>
      </c>
      <c r="I771">
        <v>8.5</v>
      </c>
      <c r="J771">
        <v>1163.79</v>
      </c>
      <c r="K771">
        <v>6.6574267799006801</v>
      </c>
      <c r="L771">
        <v>1237.07</v>
      </c>
      <c r="M771" t="s">
        <v>27</v>
      </c>
      <c r="N771">
        <v>1</v>
      </c>
      <c r="O771">
        <v>1347</v>
      </c>
      <c r="P771">
        <v>1174</v>
      </c>
      <c r="Q771">
        <v>0</v>
      </c>
      <c r="R771">
        <v>1174</v>
      </c>
    </row>
    <row r="772" spans="1:18" x14ac:dyDescent="0.3">
      <c r="A772" s="5">
        <v>45961</v>
      </c>
      <c r="B772" t="s">
        <v>1090</v>
      </c>
      <c r="C772">
        <v>7</v>
      </c>
      <c r="D772">
        <v>36</v>
      </c>
      <c r="E772" s="1">
        <v>1.25</v>
      </c>
      <c r="F772" t="s">
        <v>1091</v>
      </c>
      <c r="G772">
        <v>1</v>
      </c>
      <c r="H772">
        <v>1081.4680000000001</v>
      </c>
      <c r="I772">
        <v>8.5</v>
      </c>
      <c r="J772">
        <v>1163.79</v>
      </c>
      <c r="K772">
        <v>6.6574267799006801</v>
      </c>
      <c r="L772">
        <v>1237.07</v>
      </c>
      <c r="M772" t="s">
        <v>27</v>
      </c>
      <c r="N772">
        <v>1</v>
      </c>
      <c r="O772">
        <v>1346</v>
      </c>
      <c r="P772">
        <v>1173</v>
      </c>
      <c r="Q772">
        <v>0</v>
      </c>
      <c r="R772">
        <v>1173</v>
      </c>
    </row>
    <row r="773" spans="1:18" x14ac:dyDescent="0.3">
      <c r="A773" s="5">
        <v>45961</v>
      </c>
      <c r="B773" t="s">
        <v>1092</v>
      </c>
      <c r="C773">
        <v>18</v>
      </c>
      <c r="D773">
        <v>36</v>
      </c>
      <c r="E773" s="1">
        <v>1.25</v>
      </c>
      <c r="F773" t="s">
        <v>1093</v>
      </c>
      <c r="G773">
        <v>1</v>
      </c>
      <c r="H773">
        <v>1081.2705000000001</v>
      </c>
      <c r="I773">
        <v>8.5</v>
      </c>
      <c r="J773">
        <v>1163.79</v>
      </c>
      <c r="K773">
        <v>6.6574267799006801</v>
      </c>
      <c r="L773">
        <v>1237.07</v>
      </c>
      <c r="M773" t="s">
        <v>27</v>
      </c>
      <c r="N773">
        <v>1</v>
      </c>
      <c r="O773">
        <v>1346</v>
      </c>
      <c r="P773">
        <v>1173</v>
      </c>
      <c r="Q773">
        <v>0</v>
      </c>
      <c r="R773">
        <v>1173</v>
      </c>
    </row>
    <row r="774" spans="1:18" x14ac:dyDescent="0.3">
      <c r="A774" s="5">
        <v>45961</v>
      </c>
      <c r="B774" t="s">
        <v>1094</v>
      </c>
      <c r="C774">
        <v>36</v>
      </c>
      <c r="D774">
        <v>36</v>
      </c>
      <c r="E774" s="1">
        <v>1.25</v>
      </c>
      <c r="F774" t="s">
        <v>1095</v>
      </c>
      <c r="G774">
        <v>1</v>
      </c>
      <c r="H774">
        <v>1080.8142</v>
      </c>
      <c r="I774">
        <v>8.5</v>
      </c>
      <c r="J774">
        <v>1163.79</v>
      </c>
      <c r="K774">
        <v>6.6574267799006801</v>
      </c>
      <c r="L774">
        <v>1237.07</v>
      </c>
      <c r="M774" t="s">
        <v>27</v>
      </c>
      <c r="N774">
        <v>1</v>
      </c>
      <c r="O774">
        <v>1346</v>
      </c>
      <c r="P774">
        <v>1173</v>
      </c>
      <c r="Q774">
        <v>0</v>
      </c>
      <c r="R774">
        <v>1173</v>
      </c>
    </row>
    <row r="775" spans="1:18" x14ac:dyDescent="0.3">
      <c r="A775" s="5">
        <v>45961</v>
      </c>
      <c r="B775" t="s">
        <v>1096</v>
      </c>
      <c r="C775">
        <v>5</v>
      </c>
      <c r="D775">
        <v>36</v>
      </c>
      <c r="E775" s="1">
        <v>1.25</v>
      </c>
      <c r="F775" t="s">
        <v>1097</v>
      </c>
      <c r="G775">
        <v>1</v>
      </c>
      <c r="H775">
        <v>1081.5043000000001</v>
      </c>
      <c r="I775">
        <v>8.5</v>
      </c>
      <c r="J775">
        <v>1163.79</v>
      </c>
      <c r="K775">
        <v>6.6574267799006801</v>
      </c>
      <c r="L775">
        <v>1237.07</v>
      </c>
      <c r="M775" t="s">
        <v>27</v>
      </c>
      <c r="N775">
        <v>1</v>
      </c>
      <c r="O775">
        <v>1346</v>
      </c>
      <c r="P775">
        <v>1173</v>
      </c>
      <c r="Q775">
        <v>0</v>
      </c>
      <c r="R775">
        <v>1173</v>
      </c>
    </row>
    <row r="776" spans="1:18" x14ac:dyDescent="0.3">
      <c r="A776" s="5">
        <v>45961</v>
      </c>
      <c r="B776" t="s">
        <v>1098</v>
      </c>
      <c r="C776">
        <v>6</v>
      </c>
      <c r="D776">
        <v>36</v>
      </c>
      <c r="E776" s="1">
        <v>1.25</v>
      </c>
      <c r="F776" t="s">
        <v>1099</v>
      </c>
      <c r="G776">
        <v>1</v>
      </c>
      <c r="H776">
        <v>1081.4861000000001</v>
      </c>
      <c r="I776">
        <v>8.5</v>
      </c>
      <c r="J776">
        <v>1163.79</v>
      </c>
      <c r="K776">
        <v>6.6574267799006801</v>
      </c>
      <c r="L776">
        <v>1237.07</v>
      </c>
      <c r="M776" t="s">
        <v>27</v>
      </c>
      <c r="N776">
        <v>1</v>
      </c>
      <c r="O776">
        <v>1346</v>
      </c>
      <c r="P776">
        <v>1173</v>
      </c>
      <c r="Q776">
        <v>0</v>
      </c>
      <c r="R776">
        <v>1173</v>
      </c>
    </row>
    <row r="777" spans="1:18" x14ac:dyDescent="0.3">
      <c r="A777" s="5">
        <v>45961</v>
      </c>
      <c r="B777" t="s">
        <v>1100</v>
      </c>
      <c r="C777">
        <v>25</v>
      </c>
      <c r="D777">
        <v>36</v>
      </c>
      <c r="E777" s="1">
        <v>1.25</v>
      </c>
      <c r="F777" t="s">
        <v>1101</v>
      </c>
      <c r="G777">
        <v>4</v>
      </c>
      <c r="H777">
        <v>1078.9806000000001</v>
      </c>
      <c r="I777">
        <v>7</v>
      </c>
      <c r="J777">
        <v>1163.79</v>
      </c>
      <c r="K777">
        <v>5.4825867599182097</v>
      </c>
      <c r="L777">
        <v>1219.83</v>
      </c>
      <c r="M777" t="s">
        <v>27</v>
      </c>
      <c r="N777">
        <v>1</v>
      </c>
      <c r="O777">
        <v>1327</v>
      </c>
      <c r="P777">
        <v>1155</v>
      </c>
      <c r="Q777">
        <v>0</v>
      </c>
      <c r="R777">
        <v>1155</v>
      </c>
    </row>
    <row r="778" spans="1:18" x14ac:dyDescent="0.3">
      <c r="A778" s="5">
        <v>45961</v>
      </c>
      <c r="B778" t="s">
        <v>1102</v>
      </c>
      <c r="C778">
        <v>30</v>
      </c>
      <c r="D778">
        <v>36</v>
      </c>
      <c r="E778" s="1">
        <v>1.9791666666666665</v>
      </c>
      <c r="F778" t="s">
        <v>1103</v>
      </c>
      <c r="G778">
        <v>3</v>
      </c>
      <c r="H778">
        <v>1080.7023999999999</v>
      </c>
      <c r="I778">
        <v>10</v>
      </c>
      <c r="J778">
        <v>1163.79</v>
      </c>
      <c r="K778">
        <v>7.8322667998831603</v>
      </c>
      <c r="L778">
        <v>609.91</v>
      </c>
      <c r="M778" t="s">
        <v>20</v>
      </c>
      <c r="N778">
        <v>1</v>
      </c>
      <c r="O778">
        <v>1362</v>
      </c>
      <c r="P778">
        <v>1189</v>
      </c>
      <c r="Q778">
        <v>0.5</v>
      </c>
      <c r="R778">
        <v>594.5</v>
      </c>
    </row>
    <row r="779" spans="1:18" x14ac:dyDescent="0.3">
      <c r="A779" s="5">
        <v>45961</v>
      </c>
      <c r="B779" t="s">
        <v>1104</v>
      </c>
      <c r="C779">
        <v>31</v>
      </c>
      <c r="D779">
        <v>36</v>
      </c>
      <c r="E779" s="1">
        <v>1.9791666666666665</v>
      </c>
      <c r="F779" t="s">
        <v>1105</v>
      </c>
      <c r="G779">
        <v>3</v>
      </c>
      <c r="H779">
        <v>1080.6844000000001</v>
      </c>
      <c r="I779">
        <v>10</v>
      </c>
      <c r="J779">
        <v>1163.79</v>
      </c>
      <c r="K779">
        <v>7.8322667998831603</v>
      </c>
      <c r="L779">
        <v>618.53</v>
      </c>
      <c r="M779" t="s">
        <v>20</v>
      </c>
      <c r="N779">
        <v>1</v>
      </c>
      <c r="O779">
        <v>1362</v>
      </c>
      <c r="P779">
        <v>1189</v>
      </c>
      <c r="Q779">
        <v>0.5</v>
      </c>
      <c r="R779">
        <v>594.5</v>
      </c>
    </row>
    <row r="780" spans="1:18" x14ac:dyDescent="0.3">
      <c r="A780" s="5">
        <v>45961</v>
      </c>
      <c r="B780" t="s">
        <v>1106</v>
      </c>
      <c r="C780">
        <v>17</v>
      </c>
      <c r="D780">
        <v>36</v>
      </c>
      <c r="E780" s="1">
        <v>1.9993055555555554</v>
      </c>
      <c r="F780" t="s">
        <v>1107</v>
      </c>
      <c r="G780">
        <v>4</v>
      </c>
      <c r="H780">
        <v>1081.0698</v>
      </c>
      <c r="I780">
        <v>7</v>
      </c>
      <c r="J780">
        <v>1163.79</v>
      </c>
      <c r="K780">
        <v>5.4825867599182097</v>
      </c>
      <c r="L780">
        <v>1175.17</v>
      </c>
      <c r="M780" t="s">
        <v>27</v>
      </c>
      <c r="N780">
        <v>1</v>
      </c>
      <c r="O780">
        <v>1330</v>
      </c>
      <c r="P780">
        <v>1157</v>
      </c>
      <c r="Q780">
        <v>0</v>
      </c>
      <c r="R780">
        <v>1157</v>
      </c>
    </row>
    <row r="781" spans="1:18" x14ac:dyDescent="0.3">
      <c r="A781" s="5">
        <v>45961</v>
      </c>
      <c r="B781" t="s">
        <v>1108</v>
      </c>
      <c r="C781">
        <v>2</v>
      </c>
      <c r="D781">
        <v>36</v>
      </c>
      <c r="E781" s="1">
        <v>1.4583333333333333</v>
      </c>
      <c r="F781" t="s">
        <v>1109</v>
      </c>
      <c r="G781">
        <v>4</v>
      </c>
      <c r="H781">
        <v>1081.6977999999999</v>
      </c>
      <c r="I781">
        <v>7</v>
      </c>
      <c r="J781">
        <v>1163.79</v>
      </c>
      <c r="K781">
        <v>5.4825867599182097</v>
      </c>
      <c r="L781">
        <v>1237.07</v>
      </c>
      <c r="M781" t="s">
        <v>27</v>
      </c>
      <c r="N781">
        <v>1</v>
      </c>
      <c r="O781">
        <v>1330</v>
      </c>
      <c r="P781">
        <v>1157</v>
      </c>
      <c r="Q781">
        <v>0</v>
      </c>
      <c r="R781">
        <v>1157</v>
      </c>
    </row>
    <row r="782" spans="1:18" x14ac:dyDescent="0.3">
      <c r="A782" s="5">
        <v>45961</v>
      </c>
      <c r="B782" t="s">
        <v>1108</v>
      </c>
      <c r="C782">
        <v>2</v>
      </c>
      <c r="D782">
        <v>36</v>
      </c>
      <c r="E782" s="1">
        <v>1.4583333333333333</v>
      </c>
      <c r="F782" t="s">
        <v>1109</v>
      </c>
      <c r="G782">
        <v>4</v>
      </c>
      <c r="H782">
        <v>1081.6977999999999</v>
      </c>
      <c r="I782">
        <v>7</v>
      </c>
      <c r="J782">
        <v>1163.79</v>
      </c>
      <c r="K782">
        <v>5.4825867599182097</v>
      </c>
      <c r="L782">
        <v>1237.07</v>
      </c>
      <c r="M782" t="s">
        <v>27</v>
      </c>
      <c r="N782">
        <v>1</v>
      </c>
      <c r="O782">
        <v>1330</v>
      </c>
      <c r="P782">
        <v>1157</v>
      </c>
      <c r="Q782">
        <v>0</v>
      </c>
      <c r="R782">
        <v>1157</v>
      </c>
    </row>
    <row r="783" spans="1:18" x14ac:dyDescent="0.3">
      <c r="A783" s="5">
        <v>45961</v>
      </c>
      <c r="B783" t="s">
        <v>1110</v>
      </c>
      <c r="C783">
        <v>3</v>
      </c>
      <c r="D783">
        <v>36</v>
      </c>
      <c r="E783" s="1">
        <v>1.4583333333333333</v>
      </c>
      <c r="F783" t="s">
        <v>1109</v>
      </c>
      <c r="G783">
        <v>4</v>
      </c>
      <c r="H783">
        <v>1081.6799000000001</v>
      </c>
      <c r="I783">
        <v>7</v>
      </c>
      <c r="J783">
        <v>1163.79</v>
      </c>
      <c r="K783">
        <v>5.4825867599182097</v>
      </c>
      <c r="L783">
        <v>1237.07</v>
      </c>
      <c r="M783" t="s">
        <v>27</v>
      </c>
      <c r="N783">
        <v>1</v>
      </c>
      <c r="O783">
        <v>1330</v>
      </c>
      <c r="P783">
        <v>1157</v>
      </c>
      <c r="Q783">
        <v>0</v>
      </c>
      <c r="R783">
        <v>1157</v>
      </c>
    </row>
    <row r="784" spans="1:18" x14ac:dyDescent="0.3">
      <c r="A784" s="5">
        <v>45961</v>
      </c>
      <c r="B784" t="s">
        <v>1110</v>
      </c>
      <c r="C784">
        <v>3</v>
      </c>
      <c r="D784">
        <v>36</v>
      </c>
      <c r="E784" s="1">
        <v>1.4583333333333333</v>
      </c>
      <c r="F784" t="s">
        <v>1109</v>
      </c>
      <c r="G784">
        <v>4</v>
      </c>
      <c r="H784">
        <v>1081.6799000000001</v>
      </c>
      <c r="I784">
        <v>7</v>
      </c>
      <c r="J784">
        <v>1163.79</v>
      </c>
      <c r="K784">
        <v>5.4825867599182097</v>
      </c>
      <c r="L784">
        <v>1237.07</v>
      </c>
      <c r="M784" t="s">
        <v>27</v>
      </c>
      <c r="N784">
        <v>1</v>
      </c>
      <c r="O784">
        <v>1330</v>
      </c>
      <c r="P784">
        <v>1157</v>
      </c>
      <c r="Q784">
        <v>0</v>
      </c>
      <c r="R784">
        <v>1157</v>
      </c>
    </row>
    <row r="785" spans="1:18" x14ac:dyDescent="0.3">
      <c r="A785" s="5">
        <v>45961</v>
      </c>
      <c r="B785" t="s">
        <v>1111</v>
      </c>
      <c r="C785">
        <v>2</v>
      </c>
      <c r="D785">
        <v>36</v>
      </c>
      <c r="E785" s="1">
        <v>1.9993055555555554</v>
      </c>
      <c r="F785" t="s">
        <v>1112</v>
      </c>
      <c r="G785">
        <v>5</v>
      </c>
      <c r="H785">
        <v>1081.338</v>
      </c>
      <c r="I785">
        <v>0</v>
      </c>
      <c r="J785">
        <v>1163.79</v>
      </c>
      <c r="K785">
        <v>0</v>
      </c>
      <c r="L785">
        <v>1175.17</v>
      </c>
      <c r="M785" t="s">
        <v>27</v>
      </c>
      <c r="N785">
        <v>1</v>
      </c>
      <c r="O785">
        <v>1254</v>
      </c>
      <c r="P785">
        <v>1081</v>
      </c>
      <c r="Q785">
        <v>0</v>
      </c>
      <c r="R785">
        <v>1081</v>
      </c>
    </row>
    <row r="786" spans="1:18" x14ac:dyDescent="0.3">
      <c r="A786" s="5">
        <v>45961</v>
      </c>
      <c r="B786" t="s">
        <v>1113</v>
      </c>
      <c r="C786">
        <v>22</v>
      </c>
      <c r="D786">
        <v>36</v>
      </c>
      <c r="E786" s="1">
        <v>1.4583333333333333</v>
      </c>
      <c r="F786" t="s">
        <v>1114</v>
      </c>
      <c r="G786">
        <v>5</v>
      </c>
      <c r="H786">
        <v>1081.0655999999999</v>
      </c>
      <c r="I786">
        <v>0</v>
      </c>
      <c r="J786">
        <v>1163.79</v>
      </c>
      <c r="K786">
        <v>0</v>
      </c>
      <c r="L786">
        <v>989.65</v>
      </c>
      <c r="M786" t="s">
        <v>44</v>
      </c>
      <c r="N786">
        <v>1</v>
      </c>
      <c r="O786">
        <v>1254</v>
      </c>
      <c r="P786">
        <v>1081</v>
      </c>
      <c r="Q786">
        <v>0</v>
      </c>
      <c r="R786">
        <v>1081</v>
      </c>
    </row>
    <row r="787" spans="1:18" x14ac:dyDescent="0.3">
      <c r="A787" s="5">
        <v>45961</v>
      </c>
      <c r="B787" t="s">
        <v>1115</v>
      </c>
      <c r="C787">
        <v>23</v>
      </c>
      <c r="D787">
        <v>36</v>
      </c>
      <c r="E787" s="1">
        <v>1.4583333333333333</v>
      </c>
      <c r="F787" t="s">
        <v>1116</v>
      </c>
      <c r="G787">
        <v>1</v>
      </c>
      <c r="H787">
        <v>1081.0476000000001</v>
      </c>
      <c r="I787">
        <v>8.5</v>
      </c>
      <c r="J787">
        <v>1163.79</v>
      </c>
      <c r="K787">
        <v>6.6574267799006801</v>
      </c>
      <c r="L787">
        <v>1237.07</v>
      </c>
      <c r="M787" t="s">
        <v>27</v>
      </c>
      <c r="N787">
        <v>1</v>
      </c>
      <c r="O787">
        <v>1346</v>
      </c>
      <c r="P787">
        <v>1173</v>
      </c>
      <c r="Q787">
        <v>0</v>
      </c>
      <c r="R787">
        <v>1173</v>
      </c>
    </row>
    <row r="788" spans="1:18" x14ac:dyDescent="0.3">
      <c r="A788" s="5">
        <v>45961</v>
      </c>
      <c r="B788" t="s">
        <v>1117</v>
      </c>
      <c r="C788">
        <v>10</v>
      </c>
      <c r="D788">
        <v>36</v>
      </c>
      <c r="E788" s="1">
        <v>1.9993055555555554</v>
      </c>
      <c r="F788" t="s">
        <v>1118</v>
      </c>
      <c r="G788">
        <v>1</v>
      </c>
      <c r="H788">
        <v>1080.4878000000001</v>
      </c>
      <c r="I788">
        <v>8.5</v>
      </c>
      <c r="J788">
        <v>1163.79</v>
      </c>
      <c r="K788">
        <v>6.6574267799006801</v>
      </c>
      <c r="L788">
        <v>1237.07</v>
      </c>
      <c r="M788" t="s">
        <v>27</v>
      </c>
      <c r="N788">
        <v>1</v>
      </c>
      <c r="O788">
        <v>1345</v>
      </c>
      <c r="P788">
        <v>1172</v>
      </c>
      <c r="Q788">
        <v>0</v>
      </c>
      <c r="R788">
        <v>1172</v>
      </c>
    </row>
    <row r="789" spans="1:18" x14ac:dyDescent="0.3">
      <c r="A789" s="5">
        <v>45961</v>
      </c>
      <c r="B789" t="s">
        <v>1119</v>
      </c>
      <c r="C789">
        <v>13</v>
      </c>
      <c r="D789">
        <v>36</v>
      </c>
      <c r="E789" s="1">
        <v>1.9791666666666665</v>
      </c>
      <c r="F789" t="s">
        <v>1120</v>
      </c>
      <c r="G789">
        <v>2</v>
      </c>
      <c r="H789">
        <v>1081.2399</v>
      </c>
      <c r="I789">
        <v>5</v>
      </c>
      <c r="J789">
        <v>1163.79</v>
      </c>
      <c r="K789">
        <v>3.9161333999415802</v>
      </c>
      <c r="L789">
        <v>609.91</v>
      </c>
      <c r="M789" t="s">
        <v>60</v>
      </c>
      <c r="N789">
        <v>1</v>
      </c>
      <c r="O789">
        <v>1308</v>
      </c>
      <c r="P789">
        <v>1135</v>
      </c>
      <c r="Q789">
        <v>0.5</v>
      </c>
      <c r="R789">
        <v>567.5</v>
      </c>
    </row>
    <row r="790" spans="1:18" x14ac:dyDescent="0.3">
      <c r="A790" s="5">
        <v>45961</v>
      </c>
      <c r="B790" t="s">
        <v>1121</v>
      </c>
      <c r="C790">
        <v>36</v>
      </c>
      <c r="D790">
        <v>36</v>
      </c>
      <c r="E790" s="1">
        <v>1.4583333333333333</v>
      </c>
      <c r="F790" t="s">
        <v>1122</v>
      </c>
      <c r="G790">
        <v>1</v>
      </c>
      <c r="H790">
        <v>1080.8132000000001</v>
      </c>
      <c r="I790">
        <v>8.5</v>
      </c>
      <c r="J790">
        <v>1163.79</v>
      </c>
      <c r="K790">
        <v>6.6574267799006801</v>
      </c>
      <c r="L790">
        <v>1082.33</v>
      </c>
      <c r="M790" t="s">
        <v>27</v>
      </c>
      <c r="N790">
        <v>1</v>
      </c>
      <c r="O790">
        <v>1346</v>
      </c>
      <c r="P790">
        <v>1173</v>
      </c>
      <c r="Q790">
        <v>0</v>
      </c>
      <c r="R790">
        <v>1173</v>
      </c>
    </row>
    <row r="791" spans="1:18" x14ac:dyDescent="0.3">
      <c r="A791" s="5">
        <v>45961</v>
      </c>
      <c r="B791" t="s">
        <v>1123</v>
      </c>
      <c r="C791">
        <v>18</v>
      </c>
      <c r="D791">
        <v>36</v>
      </c>
      <c r="E791" s="1">
        <v>1.9791666666666665</v>
      </c>
      <c r="F791" t="s">
        <v>1124</v>
      </c>
      <c r="G791">
        <v>5</v>
      </c>
      <c r="H791">
        <v>1081.0498</v>
      </c>
      <c r="I791">
        <v>0</v>
      </c>
      <c r="J791">
        <v>1163.79</v>
      </c>
      <c r="K791">
        <v>0</v>
      </c>
      <c r="L791">
        <v>1175.17</v>
      </c>
      <c r="M791" t="s">
        <v>27</v>
      </c>
      <c r="N791">
        <v>1</v>
      </c>
      <c r="O791">
        <v>1254</v>
      </c>
      <c r="P791">
        <v>1081</v>
      </c>
      <c r="Q791">
        <v>0</v>
      </c>
      <c r="R791">
        <v>1081</v>
      </c>
    </row>
    <row r="792" spans="1:18" x14ac:dyDescent="0.3">
      <c r="A792" s="5">
        <v>45961</v>
      </c>
      <c r="B792" t="s">
        <v>1125</v>
      </c>
      <c r="C792">
        <v>1</v>
      </c>
      <c r="D792">
        <v>36</v>
      </c>
      <c r="E792" s="1">
        <v>1.9791666666666665</v>
      </c>
      <c r="F792" t="s">
        <v>1126</v>
      </c>
      <c r="G792">
        <v>2</v>
      </c>
      <c r="H792">
        <v>1079.2260000000001</v>
      </c>
      <c r="I792">
        <v>5</v>
      </c>
      <c r="J792">
        <v>1163.79</v>
      </c>
      <c r="K792">
        <v>3.9161333999415802</v>
      </c>
      <c r="L792">
        <v>609.91</v>
      </c>
      <c r="M792" t="s">
        <v>60</v>
      </c>
      <c r="N792">
        <v>1</v>
      </c>
      <c r="O792">
        <v>1306</v>
      </c>
      <c r="P792">
        <v>1133</v>
      </c>
      <c r="Q792">
        <v>0.5</v>
      </c>
      <c r="R792">
        <v>566.5</v>
      </c>
    </row>
    <row r="793" spans="1:18" x14ac:dyDescent="0.3">
      <c r="A793" s="5">
        <v>45961</v>
      </c>
      <c r="B793" t="s">
        <v>1127</v>
      </c>
      <c r="C793">
        <v>32</v>
      </c>
      <c r="D793">
        <v>36</v>
      </c>
      <c r="E793" s="1">
        <v>1.9791666666666665</v>
      </c>
      <c r="F793" t="s">
        <v>1128</v>
      </c>
      <c r="G793">
        <v>5</v>
      </c>
      <c r="H793">
        <v>1080.8585</v>
      </c>
      <c r="I793">
        <v>0</v>
      </c>
      <c r="J793">
        <v>1163.79</v>
      </c>
      <c r="K793">
        <v>0</v>
      </c>
      <c r="L793">
        <v>1158.8800000000001</v>
      </c>
      <c r="M793" t="s">
        <v>27</v>
      </c>
      <c r="N793">
        <v>1</v>
      </c>
      <c r="O793">
        <v>1254</v>
      </c>
      <c r="P793">
        <v>1081</v>
      </c>
      <c r="Q793">
        <v>0</v>
      </c>
      <c r="R793">
        <v>1081</v>
      </c>
    </row>
    <row r="794" spans="1:18" x14ac:dyDescent="0.3">
      <c r="A794" s="5">
        <v>45961</v>
      </c>
      <c r="B794" t="s">
        <v>887</v>
      </c>
      <c r="C794">
        <v>21</v>
      </c>
      <c r="D794">
        <v>36</v>
      </c>
      <c r="E794" s="1">
        <v>1.4583333333333333</v>
      </c>
      <c r="F794" t="s">
        <v>888</v>
      </c>
      <c r="G794">
        <v>5</v>
      </c>
      <c r="H794">
        <v>1081.2101</v>
      </c>
      <c r="I794">
        <v>0</v>
      </c>
      <c r="J794">
        <v>1163.79</v>
      </c>
      <c r="K794">
        <v>0</v>
      </c>
      <c r="L794">
        <v>1158.8800000000001</v>
      </c>
      <c r="M794" t="s">
        <v>27</v>
      </c>
      <c r="N794">
        <v>1</v>
      </c>
      <c r="O794">
        <v>1254</v>
      </c>
      <c r="P794">
        <v>1081</v>
      </c>
      <c r="Q794">
        <v>0</v>
      </c>
      <c r="R794">
        <v>1081</v>
      </c>
    </row>
    <row r="795" spans="1:18" x14ac:dyDescent="0.3">
      <c r="A795" s="5">
        <v>45961</v>
      </c>
      <c r="B795" t="s">
        <v>1129</v>
      </c>
      <c r="C795">
        <v>18</v>
      </c>
      <c r="D795">
        <v>36</v>
      </c>
      <c r="E795" s="1">
        <v>1.9993055555555554</v>
      </c>
      <c r="F795" t="s">
        <v>1130</v>
      </c>
      <c r="G795">
        <v>4</v>
      </c>
      <c r="H795">
        <v>1080.4857</v>
      </c>
      <c r="I795">
        <v>7</v>
      </c>
      <c r="J795">
        <v>1163.79</v>
      </c>
      <c r="K795">
        <v>5.4825867599182097</v>
      </c>
      <c r="L795">
        <v>1237.07</v>
      </c>
      <c r="M795" t="s">
        <v>27</v>
      </c>
      <c r="N795">
        <v>1</v>
      </c>
      <c r="O795">
        <v>1329</v>
      </c>
      <c r="P795">
        <v>1156</v>
      </c>
      <c r="Q795">
        <v>0</v>
      </c>
      <c r="R795">
        <v>1156</v>
      </c>
    </row>
    <row r="796" spans="1:18" x14ac:dyDescent="0.3">
      <c r="A796" s="5">
        <v>45961</v>
      </c>
      <c r="B796" t="s">
        <v>1131</v>
      </c>
      <c r="C796">
        <v>35</v>
      </c>
      <c r="D796">
        <v>36</v>
      </c>
      <c r="E796" s="1">
        <v>1.9993055555555554</v>
      </c>
      <c r="F796" t="s">
        <v>1132</v>
      </c>
      <c r="G796">
        <v>4</v>
      </c>
      <c r="H796">
        <v>1080.1423</v>
      </c>
      <c r="I796">
        <v>7</v>
      </c>
      <c r="J796">
        <v>1163.79</v>
      </c>
      <c r="K796">
        <v>5.4825867599182097</v>
      </c>
      <c r="L796">
        <v>609.91</v>
      </c>
      <c r="M796" t="s">
        <v>60</v>
      </c>
      <c r="N796">
        <v>1</v>
      </c>
      <c r="O796">
        <v>1329</v>
      </c>
      <c r="P796">
        <v>1156</v>
      </c>
      <c r="Q796">
        <v>0.5</v>
      </c>
      <c r="R796">
        <v>578</v>
      </c>
    </row>
    <row r="797" spans="1:18" x14ac:dyDescent="0.3">
      <c r="A797" s="5">
        <v>45961</v>
      </c>
      <c r="B797" t="s">
        <v>1133</v>
      </c>
      <c r="C797">
        <v>34</v>
      </c>
      <c r="D797">
        <v>36</v>
      </c>
      <c r="E797" s="1">
        <v>1.9791666666666665</v>
      </c>
      <c r="F797" t="s">
        <v>1134</v>
      </c>
      <c r="G797">
        <v>2</v>
      </c>
      <c r="H797">
        <v>1080.7483</v>
      </c>
      <c r="I797">
        <v>5</v>
      </c>
      <c r="J797">
        <v>1163.79</v>
      </c>
      <c r="K797">
        <v>3.9161333999415802</v>
      </c>
      <c r="L797">
        <v>618.53</v>
      </c>
      <c r="M797" t="s">
        <v>60</v>
      </c>
      <c r="N797">
        <v>1</v>
      </c>
      <c r="O797">
        <v>1308</v>
      </c>
      <c r="P797">
        <v>1135</v>
      </c>
      <c r="Q797">
        <v>0.5</v>
      </c>
      <c r="R797">
        <v>567.5</v>
      </c>
    </row>
    <row r="798" spans="1:18" x14ac:dyDescent="0.3">
      <c r="A798" s="5">
        <v>45961</v>
      </c>
      <c r="B798" t="s">
        <v>1135</v>
      </c>
      <c r="C798">
        <v>21</v>
      </c>
      <c r="D798">
        <v>36</v>
      </c>
      <c r="E798" s="1">
        <v>1.4583333333333333</v>
      </c>
      <c r="F798" t="s">
        <v>1136</v>
      </c>
      <c r="G798">
        <v>0</v>
      </c>
      <c r="H798">
        <v>1081.4197999999999</v>
      </c>
      <c r="I798">
        <v>2.5</v>
      </c>
      <c r="J798">
        <v>1163.79</v>
      </c>
      <c r="K798">
        <v>1.9580666999707901</v>
      </c>
      <c r="L798">
        <v>1158.8800000000001</v>
      </c>
      <c r="M798" t="s">
        <v>27</v>
      </c>
      <c r="N798">
        <v>1</v>
      </c>
      <c r="O798">
        <v>1281</v>
      </c>
      <c r="P798">
        <v>1108</v>
      </c>
      <c r="Q798">
        <v>0</v>
      </c>
      <c r="R798">
        <v>1108</v>
      </c>
    </row>
    <row r="799" spans="1:18" x14ac:dyDescent="0.3">
      <c r="A799" s="5">
        <v>45961</v>
      </c>
      <c r="B799" t="s">
        <v>1137</v>
      </c>
      <c r="C799">
        <v>2</v>
      </c>
      <c r="D799">
        <v>35</v>
      </c>
      <c r="E799" s="1">
        <v>1.9791666666666665</v>
      </c>
      <c r="F799" t="s">
        <v>1138</v>
      </c>
      <c r="G799">
        <v>0</v>
      </c>
      <c r="H799">
        <v>1081.3916999999999</v>
      </c>
      <c r="I799">
        <v>2.5</v>
      </c>
      <c r="J799">
        <v>1163.79</v>
      </c>
      <c r="K799">
        <v>1.9580666999707901</v>
      </c>
      <c r="L799">
        <v>1158.8800000000001</v>
      </c>
      <c r="M799" t="s">
        <v>27</v>
      </c>
      <c r="N799">
        <v>1</v>
      </c>
      <c r="O799">
        <v>1281</v>
      </c>
      <c r="P799">
        <v>1108</v>
      </c>
      <c r="Q799">
        <v>0</v>
      </c>
      <c r="R799">
        <v>1108</v>
      </c>
    </row>
    <row r="800" spans="1:18" x14ac:dyDescent="0.3">
      <c r="A800" s="5">
        <v>45961</v>
      </c>
      <c r="B800" t="s">
        <v>1137</v>
      </c>
      <c r="C800">
        <v>2</v>
      </c>
      <c r="D800">
        <v>35</v>
      </c>
      <c r="E800" s="1">
        <v>1.9791666666666665</v>
      </c>
      <c r="F800" t="s">
        <v>1138</v>
      </c>
      <c r="G800">
        <v>0</v>
      </c>
      <c r="H800">
        <v>1081.3916999999999</v>
      </c>
      <c r="I800">
        <v>2.5</v>
      </c>
      <c r="J800">
        <v>1163.79</v>
      </c>
      <c r="K800">
        <v>1.9580666999707901</v>
      </c>
      <c r="L800">
        <v>1158.8800000000001</v>
      </c>
      <c r="M800" t="s">
        <v>27</v>
      </c>
      <c r="N800">
        <v>1</v>
      </c>
      <c r="O800">
        <v>1281</v>
      </c>
      <c r="P800">
        <v>1108</v>
      </c>
      <c r="Q800">
        <v>0</v>
      </c>
      <c r="R800">
        <v>1108</v>
      </c>
    </row>
    <row r="801" spans="1:18" x14ac:dyDescent="0.3">
      <c r="A801" s="5">
        <v>45961</v>
      </c>
      <c r="B801" t="s">
        <v>1139</v>
      </c>
      <c r="C801">
        <v>3</v>
      </c>
      <c r="D801">
        <v>35</v>
      </c>
      <c r="E801" s="1">
        <v>1.9791666666666665</v>
      </c>
      <c r="F801" t="s">
        <v>1138</v>
      </c>
      <c r="G801">
        <v>0</v>
      </c>
      <c r="H801">
        <v>1081.374</v>
      </c>
      <c r="I801">
        <v>2.5</v>
      </c>
      <c r="J801">
        <v>1163.79</v>
      </c>
      <c r="K801">
        <v>1.9580666999707901</v>
      </c>
      <c r="L801">
        <v>1158.8800000000001</v>
      </c>
      <c r="M801" t="s">
        <v>27</v>
      </c>
      <c r="N801">
        <v>1</v>
      </c>
      <c r="O801">
        <v>1281</v>
      </c>
      <c r="P801">
        <v>1108</v>
      </c>
      <c r="Q801">
        <v>0</v>
      </c>
      <c r="R801">
        <v>1108</v>
      </c>
    </row>
    <row r="802" spans="1:18" x14ac:dyDescent="0.3">
      <c r="A802" s="5">
        <v>45961</v>
      </c>
      <c r="B802" t="s">
        <v>1139</v>
      </c>
      <c r="C802">
        <v>3</v>
      </c>
      <c r="D802">
        <v>35</v>
      </c>
      <c r="E802" s="1">
        <v>1.9791666666666665</v>
      </c>
      <c r="F802" t="s">
        <v>1138</v>
      </c>
      <c r="G802">
        <v>0</v>
      </c>
      <c r="H802">
        <v>1081.374</v>
      </c>
      <c r="I802">
        <v>2.5</v>
      </c>
      <c r="J802">
        <v>1163.79</v>
      </c>
      <c r="K802">
        <v>1.9580666999707901</v>
      </c>
      <c r="L802">
        <v>1158.8800000000001</v>
      </c>
      <c r="M802" t="s">
        <v>27</v>
      </c>
      <c r="N802">
        <v>1</v>
      </c>
      <c r="O802">
        <v>1281</v>
      </c>
      <c r="P802">
        <v>1108</v>
      </c>
      <c r="Q802">
        <v>0</v>
      </c>
      <c r="R802">
        <v>1108</v>
      </c>
    </row>
    <row r="803" spans="1:18" x14ac:dyDescent="0.3">
      <c r="A803" s="5">
        <v>45961</v>
      </c>
      <c r="B803" t="s">
        <v>1140</v>
      </c>
      <c r="C803">
        <v>13</v>
      </c>
      <c r="D803">
        <v>36</v>
      </c>
      <c r="E803" s="1">
        <v>1.9791666666666665</v>
      </c>
      <c r="F803" t="s">
        <v>1141</v>
      </c>
      <c r="G803">
        <v>5</v>
      </c>
      <c r="H803">
        <v>1081.1370999999999</v>
      </c>
      <c r="I803">
        <v>0</v>
      </c>
      <c r="J803">
        <v>1163.79</v>
      </c>
      <c r="K803">
        <v>0</v>
      </c>
      <c r="L803">
        <v>1175.17</v>
      </c>
      <c r="M803" t="s">
        <v>27</v>
      </c>
      <c r="N803">
        <v>1</v>
      </c>
      <c r="O803">
        <v>1254</v>
      </c>
      <c r="P803">
        <v>1081</v>
      </c>
      <c r="Q803">
        <v>0</v>
      </c>
      <c r="R803">
        <v>1081</v>
      </c>
    </row>
    <row r="804" spans="1:18" x14ac:dyDescent="0.3">
      <c r="A804" s="5">
        <v>45961</v>
      </c>
      <c r="B804" t="s">
        <v>1142</v>
      </c>
      <c r="C804">
        <v>32</v>
      </c>
      <c r="D804">
        <v>36</v>
      </c>
      <c r="E804" s="1">
        <v>1.4583333333333333</v>
      </c>
      <c r="F804" t="s">
        <v>1143</v>
      </c>
      <c r="G804">
        <v>2</v>
      </c>
      <c r="H804">
        <v>1080.9933000000001</v>
      </c>
      <c r="I804">
        <v>5</v>
      </c>
      <c r="J804">
        <v>1163.79</v>
      </c>
      <c r="K804">
        <v>3.9161333999415802</v>
      </c>
      <c r="L804">
        <v>609.91</v>
      </c>
      <c r="M804" t="s">
        <v>60</v>
      </c>
      <c r="N804">
        <v>1</v>
      </c>
      <c r="O804">
        <v>1308</v>
      </c>
      <c r="P804">
        <v>1135</v>
      </c>
      <c r="Q804">
        <v>0.5</v>
      </c>
      <c r="R804">
        <v>567.5</v>
      </c>
    </row>
    <row r="805" spans="1:18" x14ac:dyDescent="0.3">
      <c r="A805" s="5">
        <v>45961</v>
      </c>
      <c r="B805" t="s">
        <v>1144</v>
      </c>
      <c r="C805">
        <v>7</v>
      </c>
      <c r="D805">
        <v>36</v>
      </c>
      <c r="E805" s="1">
        <v>1.9791666666666665</v>
      </c>
      <c r="F805" t="s">
        <v>1145</v>
      </c>
      <c r="G805">
        <v>4</v>
      </c>
      <c r="H805">
        <v>1081.3348000000001</v>
      </c>
      <c r="I805">
        <v>7</v>
      </c>
      <c r="J805">
        <v>1163.79</v>
      </c>
      <c r="K805">
        <v>5.4825867599182097</v>
      </c>
      <c r="L805">
        <v>1097.8399999999999</v>
      </c>
      <c r="M805" t="s">
        <v>27</v>
      </c>
      <c r="N805">
        <v>1</v>
      </c>
      <c r="O805">
        <v>1330</v>
      </c>
      <c r="P805">
        <v>1157</v>
      </c>
      <c r="Q805">
        <v>0</v>
      </c>
      <c r="R805">
        <v>1157</v>
      </c>
    </row>
    <row r="806" spans="1:18" x14ac:dyDescent="0.3">
      <c r="A806" s="5">
        <v>45961</v>
      </c>
      <c r="B806" t="s">
        <v>1146</v>
      </c>
      <c r="C806">
        <v>29</v>
      </c>
      <c r="D806">
        <v>36</v>
      </c>
      <c r="E806" s="1">
        <v>1.4583333333333333</v>
      </c>
      <c r="F806" t="s">
        <v>1147</v>
      </c>
      <c r="G806">
        <v>0</v>
      </c>
      <c r="H806">
        <v>1080.9143999999999</v>
      </c>
      <c r="I806">
        <v>2.5</v>
      </c>
      <c r="J806">
        <v>1163.79</v>
      </c>
      <c r="K806">
        <v>1.9580666999707901</v>
      </c>
      <c r="L806">
        <v>1175.17</v>
      </c>
      <c r="M806" t="s">
        <v>27</v>
      </c>
      <c r="N806">
        <v>1</v>
      </c>
      <c r="O806">
        <v>1281</v>
      </c>
      <c r="P806">
        <v>1108</v>
      </c>
      <c r="Q806">
        <v>0</v>
      </c>
      <c r="R806">
        <v>1108</v>
      </c>
    </row>
    <row r="807" spans="1:18" x14ac:dyDescent="0.3">
      <c r="A807" s="5">
        <v>45961</v>
      </c>
      <c r="B807" t="s">
        <v>1148</v>
      </c>
      <c r="C807">
        <v>33</v>
      </c>
      <c r="D807">
        <v>36</v>
      </c>
      <c r="E807" s="1">
        <v>1.9791666666666665</v>
      </c>
      <c r="F807" t="s">
        <v>1149</v>
      </c>
      <c r="G807">
        <v>3</v>
      </c>
      <c r="H807">
        <v>1080.6442</v>
      </c>
      <c r="I807">
        <v>10</v>
      </c>
      <c r="J807">
        <v>1163.79</v>
      </c>
      <c r="K807">
        <v>7.8322667998831603</v>
      </c>
      <c r="L807">
        <v>618.53</v>
      </c>
      <c r="M807" t="s">
        <v>20</v>
      </c>
      <c r="N807">
        <v>1</v>
      </c>
      <c r="O807">
        <v>1362</v>
      </c>
      <c r="P807">
        <v>1189</v>
      </c>
      <c r="Q807">
        <v>0.5</v>
      </c>
      <c r="R807">
        <v>594.5</v>
      </c>
    </row>
    <row r="808" spans="1:18" x14ac:dyDescent="0.3">
      <c r="A808" s="5">
        <v>45961</v>
      </c>
      <c r="B808" t="s">
        <v>1150</v>
      </c>
      <c r="C808">
        <v>34</v>
      </c>
      <c r="D808">
        <v>36</v>
      </c>
      <c r="E808" s="1">
        <v>1.9791666666666665</v>
      </c>
      <c r="F808" t="s">
        <v>1151</v>
      </c>
      <c r="G808">
        <v>1</v>
      </c>
      <c r="H808">
        <v>1080.6265000000001</v>
      </c>
      <c r="I808">
        <v>8.5</v>
      </c>
      <c r="J808">
        <v>1163.79</v>
      </c>
      <c r="K808">
        <v>6.6574267799006801</v>
      </c>
      <c r="L808">
        <v>1237.07</v>
      </c>
      <c r="M808" t="s">
        <v>27</v>
      </c>
      <c r="N808">
        <v>1</v>
      </c>
      <c r="O808">
        <v>1345</v>
      </c>
      <c r="P808">
        <v>1172</v>
      </c>
      <c r="Q808">
        <v>0</v>
      </c>
      <c r="R808">
        <v>1172</v>
      </c>
    </row>
    <row r="809" spans="1:18" x14ac:dyDescent="0.3">
      <c r="A809" s="5">
        <v>45961</v>
      </c>
      <c r="B809" t="s">
        <v>1152</v>
      </c>
      <c r="C809">
        <v>24</v>
      </c>
      <c r="D809">
        <v>36</v>
      </c>
      <c r="E809" s="1">
        <v>1.4583333333333333</v>
      </c>
      <c r="F809" t="s">
        <v>1153</v>
      </c>
      <c r="G809">
        <v>0</v>
      </c>
      <c r="H809">
        <v>1081.0043000000001</v>
      </c>
      <c r="I809">
        <v>2.5</v>
      </c>
      <c r="J809">
        <v>1163.79</v>
      </c>
      <c r="K809">
        <v>1.9580666999707901</v>
      </c>
      <c r="L809">
        <v>1175.17</v>
      </c>
      <c r="M809" t="s">
        <v>27</v>
      </c>
      <c r="N809">
        <v>1</v>
      </c>
      <c r="O809">
        <v>1281</v>
      </c>
      <c r="P809">
        <v>1108</v>
      </c>
      <c r="Q809">
        <v>0</v>
      </c>
      <c r="R809">
        <v>1108</v>
      </c>
    </row>
    <row r="810" spans="1:18" x14ac:dyDescent="0.3">
      <c r="A810" s="5">
        <v>45961</v>
      </c>
      <c r="B810" t="s">
        <v>1154</v>
      </c>
      <c r="C810">
        <v>4</v>
      </c>
      <c r="D810">
        <v>36</v>
      </c>
      <c r="E810" s="1">
        <v>1.9993055555555554</v>
      </c>
      <c r="F810" t="s">
        <v>1155</v>
      </c>
      <c r="G810">
        <v>4</v>
      </c>
      <c r="H810">
        <v>1081.222</v>
      </c>
      <c r="I810">
        <v>7</v>
      </c>
      <c r="J810">
        <v>1163.79</v>
      </c>
      <c r="K810">
        <v>5.4825867599182097</v>
      </c>
      <c r="L810">
        <v>1158.8800000000001</v>
      </c>
      <c r="M810" t="s">
        <v>27</v>
      </c>
      <c r="N810">
        <v>1</v>
      </c>
      <c r="O810">
        <v>1330</v>
      </c>
      <c r="P810">
        <v>1157</v>
      </c>
      <c r="Q810">
        <v>0</v>
      </c>
      <c r="R810">
        <v>1157</v>
      </c>
    </row>
    <row r="811" spans="1:18" x14ac:dyDescent="0.3">
      <c r="A811" s="5">
        <v>45961</v>
      </c>
      <c r="B811" t="s">
        <v>1156</v>
      </c>
      <c r="C811">
        <v>5</v>
      </c>
      <c r="D811">
        <v>36</v>
      </c>
      <c r="E811" s="1">
        <v>1.25</v>
      </c>
      <c r="F811" t="s">
        <v>1157</v>
      </c>
      <c r="G811">
        <v>0</v>
      </c>
      <c r="H811">
        <v>1081.4232</v>
      </c>
      <c r="I811">
        <v>2.5</v>
      </c>
      <c r="J811">
        <v>1163.79</v>
      </c>
      <c r="K811">
        <v>1.9580666999707901</v>
      </c>
      <c r="L811">
        <v>1175.17</v>
      </c>
      <c r="M811" t="s">
        <v>27</v>
      </c>
      <c r="N811">
        <v>1</v>
      </c>
      <c r="O811">
        <v>1281</v>
      </c>
      <c r="P811">
        <v>1108</v>
      </c>
      <c r="Q811">
        <v>0</v>
      </c>
      <c r="R811">
        <v>1108</v>
      </c>
    </row>
    <row r="812" spans="1:18" x14ac:dyDescent="0.3">
      <c r="A812" s="5">
        <v>45961</v>
      </c>
      <c r="B812" t="s">
        <v>1158</v>
      </c>
      <c r="C812">
        <v>6</v>
      </c>
      <c r="D812">
        <v>36</v>
      </c>
      <c r="E812" s="1">
        <v>1.25</v>
      </c>
      <c r="F812" t="s">
        <v>1157</v>
      </c>
      <c r="G812">
        <v>0</v>
      </c>
      <c r="H812">
        <v>1081.4051999999999</v>
      </c>
      <c r="I812">
        <v>2.5</v>
      </c>
      <c r="J812">
        <v>1163.79</v>
      </c>
      <c r="K812">
        <v>1.9580666999707901</v>
      </c>
      <c r="L812">
        <v>1175.17</v>
      </c>
      <c r="M812" t="s">
        <v>27</v>
      </c>
      <c r="N812">
        <v>1</v>
      </c>
      <c r="O812">
        <v>1281</v>
      </c>
      <c r="P812">
        <v>1108</v>
      </c>
      <c r="Q812">
        <v>0</v>
      </c>
      <c r="R812">
        <v>1108</v>
      </c>
    </row>
    <row r="813" spans="1:18" x14ac:dyDescent="0.3">
      <c r="A813" s="5">
        <v>45961</v>
      </c>
      <c r="B813" t="s">
        <v>1159</v>
      </c>
      <c r="C813">
        <v>2</v>
      </c>
      <c r="D813">
        <v>36</v>
      </c>
      <c r="E813" s="1">
        <v>1.25</v>
      </c>
      <c r="F813" t="s">
        <v>1157</v>
      </c>
      <c r="G813">
        <v>0</v>
      </c>
      <c r="H813">
        <v>1081.4773</v>
      </c>
      <c r="I813">
        <v>2.5</v>
      </c>
      <c r="J813">
        <v>1163.79</v>
      </c>
      <c r="K813">
        <v>1.9580666999707901</v>
      </c>
      <c r="L813">
        <v>1175.17</v>
      </c>
      <c r="M813" t="s">
        <v>27</v>
      </c>
      <c r="N813">
        <v>1</v>
      </c>
      <c r="O813">
        <v>1282</v>
      </c>
      <c r="P813">
        <v>1109</v>
      </c>
      <c r="Q813">
        <v>0</v>
      </c>
      <c r="R813">
        <v>1109</v>
      </c>
    </row>
    <row r="814" spans="1:18" x14ac:dyDescent="0.3">
      <c r="A814" s="5">
        <v>45961</v>
      </c>
      <c r="B814" t="s">
        <v>1160</v>
      </c>
      <c r="C814">
        <v>3</v>
      </c>
      <c r="D814">
        <v>36</v>
      </c>
      <c r="E814" s="1">
        <v>1.25</v>
      </c>
      <c r="F814" t="s">
        <v>1157</v>
      </c>
      <c r="G814">
        <v>0</v>
      </c>
      <c r="H814">
        <v>1081.4592</v>
      </c>
      <c r="I814">
        <v>2.5</v>
      </c>
      <c r="J814">
        <v>1163.79</v>
      </c>
      <c r="K814">
        <v>1.9580666999707901</v>
      </c>
      <c r="L814">
        <v>1175.17</v>
      </c>
      <c r="M814" t="s">
        <v>27</v>
      </c>
      <c r="N814">
        <v>1</v>
      </c>
      <c r="O814">
        <v>1282</v>
      </c>
      <c r="P814">
        <v>1108</v>
      </c>
      <c r="Q814">
        <v>0</v>
      </c>
      <c r="R814">
        <v>1108</v>
      </c>
    </row>
    <row r="815" spans="1:18" x14ac:dyDescent="0.3">
      <c r="A815" s="5">
        <v>45961</v>
      </c>
      <c r="B815" t="s">
        <v>1161</v>
      </c>
      <c r="C815">
        <v>32</v>
      </c>
      <c r="D815">
        <v>36</v>
      </c>
      <c r="E815" s="1">
        <v>1.9791666666666665</v>
      </c>
      <c r="F815" t="s">
        <v>1162</v>
      </c>
      <c r="G815">
        <v>2</v>
      </c>
      <c r="H815">
        <v>1080.7139</v>
      </c>
      <c r="I815">
        <v>5</v>
      </c>
      <c r="J815">
        <v>1163.79</v>
      </c>
      <c r="K815">
        <v>3.9161333999415802</v>
      </c>
      <c r="L815">
        <v>609.91</v>
      </c>
      <c r="M815" t="s">
        <v>60</v>
      </c>
      <c r="N815">
        <v>1</v>
      </c>
      <c r="O815">
        <v>1308</v>
      </c>
      <c r="P815">
        <v>1135</v>
      </c>
      <c r="Q815">
        <v>0.5</v>
      </c>
      <c r="R815">
        <v>567.5</v>
      </c>
    </row>
    <row r="816" spans="1:18" x14ac:dyDescent="0.3">
      <c r="A816" s="5">
        <v>45961</v>
      </c>
      <c r="B816" t="s">
        <v>1163</v>
      </c>
      <c r="C816">
        <v>22</v>
      </c>
      <c r="D816">
        <v>36</v>
      </c>
      <c r="E816" s="1">
        <v>1.0833333333333333</v>
      </c>
      <c r="F816" t="s">
        <v>1164</v>
      </c>
      <c r="G816">
        <v>0</v>
      </c>
      <c r="H816">
        <v>1081.0419999999999</v>
      </c>
      <c r="I816">
        <v>2.5</v>
      </c>
      <c r="J816">
        <v>1163.79</v>
      </c>
      <c r="K816">
        <v>1.9580666999707901</v>
      </c>
      <c r="L816">
        <v>1175.17</v>
      </c>
      <c r="M816" t="s">
        <v>27</v>
      </c>
      <c r="N816">
        <v>1</v>
      </c>
      <c r="O816">
        <v>1281</v>
      </c>
      <c r="P816">
        <v>1108</v>
      </c>
      <c r="Q816">
        <v>0</v>
      </c>
      <c r="R816">
        <v>1108</v>
      </c>
    </row>
    <row r="817" spans="1:18" x14ac:dyDescent="0.3">
      <c r="A817" s="5">
        <v>45961</v>
      </c>
      <c r="B817" t="s">
        <v>1165</v>
      </c>
      <c r="C817">
        <v>23</v>
      </c>
      <c r="D817">
        <v>36</v>
      </c>
      <c r="E817" s="1">
        <v>1.0833333333333333</v>
      </c>
      <c r="F817" t="s">
        <v>1164</v>
      </c>
      <c r="G817">
        <v>0</v>
      </c>
      <c r="H817">
        <v>1081.0242000000001</v>
      </c>
      <c r="I817">
        <v>2.5</v>
      </c>
      <c r="J817">
        <v>1163.79</v>
      </c>
      <c r="K817">
        <v>1.9580666999707901</v>
      </c>
      <c r="L817">
        <v>1175.17</v>
      </c>
      <c r="M817" t="s">
        <v>27</v>
      </c>
      <c r="N817">
        <v>1</v>
      </c>
      <c r="O817">
        <v>1281</v>
      </c>
      <c r="P817">
        <v>1108</v>
      </c>
      <c r="Q817">
        <v>0</v>
      </c>
      <c r="R817">
        <v>1108</v>
      </c>
    </row>
    <row r="818" spans="1:18" x14ac:dyDescent="0.3">
      <c r="A818" s="5">
        <v>45961</v>
      </c>
      <c r="B818" t="s">
        <v>1166</v>
      </c>
      <c r="C818">
        <v>20</v>
      </c>
      <c r="D818">
        <v>36</v>
      </c>
      <c r="E818" s="1">
        <v>1.4583333333333333</v>
      </c>
      <c r="F818" t="s">
        <v>1167</v>
      </c>
      <c r="G818">
        <v>2</v>
      </c>
      <c r="H818">
        <v>1081.2063000000001</v>
      </c>
      <c r="I818">
        <v>5</v>
      </c>
      <c r="J818">
        <v>1163.79</v>
      </c>
      <c r="K818">
        <v>3.9161333999415802</v>
      </c>
      <c r="L818">
        <v>618.53</v>
      </c>
      <c r="M818" t="s">
        <v>60</v>
      </c>
      <c r="N818">
        <v>1</v>
      </c>
      <c r="O818">
        <v>1308</v>
      </c>
      <c r="P818">
        <v>1135</v>
      </c>
      <c r="Q818">
        <v>0.5</v>
      </c>
      <c r="R818">
        <v>567.5</v>
      </c>
    </row>
    <row r="819" spans="1:18" x14ac:dyDescent="0.3">
      <c r="A819" s="5">
        <v>45961</v>
      </c>
      <c r="B819" t="s">
        <v>1168</v>
      </c>
      <c r="C819">
        <v>1</v>
      </c>
      <c r="D819">
        <v>36</v>
      </c>
      <c r="E819" s="1">
        <v>1.0833333333333333</v>
      </c>
      <c r="F819" t="s">
        <v>1169</v>
      </c>
      <c r="G819">
        <v>0</v>
      </c>
      <c r="H819">
        <v>1081.6268</v>
      </c>
      <c r="I819">
        <v>2.5</v>
      </c>
      <c r="J819">
        <v>1163.79</v>
      </c>
      <c r="K819">
        <v>1.9580666999707901</v>
      </c>
      <c r="L819">
        <v>1158.8800000000001</v>
      </c>
      <c r="M819" t="s">
        <v>27</v>
      </c>
      <c r="N819">
        <v>1</v>
      </c>
      <c r="O819">
        <v>1282</v>
      </c>
      <c r="P819">
        <v>1109</v>
      </c>
      <c r="Q819">
        <v>0</v>
      </c>
      <c r="R819">
        <v>1109</v>
      </c>
    </row>
    <row r="820" spans="1:18" x14ac:dyDescent="0.3">
      <c r="A820" s="5">
        <v>45961</v>
      </c>
      <c r="B820" t="s">
        <v>1170</v>
      </c>
      <c r="C820">
        <v>7</v>
      </c>
      <c r="D820">
        <v>36</v>
      </c>
      <c r="E820" s="1">
        <v>1.9993055555555554</v>
      </c>
      <c r="F820" t="s">
        <v>1171</v>
      </c>
      <c r="G820">
        <v>5</v>
      </c>
      <c r="H820">
        <v>1081.2411999999999</v>
      </c>
      <c r="I820">
        <v>0</v>
      </c>
      <c r="J820">
        <v>1163.79</v>
      </c>
      <c r="K820">
        <v>0</v>
      </c>
      <c r="L820">
        <v>1175.17</v>
      </c>
      <c r="M820" t="s">
        <v>27</v>
      </c>
      <c r="N820">
        <v>1</v>
      </c>
      <c r="O820">
        <v>1254</v>
      </c>
      <c r="P820">
        <v>1081</v>
      </c>
      <c r="Q820">
        <v>0</v>
      </c>
      <c r="R820">
        <v>1081</v>
      </c>
    </row>
    <row r="821" spans="1:18" x14ac:dyDescent="0.3">
      <c r="A821" s="5">
        <v>45961</v>
      </c>
      <c r="B821" t="s">
        <v>1172</v>
      </c>
      <c r="C821">
        <v>5</v>
      </c>
      <c r="D821">
        <v>36</v>
      </c>
      <c r="E821" s="1">
        <v>1.9993055555555554</v>
      </c>
      <c r="F821" t="s">
        <v>1173</v>
      </c>
      <c r="G821">
        <v>4</v>
      </c>
      <c r="H821">
        <v>1079.2329999999999</v>
      </c>
      <c r="I821">
        <v>7</v>
      </c>
      <c r="J821">
        <v>1163.79</v>
      </c>
      <c r="K821">
        <v>5.4825867599182097</v>
      </c>
      <c r="L821">
        <v>1219.83</v>
      </c>
      <c r="M821" t="s">
        <v>27</v>
      </c>
      <c r="N821">
        <v>1</v>
      </c>
      <c r="O821">
        <v>1327</v>
      </c>
      <c r="P821">
        <v>1155</v>
      </c>
      <c r="Q821">
        <v>0</v>
      </c>
      <c r="R821">
        <v>1155</v>
      </c>
    </row>
    <row r="822" spans="1:18" x14ac:dyDescent="0.3">
      <c r="A822" s="5">
        <v>45961</v>
      </c>
      <c r="B822" t="s">
        <v>1174</v>
      </c>
      <c r="C822">
        <v>6</v>
      </c>
      <c r="D822">
        <v>36</v>
      </c>
      <c r="E822" s="1">
        <v>1.9993055555555554</v>
      </c>
      <c r="F822" t="s">
        <v>1173</v>
      </c>
      <c r="G822">
        <v>4</v>
      </c>
      <c r="H822">
        <v>1079.2150999999999</v>
      </c>
      <c r="I822">
        <v>7</v>
      </c>
      <c r="J822">
        <v>1163.79</v>
      </c>
      <c r="K822">
        <v>5.4825867599182097</v>
      </c>
      <c r="L822">
        <v>1219.83</v>
      </c>
      <c r="M822" t="s">
        <v>27</v>
      </c>
      <c r="N822">
        <v>1</v>
      </c>
      <c r="O822">
        <v>1327</v>
      </c>
      <c r="P822">
        <v>1155</v>
      </c>
      <c r="Q822">
        <v>0</v>
      </c>
      <c r="R822">
        <v>1155</v>
      </c>
    </row>
    <row r="823" spans="1:18" x14ac:dyDescent="0.3">
      <c r="A823" s="5">
        <v>45961</v>
      </c>
      <c r="B823" t="s">
        <v>1175</v>
      </c>
      <c r="C823">
        <v>18</v>
      </c>
      <c r="D823">
        <v>36</v>
      </c>
      <c r="E823" s="1">
        <v>1.9993055555555554</v>
      </c>
      <c r="F823" t="s">
        <v>1176</v>
      </c>
      <c r="G823">
        <v>5</v>
      </c>
      <c r="H823">
        <v>1081.0426</v>
      </c>
      <c r="I823">
        <v>0</v>
      </c>
      <c r="J823">
        <v>1163.79</v>
      </c>
      <c r="K823">
        <v>0</v>
      </c>
      <c r="L823">
        <v>1175.17</v>
      </c>
      <c r="M823" t="s">
        <v>27</v>
      </c>
      <c r="N823">
        <v>1</v>
      </c>
      <c r="O823">
        <v>1254</v>
      </c>
      <c r="P823">
        <v>1081</v>
      </c>
      <c r="Q823">
        <v>0</v>
      </c>
      <c r="R823">
        <v>1081</v>
      </c>
    </row>
    <row r="824" spans="1:18" x14ac:dyDescent="0.3">
      <c r="A824" s="5">
        <v>45961</v>
      </c>
      <c r="B824" t="s">
        <v>1177</v>
      </c>
      <c r="C824">
        <v>4</v>
      </c>
      <c r="D824">
        <v>36</v>
      </c>
      <c r="E824" s="1">
        <v>1.4583333333333333</v>
      </c>
      <c r="F824" t="s">
        <v>1178</v>
      </c>
      <c r="G824">
        <v>0</v>
      </c>
      <c r="H824">
        <v>1081.3032000000001</v>
      </c>
      <c r="I824">
        <v>2.5</v>
      </c>
      <c r="J824">
        <v>1163.79</v>
      </c>
      <c r="K824">
        <v>1.9580666999707901</v>
      </c>
      <c r="L824">
        <v>1175.17</v>
      </c>
      <c r="M824" t="s">
        <v>27</v>
      </c>
      <c r="N824">
        <v>1</v>
      </c>
      <c r="O824">
        <v>1281</v>
      </c>
      <c r="P824">
        <v>1108</v>
      </c>
      <c r="Q824">
        <v>0</v>
      </c>
      <c r="R824">
        <v>1108</v>
      </c>
    </row>
    <row r="825" spans="1:18" x14ac:dyDescent="0.3">
      <c r="A825" s="5">
        <v>45961</v>
      </c>
      <c r="B825" t="s">
        <v>1179</v>
      </c>
      <c r="C825">
        <v>4</v>
      </c>
      <c r="D825">
        <v>36</v>
      </c>
      <c r="E825" s="1">
        <v>1.25</v>
      </c>
      <c r="F825" t="s">
        <v>1180</v>
      </c>
      <c r="G825">
        <v>0</v>
      </c>
      <c r="H825">
        <v>1081.5231000000001</v>
      </c>
      <c r="I825">
        <v>2.5</v>
      </c>
      <c r="J825">
        <v>1163.79</v>
      </c>
      <c r="K825">
        <v>1.9580666999707901</v>
      </c>
      <c r="L825">
        <v>1175.17</v>
      </c>
      <c r="M825" t="s">
        <v>27</v>
      </c>
      <c r="N825">
        <v>1</v>
      </c>
      <c r="O825">
        <v>1282</v>
      </c>
      <c r="P825">
        <v>1109</v>
      </c>
      <c r="Q825">
        <v>0</v>
      </c>
      <c r="R825">
        <v>1109</v>
      </c>
    </row>
    <row r="826" spans="1:18" x14ac:dyDescent="0.3">
      <c r="A826" s="5">
        <v>45961</v>
      </c>
      <c r="B826" t="s">
        <v>1181</v>
      </c>
      <c r="C826">
        <v>23</v>
      </c>
      <c r="D826">
        <v>36</v>
      </c>
      <c r="E826" s="1">
        <v>1.9993055555555554</v>
      </c>
      <c r="F826" t="s">
        <v>1020</v>
      </c>
      <c r="G826">
        <v>5</v>
      </c>
      <c r="H826">
        <v>1080.8202000000001</v>
      </c>
      <c r="I826">
        <v>0</v>
      </c>
      <c r="J826">
        <v>1163.79</v>
      </c>
      <c r="K826">
        <v>0</v>
      </c>
      <c r="L826">
        <v>1175.17</v>
      </c>
      <c r="M826" t="s">
        <v>27</v>
      </c>
      <c r="N826">
        <v>1</v>
      </c>
      <c r="O826">
        <v>1254</v>
      </c>
      <c r="P826">
        <v>1081</v>
      </c>
      <c r="Q826">
        <v>0</v>
      </c>
      <c r="R826">
        <v>1081</v>
      </c>
    </row>
    <row r="827" spans="1:18" x14ac:dyDescent="0.3">
      <c r="A827" s="5">
        <v>45961</v>
      </c>
      <c r="B827" t="s">
        <v>1181</v>
      </c>
      <c r="C827">
        <v>23</v>
      </c>
      <c r="D827">
        <v>36</v>
      </c>
      <c r="E827" s="1">
        <v>1.9993055555555554</v>
      </c>
      <c r="F827" t="s">
        <v>1020</v>
      </c>
      <c r="G827">
        <v>5</v>
      </c>
      <c r="H827">
        <v>1080.8202000000001</v>
      </c>
      <c r="I827">
        <v>0</v>
      </c>
      <c r="J827">
        <v>1163.79</v>
      </c>
      <c r="K827">
        <v>0</v>
      </c>
      <c r="L827">
        <v>1175.17</v>
      </c>
      <c r="M827" t="s">
        <v>27</v>
      </c>
      <c r="N827">
        <v>1</v>
      </c>
      <c r="O827">
        <v>1254</v>
      </c>
      <c r="P827">
        <v>1081</v>
      </c>
      <c r="Q827">
        <v>0</v>
      </c>
      <c r="R827">
        <v>1081</v>
      </c>
    </row>
    <row r="828" spans="1:18" x14ac:dyDescent="0.3">
      <c r="A828" s="5">
        <v>45961</v>
      </c>
      <c r="B828" t="s">
        <v>1182</v>
      </c>
      <c r="C828">
        <v>22</v>
      </c>
      <c r="D828">
        <v>36</v>
      </c>
      <c r="E828" s="1">
        <v>1.9993055555555554</v>
      </c>
      <c r="F828" t="s">
        <v>1020</v>
      </c>
      <c r="G828">
        <v>5</v>
      </c>
      <c r="H828">
        <v>1080.8380999999999</v>
      </c>
      <c r="I828">
        <v>0</v>
      </c>
      <c r="J828">
        <v>1163.79</v>
      </c>
      <c r="K828">
        <v>0</v>
      </c>
      <c r="L828">
        <v>1175.17</v>
      </c>
      <c r="M828" t="s">
        <v>27</v>
      </c>
      <c r="N828">
        <v>1</v>
      </c>
      <c r="O828">
        <v>1254</v>
      </c>
      <c r="P828">
        <v>1081</v>
      </c>
      <c r="Q828">
        <v>0</v>
      </c>
      <c r="R828">
        <v>1081</v>
      </c>
    </row>
    <row r="829" spans="1:18" x14ac:dyDescent="0.3">
      <c r="A829" s="5">
        <v>45961</v>
      </c>
      <c r="B829" t="s">
        <v>1182</v>
      </c>
      <c r="C829">
        <v>22</v>
      </c>
      <c r="D829">
        <v>36</v>
      </c>
      <c r="E829" s="1">
        <v>1.9993055555555554</v>
      </c>
      <c r="F829" t="s">
        <v>1020</v>
      </c>
      <c r="G829">
        <v>5</v>
      </c>
      <c r="H829">
        <v>1080.8380999999999</v>
      </c>
      <c r="I829">
        <v>0</v>
      </c>
      <c r="J829">
        <v>1163.79</v>
      </c>
      <c r="K829">
        <v>0</v>
      </c>
      <c r="L829">
        <v>1175.17</v>
      </c>
      <c r="M829" t="s">
        <v>27</v>
      </c>
      <c r="N829">
        <v>1</v>
      </c>
      <c r="O829">
        <v>1254</v>
      </c>
      <c r="P829">
        <v>1081</v>
      </c>
      <c r="Q829">
        <v>0</v>
      </c>
      <c r="R829">
        <v>1081</v>
      </c>
    </row>
    <row r="830" spans="1:18" x14ac:dyDescent="0.3">
      <c r="A830" s="5">
        <v>45961</v>
      </c>
      <c r="B830" t="s">
        <v>1183</v>
      </c>
      <c r="C830">
        <v>16</v>
      </c>
      <c r="D830">
        <v>36</v>
      </c>
      <c r="E830" s="1">
        <v>1.0833333333333333</v>
      </c>
      <c r="F830" t="s">
        <v>1184</v>
      </c>
      <c r="G830">
        <v>4</v>
      </c>
      <c r="H830">
        <v>1080.5143</v>
      </c>
      <c r="I830">
        <v>7</v>
      </c>
      <c r="J830">
        <v>1163.79</v>
      </c>
      <c r="K830">
        <v>5.4825867599182097</v>
      </c>
      <c r="L830">
        <v>618.53</v>
      </c>
      <c r="M830" t="s">
        <v>60</v>
      </c>
      <c r="N830">
        <v>1</v>
      </c>
      <c r="O830">
        <v>1329</v>
      </c>
      <c r="P830">
        <v>1156</v>
      </c>
      <c r="Q830">
        <v>0.5</v>
      </c>
      <c r="R830">
        <v>578</v>
      </c>
    </row>
    <row r="831" spans="1:18" x14ac:dyDescent="0.3">
      <c r="A831" s="5">
        <v>45961</v>
      </c>
      <c r="B831" t="s">
        <v>1185</v>
      </c>
      <c r="C831">
        <v>17</v>
      </c>
      <c r="D831">
        <v>36</v>
      </c>
      <c r="E831" s="1">
        <v>1.0833333333333333</v>
      </c>
      <c r="F831" t="s">
        <v>1186</v>
      </c>
      <c r="G831">
        <v>2</v>
      </c>
      <c r="H831">
        <v>1080.4962</v>
      </c>
      <c r="I831">
        <v>5</v>
      </c>
      <c r="J831">
        <v>1163.79</v>
      </c>
      <c r="K831">
        <v>3.9161333999415802</v>
      </c>
      <c r="L831">
        <v>618.53</v>
      </c>
      <c r="M831" t="s">
        <v>60</v>
      </c>
      <c r="N831">
        <v>1</v>
      </c>
      <c r="O831">
        <v>1307</v>
      </c>
      <c r="P831">
        <v>1135</v>
      </c>
      <c r="Q831">
        <v>0.5</v>
      </c>
      <c r="R831">
        <v>567.5</v>
      </c>
    </row>
    <row r="832" spans="1:18" x14ac:dyDescent="0.3">
      <c r="A832" s="5">
        <v>45961</v>
      </c>
      <c r="B832" t="s">
        <v>1187</v>
      </c>
      <c r="C832">
        <v>15</v>
      </c>
      <c r="D832">
        <v>36</v>
      </c>
      <c r="E832" s="1">
        <v>1.9993055555555554</v>
      </c>
      <c r="F832" t="s">
        <v>1188</v>
      </c>
      <c r="G832">
        <v>0</v>
      </c>
      <c r="H832">
        <v>1081.067</v>
      </c>
      <c r="I832">
        <v>2.5</v>
      </c>
      <c r="J832">
        <v>1163.79</v>
      </c>
      <c r="K832">
        <v>1.9580666999707901</v>
      </c>
      <c r="L832">
        <v>1175.17</v>
      </c>
      <c r="M832" t="s">
        <v>27</v>
      </c>
      <c r="N832">
        <v>1</v>
      </c>
      <c r="O832">
        <v>1281</v>
      </c>
      <c r="P832">
        <v>1108</v>
      </c>
      <c r="Q832">
        <v>0</v>
      </c>
      <c r="R832">
        <v>1108</v>
      </c>
    </row>
    <row r="833" spans="1:18" x14ac:dyDescent="0.3">
      <c r="A833" s="5">
        <v>45961</v>
      </c>
      <c r="B833" t="s">
        <v>1187</v>
      </c>
      <c r="C833">
        <v>15</v>
      </c>
      <c r="D833">
        <v>36</v>
      </c>
      <c r="E833" s="1">
        <v>1.9993055555555554</v>
      </c>
      <c r="F833" t="s">
        <v>1188</v>
      </c>
      <c r="G833">
        <v>0</v>
      </c>
      <c r="H833">
        <v>1081.067</v>
      </c>
      <c r="I833">
        <v>2.5</v>
      </c>
      <c r="J833">
        <v>1163.79</v>
      </c>
      <c r="K833">
        <v>1.9580666999707901</v>
      </c>
      <c r="L833">
        <v>1175.17</v>
      </c>
      <c r="M833" t="s">
        <v>27</v>
      </c>
      <c r="N833">
        <v>1</v>
      </c>
      <c r="O833">
        <v>1281</v>
      </c>
      <c r="P833">
        <v>1108</v>
      </c>
      <c r="Q833">
        <v>0</v>
      </c>
      <c r="R833">
        <v>1108</v>
      </c>
    </row>
    <row r="834" spans="1:18" x14ac:dyDescent="0.3">
      <c r="A834" s="5">
        <v>45961</v>
      </c>
      <c r="B834" t="s">
        <v>1189</v>
      </c>
      <c r="C834">
        <v>9</v>
      </c>
      <c r="D834">
        <v>36</v>
      </c>
      <c r="E834" s="1">
        <v>1.9993055555555554</v>
      </c>
      <c r="F834" t="s">
        <v>1188</v>
      </c>
      <c r="G834">
        <v>0</v>
      </c>
      <c r="H834">
        <v>1081.1746000000001</v>
      </c>
      <c r="I834">
        <v>2.5</v>
      </c>
      <c r="J834">
        <v>1163.79</v>
      </c>
      <c r="K834">
        <v>1.9580666999707901</v>
      </c>
      <c r="L834">
        <v>1175.17</v>
      </c>
      <c r="M834" t="s">
        <v>27</v>
      </c>
      <c r="N834">
        <v>1</v>
      </c>
      <c r="O834">
        <v>1281</v>
      </c>
      <c r="P834">
        <v>1108</v>
      </c>
      <c r="Q834">
        <v>0</v>
      </c>
      <c r="R834">
        <v>1108</v>
      </c>
    </row>
    <row r="835" spans="1:18" x14ac:dyDescent="0.3">
      <c r="A835" s="5">
        <v>45961</v>
      </c>
      <c r="B835" t="s">
        <v>1189</v>
      </c>
      <c r="C835">
        <v>9</v>
      </c>
      <c r="D835">
        <v>36</v>
      </c>
      <c r="E835" s="1">
        <v>1.9993055555555554</v>
      </c>
      <c r="F835" t="s">
        <v>1188</v>
      </c>
      <c r="G835">
        <v>0</v>
      </c>
      <c r="H835">
        <v>1081.1746000000001</v>
      </c>
      <c r="I835">
        <v>2.5</v>
      </c>
      <c r="J835">
        <v>1163.79</v>
      </c>
      <c r="K835">
        <v>1.9580666999707901</v>
      </c>
      <c r="L835">
        <v>1175.17</v>
      </c>
      <c r="M835" t="s">
        <v>27</v>
      </c>
      <c r="N835">
        <v>1</v>
      </c>
      <c r="O835">
        <v>1281</v>
      </c>
      <c r="P835">
        <v>1108</v>
      </c>
      <c r="Q835">
        <v>0</v>
      </c>
      <c r="R835">
        <v>1108</v>
      </c>
    </row>
    <row r="836" spans="1:18" x14ac:dyDescent="0.3">
      <c r="A836" s="5">
        <v>45961</v>
      </c>
      <c r="B836" t="s">
        <v>1190</v>
      </c>
      <c r="C836">
        <v>7</v>
      </c>
      <c r="D836">
        <v>36</v>
      </c>
      <c r="E836" s="1">
        <v>1.9791666666666665</v>
      </c>
      <c r="F836" t="s">
        <v>1191</v>
      </c>
      <c r="G836">
        <v>2</v>
      </c>
      <c r="H836">
        <v>1081.2098000000001</v>
      </c>
      <c r="I836">
        <v>5</v>
      </c>
      <c r="J836">
        <v>1163.79</v>
      </c>
      <c r="K836">
        <v>3.9161333999415802</v>
      </c>
      <c r="L836">
        <v>618.53</v>
      </c>
      <c r="M836" t="s">
        <v>60</v>
      </c>
      <c r="N836">
        <v>1</v>
      </c>
      <c r="O836">
        <v>1308</v>
      </c>
      <c r="P836">
        <v>1135</v>
      </c>
      <c r="Q836">
        <v>0.5</v>
      </c>
      <c r="R836">
        <v>567.5</v>
      </c>
    </row>
    <row r="837" spans="1:18" x14ac:dyDescent="0.3">
      <c r="A837" s="5">
        <v>45961</v>
      </c>
      <c r="B837" t="s">
        <v>1192</v>
      </c>
      <c r="C837">
        <v>3</v>
      </c>
      <c r="D837">
        <v>36</v>
      </c>
      <c r="E837" s="1">
        <v>1.9993055555555554</v>
      </c>
      <c r="F837" t="s">
        <v>1193</v>
      </c>
      <c r="G837">
        <v>2</v>
      </c>
      <c r="H837">
        <v>1081.2252000000001</v>
      </c>
      <c r="I837">
        <v>5</v>
      </c>
      <c r="J837">
        <v>1163.79</v>
      </c>
      <c r="K837">
        <v>3.9161333999415802</v>
      </c>
      <c r="L837">
        <v>618.53</v>
      </c>
      <c r="M837" t="s">
        <v>60</v>
      </c>
      <c r="N837">
        <v>1</v>
      </c>
      <c r="O837">
        <v>1308</v>
      </c>
      <c r="P837">
        <v>1135</v>
      </c>
      <c r="Q837">
        <v>0.5</v>
      </c>
      <c r="R837">
        <v>567.5</v>
      </c>
    </row>
    <row r="838" spans="1:18" x14ac:dyDescent="0.3">
      <c r="A838" s="5">
        <v>45961</v>
      </c>
      <c r="B838" t="s">
        <v>1194</v>
      </c>
      <c r="C838">
        <v>16</v>
      </c>
      <c r="D838">
        <v>36</v>
      </c>
      <c r="E838" s="1">
        <v>1.9993055555555554</v>
      </c>
      <c r="F838" t="s">
        <v>1195</v>
      </c>
      <c r="G838">
        <v>3</v>
      </c>
      <c r="H838">
        <v>1081.0652</v>
      </c>
      <c r="I838">
        <v>10</v>
      </c>
      <c r="J838">
        <v>1163.79</v>
      </c>
      <c r="K838">
        <v>7.8322667998831603</v>
      </c>
      <c r="L838">
        <v>618.53</v>
      </c>
      <c r="M838" t="s">
        <v>20</v>
      </c>
      <c r="N838">
        <v>1</v>
      </c>
      <c r="O838">
        <v>1362</v>
      </c>
      <c r="P838">
        <v>1189</v>
      </c>
      <c r="Q838">
        <v>0.5</v>
      </c>
      <c r="R838">
        <v>594.5</v>
      </c>
    </row>
    <row r="839" spans="1:18" x14ac:dyDescent="0.3">
      <c r="A839" s="5">
        <v>45961</v>
      </c>
      <c r="B839" t="s">
        <v>1196</v>
      </c>
      <c r="C839">
        <v>18</v>
      </c>
      <c r="D839">
        <v>36</v>
      </c>
      <c r="E839" s="1">
        <v>1.4583333333333333</v>
      </c>
      <c r="F839" t="s">
        <v>1197</v>
      </c>
      <c r="G839">
        <v>4</v>
      </c>
      <c r="H839">
        <v>1081.4650999999999</v>
      </c>
      <c r="I839">
        <v>7</v>
      </c>
      <c r="J839">
        <v>1163.79</v>
      </c>
      <c r="K839">
        <v>5.4825867599182097</v>
      </c>
      <c r="L839">
        <v>1097.8399999999999</v>
      </c>
      <c r="M839" t="s">
        <v>27</v>
      </c>
      <c r="N839">
        <v>1</v>
      </c>
      <c r="O839">
        <v>1330</v>
      </c>
      <c r="P839">
        <v>1157</v>
      </c>
      <c r="Q839">
        <v>0</v>
      </c>
      <c r="R839">
        <v>1157</v>
      </c>
    </row>
    <row r="840" spans="1:18" x14ac:dyDescent="0.3">
      <c r="A840" s="5">
        <v>45961</v>
      </c>
      <c r="B840" t="s">
        <v>1198</v>
      </c>
      <c r="C840">
        <v>2</v>
      </c>
      <c r="D840">
        <v>36</v>
      </c>
      <c r="E840" s="1">
        <v>1.9791666666666665</v>
      </c>
      <c r="F840" t="s">
        <v>1199</v>
      </c>
      <c r="G840">
        <v>2</v>
      </c>
      <c r="H840">
        <v>1081.3167000000001</v>
      </c>
      <c r="I840">
        <v>5</v>
      </c>
      <c r="J840">
        <v>1163.79</v>
      </c>
      <c r="K840">
        <v>3.9161333999415802</v>
      </c>
      <c r="L840">
        <v>601.29</v>
      </c>
      <c r="M840" t="s">
        <v>60</v>
      </c>
      <c r="N840">
        <v>1</v>
      </c>
      <c r="O840">
        <v>1308</v>
      </c>
      <c r="P840">
        <v>1135</v>
      </c>
      <c r="Q840">
        <v>0.5</v>
      </c>
      <c r="R840">
        <v>567.5</v>
      </c>
    </row>
    <row r="841" spans="1:18" x14ac:dyDescent="0.3">
      <c r="A841" s="5">
        <v>45961</v>
      </c>
      <c r="B841" t="s">
        <v>1200</v>
      </c>
      <c r="C841">
        <v>17</v>
      </c>
      <c r="D841">
        <v>36</v>
      </c>
      <c r="E841" s="1">
        <v>1.9791666666666665</v>
      </c>
      <c r="F841" t="s">
        <v>1201</v>
      </c>
      <c r="G841">
        <v>2</v>
      </c>
      <c r="H841">
        <v>1081.0465999999999</v>
      </c>
      <c r="I841">
        <v>5</v>
      </c>
      <c r="J841">
        <v>1163.79</v>
      </c>
      <c r="K841">
        <v>3.9161333999415802</v>
      </c>
      <c r="L841">
        <v>618.53</v>
      </c>
      <c r="M841" t="s">
        <v>60</v>
      </c>
      <c r="N841">
        <v>1</v>
      </c>
      <c r="O841">
        <v>1308</v>
      </c>
      <c r="P841">
        <v>1135</v>
      </c>
      <c r="Q841">
        <v>0.5</v>
      </c>
      <c r="R841">
        <v>567.5</v>
      </c>
    </row>
    <row r="842" spans="1:18" x14ac:dyDescent="0.3">
      <c r="A842" s="5">
        <v>45961</v>
      </c>
      <c r="B842" t="s">
        <v>1202</v>
      </c>
      <c r="C842">
        <v>32</v>
      </c>
      <c r="D842">
        <v>36</v>
      </c>
      <c r="E842" s="1">
        <v>1.9791666666666665</v>
      </c>
      <c r="F842" t="s">
        <v>1203</v>
      </c>
      <c r="G842">
        <v>5</v>
      </c>
      <c r="H842">
        <v>1080.6270999999999</v>
      </c>
      <c r="I842">
        <v>0</v>
      </c>
      <c r="J842">
        <v>1163.79</v>
      </c>
      <c r="K842">
        <v>0</v>
      </c>
      <c r="L842">
        <v>1175.17</v>
      </c>
      <c r="M842" t="s">
        <v>27</v>
      </c>
      <c r="N842">
        <v>1</v>
      </c>
      <c r="O842">
        <v>1254</v>
      </c>
      <c r="P842">
        <v>1081</v>
      </c>
      <c r="Q842">
        <v>0</v>
      </c>
      <c r="R842">
        <v>1081</v>
      </c>
    </row>
    <row r="843" spans="1:18" x14ac:dyDescent="0.3">
      <c r="A843" s="5">
        <v>45961</v>
      </c>
      <c r="B843" t="s">
        <v>1204</v>
      </c>
      <c r="C843">
        <v>28</v>
      </c>
      <c r="D843">
        <v>36</v>
      </c>
      <c r="E843" s="1">
        <v>1.9791666666666665</v>
      </c>
      <c r="F843" t="s">
        <v>1205</v>
      </c>
      <c r="G843">
        <v>5</v>
      </c>
      <c r="H843">
        <v>1080.73</v>
      </c>
      <c r="I843">
        <v>0</v>
      </c>
      <c r="J843">
        <v>1163.79</v>
      </c>
      <c r="K843">
        <v>0</v>
      </c>
      <c r="L843">
        <v>989.65</v>
      </c>
      <c r="M843" t="s">
        <v>44</v>
      </c>
      <c r="N843">
        <v>1</v>
      </c>
      <c r="O843">
        <v>1254</v>
      </c>
      <c r="P843">
        <v>1081</v>
      </c>
      <c r="Q843">
        <v>0</v>
      </c>
      <c r="R843">
        <v>1081</v>
      </c>
    </row>
    <row r="844" spans="1:18" x14ac:dyDescent="0.3">
      <c r="A844" s="5">
        <v>45961</v>
      </c>
      <c r="B844" t="s">
        <v>1206</v>
      </c>
      <c r="C844">
        <v>13</v>
      </c>
      <c r="D844">
        <v>36</v>
      </c>
      <c r="E844" s="1">
        <v>1.0833333333333333</v>
      </c>
      <c r="F844" t="s">
        <v>1207</v>
      </c>
      <c r="G844">
        <v>4</v>
      </c>
      <c r="H844">
        <v>1079.2311999999999</v>
      </c>
      <c r="I844">
        <v>7</v>
      </c>
      <c r="J844">
        <v>1163.79</v>
      </c>
      <c r="K844">
        <v>5.4825867599182097</v>
      </c>
      <c r="L844">
        <v>1219.83</v>
      </c>
      <c r="M844" t="s">
        <v>27</v>
      </c>
      <c r="N844">
        <v>1</v>
      </c>
      <c r="O844">
        <v>1327</v>
      </c>
      <c r="P844">
        <v>1155</v>
      </c>
      <c r="Q844">
        <v>0</v>
      </c>
      <c r="R844">
        <v>1155</v>
      </c>
    </row>
    <row r="845" spans="1:18" x14ac:dyDescent="0.3">
      <c r="A845" s="5">
        <v>45961</v>
      </c>
      <c r="B845" t="s">
        <v>1208</v>
      </c>
      <c r="C845">
        <v>33</v>
      </c>
      <c r="D845">
        <v>36</v>
      </c>
      <c r="E845" s="1">
        <v>1.4583333333333333</v>
      </c>
      <c r="F845" t="s">
        <v>1209</v>
      </c>
      <c r="G845">
        <v>4</v>
      </c>
      <c r="H845">
        <v>1080.8353</v>
      </c>
      <c r="I845">
        <v>7</v>
      </c>
      <c r="J845">
        <v>1163.79</v>
      </c>
      <c r="K845">
        <v>5.4825867599182097</v>
      </c>
      <c r="L845">
        <v>1175.17</v>
      </c>
      <c r="M845" t="s">
        <v>27</v>
      </c>
      <c r="N845">
        <v>1</v>
      </c>
      <c r="O845">
        <v>1329</v>
      </c>
      <c r="P845">
        <v>1156</v>
      </c>
      <c r="Q845">
        <v>0</v>
      </c>
      <c r="R845">
        <v>1156</v>
      </c>
    </row>
    <row r="846" spans="1:18" x14ac:dyDescent="0.3">
      <c r="A846" s="5">
        <v>45961</v>
      </c>
      <c r="B846" t="s">
        <v>1210</v>
      </c>
      <c r="C846">
        <v>34</v>
      </c>
      <c r="D846">
        <v>36</v>
      </c>
      <c r="E846" s="1">
        <v>1.4583333333333333</v>
      </c>
      <c r="F846" t="s">
        <v>1209</v>
      </c>
      <c r="G846">
        <v>4</v>
      </c>
      <c r="H846">
        <v>1080.8172999999999</v>
      </c>
      <c r="I846">
        <v>7</v>
      </c>
      <c r="J846">
        <v>1163.79</v>
      </c>
      <c r="K846">
        <v>5.4825867599182097</v>
      </c>
      <c r="L846">
        <v>1175.17</v>
      </c>
      <c r="M846" t="s">
        <v>27</v>
      </c>
      <c r="N846">
        <v>1</v>
      </c>
      <c r="O846">
        <v>1329</v>
      </c>
      <c r="P846">
        <v>1156</v>
      </c>
      <c r="Q846">
        <v>0</v>
      </c>
      <c r="R846">
        <v>1156</v>
      </c>
    </row>
    <row r="847" spans="1:18" x14ac:dyDescent="0.3">
      <c r="A847" s="5">
        <v>45962</v>
      </c>
      <c r="B847" t="s">
        <v>1211</v>
      </c>
      <c r="C847">
        <v>32</v>
      </c>
      <c r="D847">
        <v>36</v>
      </c>
      <c r="E847" s="1">
        <v>1.0833333333333333</v>
      </c>
      <c r="F847" t="s">
        <v>1212</v>
      </c>
      <c r="G847">
        <v>3</v>
      </c>
      <c r="H847">
        <v>1080.7888</v>
      </c>
      <c r="I847">
        <v>10</v>
      </c>
      <c r="J847">
        <v>1163.79</v>
      </c>
      <c r="K847">
        <v>7.8322667998831603</v>
      </c>
      <c r="L847">
        <v>618.53</v>
      </c>
      <c r="M847" t="s">
        <v>20</v>
      </c>
      <c r="N847">
        <v>1</v>
      </c>
      <c r="O847">
        <v>1362</v>
      </c>
      <c r="P847">
        <v>1189</v>
      </c>
      <c r="Q847">
        <v>0.5</v>
      </c>
      <c r="R847">
        <v>594.5</v>
      </c>
    </row>
    <row r="848" spans="1:18" x14ac:dyDescent="0.3">
      <c r="A848" s="5">
        <v>45962</v>
      </c>
      <c r="B848" t="s">
        <v>1213</v>
      </c>
      <c r="C848">
        <v>35</v>
      </c>
      <c r="D848">
        <v>36</v>
      </c>
      <c r="E848" s="1">
        <v>1.0833333333333333</v>
      </c>
      <c r="F848" t="s">
        <v>1214</v>
      </c>
      <c r="G848">
        <v>3</v>
      </c>
      <c r="H848">
        <v>1080.7348999999999</v>
      </c>
      <c r="I848">
        <v>10</v>
      </c>
      <c r="J848">
        <v>1163.79</v>
      </c>
      <c r="K848">
        <v>7.8322667998831603</v>
      </c>
      <c r="L848">
        <v>618.53</v>
      </c>
      <c r="M848" t="s">
        <v>20</v>
      </c>
      <c r="N848">
        <v>1</v>
      </c>
      <c r="O848">
        <v>1362</v>
      </c>
      <c r="P848">
        <v>1189</v>
      </c>
      <c r="Q848">
        <v>0.5</v>
      </c>
      <c r="R848">
        <v>594.5</v>
      </c>
    </row>
    <row r="849" spans="1:18" x14ac:dyDescent="0.3">
      <c r="A849" s="5">
        <v>45962</v>
      </c>
      <c r="B849" t="s">
        <v>1215</v>
      </c>
      <c r="C849">
        <v>24</v>
      </c>
      <c r="D849">
        <v>36</v>
      </c>
      <c r="E849" s="1">
        <v>1.0833333333333333</v>
      </c>
      <c r="F849" t="s">
        <v>1216</v>
      </c>
      <c r="G849">
        <v>4</v>
      </c>
      <c r="H849">
        <v>1080.9321</v>
      </c>
      <c r="I849">
        <v>7</v>
      </c>
      <c r="J849">
        <v>1163.79</v>
      </c>
      <c r="K849">
        <v>5.4825867599182097</v>
      </c>
      <c r="L849">
        <v>1237.07</v>
      </c>
      <c r="M849" t="s">
        <v>27</v>
      </c>
      <c r="N849">
        <v>1</v>
      </c>
      <c r="O849">
        <v>1330</v>
      </c>
      <c r="P849">
        <v>1157</v>
      </c>
      <c r="Q849">
        <v>0</v>
      </c>
      <c r="R849">
        <v>1157</v>
      </c>
    </row>
    <row r="850" spans="1:18" x14ac:dyDescent="0.3">
      <c r="A850" s="5">
        <v>45962</v>
      </c>
      <c r="B850" t="s">
        <v>1217</v>
      </c>
      <c r="C850">
        <v>8</v>
      </c>
      <c r="D850">
        <v>36</v>
      </c>
      <c r="E850" s="1">
        <v>1.0833333333333333</v>
      </c>
      <c r="F850" t="s">
        <v>1218</v>
      </c>
      <c r="G850">
        <v>4</v>
      </c>
      <c r="H850">
        <v>1081.3510000000001</v>
      </c>
      <c r="I850">
        <v>7</v>
      </c>
      <c r="J850">
        <v>1163.79</v>
      </c>
      <c r="K850">
        <v>5.4825867599182097</v>
      </c>
      <c r="L850">
        <v>1237.07</v>
      </c>
      <c r="M850" t="s">
        <v>27</v>
      </c>
      <c r="N850">
        <v>1</v>
      </c>
      <c r="O850">
        <v>1330</v>
      </c>
      <c r="P850">
        <v>1157</v>
      </c>
      <c r="Q850">
        <v>0</v>
      </c>
      <c r="R850">
        <v>1157</v>
      </c>
    </row>
    <row r="851" spans="1:18" x14ac:dyDescent="0.3">
      <c r="A851" s="5">
        <v>45962</v>
      </c>
      <c r="B851" t="s">
        <v>1219</v>
      </c>
      <c r="C851">
        <v>12</v>
      </c>
      <c r="D851">
        <v>36</v>
      </c>
      <c r="E851" s="1">
        <v>1.0833333333333333</v>
      </c>
      <c r="F851" t="s">
        <v>1220</v>
      </c>
      <c r="G851">
        <v>0</v>
      </c>
      <c r="H851">
        <v>1081.2925</v>
      </c>
      <c r="I851">
        <v>2.5</v>
      </c>
      <c r="J851">
        <v>1163.79</v>
      </c>
      <c r="K851">
        <v>1.9580666999707901</v>
      </c>
      <c r="L851">
        <v>1175.17</v>
      </c>
      <c r="M851" t="s">
        <v>27</v>
      </c>
      <c r="N851">
        <v>1</v>
      </c>
      <c r="O851">
        <v>1281</v>
      </c>
      <c r="P851">
        <v>1108</v>
      </c>
      <c r="Q851">
        <v>0</v>
      </c>
      <c r="R851">
        <v>1108</v>
      </c>
    </row>
    <row r="852" spans="1:18" x14ac:dyDescent="0.3">
      <c r="A852" s="5">
        <v>45962</v>
      </c>
      <c r="B852" t="s">
        <v>1221</v>
      </c>
      <c r="C852">
        <v>28</v>
      </c>
      <c r="D852">
        <v>36</v>
      </c>
      <c r="E852" s="1">
        <v>1.0833333333333333</v>
      </c>
      <c r="F852" t="s">
        <v>1222</v>
      </c>
      <c r="G852">
        <v>5</v>
      </c>
      <c r="H852">
        <v>1080.8722</v>
      </c>
      <c r="I852">
        <v>0</v>
      </c>
      <c r="J852">
        <v>1163.79</v>
      </c>
      <c r="K852">
        <v>0</v>
      </c>
      <c r="L852">
        <v>1175.17</v>
      </c>
      <c r="M852" t="s">
        <v>27</v>
      </c>
      <c r="N852">
        <v>1</v>
      </c>
      <c r="O852">
        <v>1254</v>
      </c>
      <c r="P852">
        <v>1081</v>
      </c>
      <c r="Q852">
        <v>0</v>
      </c>
      <c r="R852">
        <v>1081</v>
      </c>
    </row>
    <row r="853" spans="1:18" x14ac:dyDescent="0.3">
      <c r="A853" s="5">
        <v>45962</v>
      </c>
      <c r="B853" t="s">
        <v>1223</v>
      </c>
      <c r="C853">
        <v>32</v>
      </c>
      <c r="D853">
        <v>36</v>
      </c>
      <c r="E853" s="1">
        <v>1.9791666666666665</v>
      </c>
      <c r="F853" t="s">
        <v>1224</v>
      </c>
      <c r="G853">
        <v>0</v>
      </c>
      <c r="H853">
        <v>1080.5688</v>
      </c>
      <c r="I853">
        <v>2.5</v>
      </c>
      <c r="J853">
        <v>1163.79</v>
      </c>
      <c r="K853">
        <v>1.9580666999707901</v>
      </c>
      <c r="L853">
        <v>1175.17</v>
      </c>
      <c r="M853" t="s">
        <v>27</v>
      </c>
      <c r="N853">
        <v>1</v>
      </c>
      <c r="O853">
        <v>1280</v>
      </c>
      <c r="P853">
        <v>1108</v>
      </c>
      <c r="Q853">
        <v>0</v>
      </c>
      <c r="R853">
        <v>1108</v>
      </c>
    </row>
    <row r="854" spans="1:18" x14ac:dyDescent="0.3">
      <c r="A854" s="5">
        <v>45962</v>
      </c>
      <c r="B854" t="s">
        <v>1225</v>
      </c>
      <c r="C854">
        <v>29</v>
      </c>
      <c r="D854">
        <v>36</v>
      </c>
      <c r="E854" s="1">
        <v>1.0833333333333333</v>
      </c>
      <c r="F854" t="s">
        <v>1226</v>
      </c>
      <c r="G854">
        <v>0</v>
      </c>
      <c r="H854">
        <v>1080.9855</v>
      </c>
      <c r="I854">
        <v>2.5</v>
      </c>
      <c r="J854">
        <v>1163.79</v>
      </c>
      <c r="K854">
        <v>1.9580666999707901</v>
      </c>
      <c r="L854">
        <v>1158.8800000000001</v>
      </c>
      <c r="M854" t="s">
        <v>27</v>
      </c>
      <c r="N854">
        <v>1</v>
      </c>
      <c r="O854">
        <v>1281</v>
      </c>
      <c r="P854">
        <v>1108</v>
      </c>
      <c r="Q854">
        <v>0</v>
      </c>
      <c r="R854">
        <v>1108</v>
      </c>
    </row>
    <row r="855" spans="1:18" x14ac:dyDescent="0.3">
      <c r="A855" s="5">
        <v>45962</v>
      </c>
      <c r="B855" t="s">
        <v>1227</v>
      </c>
      <c r="C855">
        <v>21</v>
      </c>
      <c r="D855">
        <v>36</v>
      </c>
      <c r="E855" s="1">
        <v>1.9993055555555554</v>
      </c>
      <c r="F855" t="s">
        <v>1228</v>
      </c>
      <c r="G855">
        <v>4</v>
      </c>
      <c r="H855">
        <v>1080.9409000000001</v>
      </c>
      <c r="I855">
        <v>7</v>
      </c>
      <c r="J855">
        <v>1163.79</v>
      </c>
      <c r="K855">
        <v>5.4825867599182097</v>
      </c>
      <c r="L855">
        <v>1237.07</v>
      </c>
      <c r="M855" t="s">
        <v>27</v>
      </c>
      <c r="N855">
        <v>1</v>
      </c>
      <c r="O855">
        <v>1330</v>
      </c>
      <c r="P855">
        <v>1157</v>
      </c>
      <c r="Q855">
        <v>0</v>
      </c>
      <c r="R855">
        <v>1157</v>
      </c>
    </row>
    <row r="856" spans="1:18" x14ac:dyDescent="0.3">
      <c r="A856" s="5">
        <v>45962</v>
      </c>
      <c r="B856" t="s">
        <v>1229</v>
      </c>
      <c r="C856">
        <v>36</v>
      </c>
      <c r="D856">
        <v>36</v>
      </c>
      <c r="E856" s="1">
        <v>1.9993055555555554</v>
      </c>
      <c r="F856" t="s">
        <v>1230</v>
      </c>
      <c r="G856">
        <v>4</v>
      </c>
      <c r="H856">
        <v>1080.3347000000001</v>
      </c>
      <c r="I856">
        <v>7</v>
      </c>
      <c r="J856">
        <v>1163.79</v>
      </c>
      <c r="K856">
        <v>5.4825867599182097</v>
      </c>
      <c r="L856">
        <v>1237.07</v>
      </c>
      <c r="M856" t="s">
        <v>27</v>
      </c>
      <c r="N856">
        <v>1</v>
      </c>
      <c r="O856">
        <v>1329</v>
      </c>
      <c r="P856">
        <v>1156</v>
      </c>
      <c r="Q856">
        <v>0</v>
      </c>
      <c r="R856">
        <v>1156</v>
      </c>
    </row>
    <row r="857" spans="1:18" x14ac:dyDescent="0.3">
      <c r="A857" s="5">
        <v>45962</v>
      </c>
      <c r="B857" t="s">
        <v>1231</v>
      </c>
      <c r="C857">
        <v>32</v>
      </c>
      <c r="D857">
        <v>36</v>
      </c>
      <c r="E857" s="1">
        <v>1.0833333333333333</v>
      </c>
      <c r="F857" t="s">
        <v>1232</v>
      </c>
      <c r="G857">
        <v>0</v>
      </c>
      <c r="H857">
        <v>1080.8535999999999</v>
      </c>
      <c r="I857">
        <v>2.5</v>
      </c>
      <c r="J857">
        <v>1163.79</v>
      </c>
      <c r="K857">
        <v>1.9580666999707901</v>
      </c>
      <c r="L857">
        <v>1175.17</v>
      </c>
      <c r="M857" t="s">
        <v>27</v>
      </c>
      <c r="N857">
        <v>1</v>
      </c>
      <c r="O857">
        <v>1281</v>
      </c>
      <c r="P857">
        <v>1108</v>
      </c>
      <c r="Q857">
        <v>0</v>
      </c>
      <c r="R857">
        <v>1108</v>
      </c>
    </row>
    <row r="858" spans="1:18" x14ac:dyDescent="0.3">
      <c r="A858" s="5">
        <v>45962</v>
      </c>
      <c r="B858" t="s">
        <v>1233</v>
      </c>
      <c r="C858">
        <v>21</v>
      </c>
      <c r="D858">
        <v>36</v>
      </c>
      <c r="E858" s="1">
        <v>1.25</v>
      </c>
      <c r="F858" t="s">
        <v>1234</v>
      </c>
      <c r="G858">
        <v>1</v>
      </c>
      <c r="H858">
        <v>1081.1129000000001</v>
      </c>
      <c r="I858">
        <v>8.5</v>
      </c>
      <c r="J858">
        <v>1163.79</v>
      </c>
      <c r="K858">
        <v>6.6574267799006801</v>
      </c>
      <c r="L858">
        <v>1237.07</v>
      </c>
      <c r="M858" t="s">
        <v>27</v>
      </c>
      <c r="N858">
        <v>1</v>
      </c>
      <c r="O858">
        <v>1346</v>
      </c>
      <c r="P858">
        <v>1173</v>
      </c>
      <c r="Q858">
        <v>0</v>
      </c>
      <c r="R858">
        <v>1173</v>
      </c>
    </row>
    <row r="859" spans="1:18" x14ac:dyDescent="0.3">
      <c r="A859" s="5">
        <v>45962</v>
      </c>
      <c r="B859" t="s">
        <v>1235</v>
      </c>
      <c r="C859">
        <v>22</v>
      </c>
      <c r="D859">
        <v>36</v>
      </c>
      <c r="E859" s="1">
        <v>1.25</v>
      </c>
      <c r="F859" t="s">
        <v>1236</v>
      </c>
      <c r="G859">
        <v>1</v>
      </c>
      <c r="H859">
        <v>1080.9694</v>
      </c>
      <c r="I859">
        <v>8.5</v>
      </c>
      <c r="J859">
        <v>1163.79</v>
      </c>
      <c r="K859">
        <v>6.6574267799006801</v>
      </c>
      <c r="L859">
        <v>1237.07</v>
      </c>
      <c r="M859" t="s">
        <v>27</v>
      </c>
      <c r="N859">
        <v>1</v>
      </c>
      <c r="O859">
        <v>1346</v>
      </c>
      <c r="P859">
        <v>1173</v>
      </c>
      <c r="Q859">
        <v>0</v>
      </c>
      <c r="R859">
        <v>1173</v>
      </c>
    </row>
    <row r="860" spans="1:18" x14ac:dyDescent="0.3">
      <c r="A860" s="5">
        <v>45962</v>
      </c>
      <c r="B860" t="s">
        <v>1237</v>
      </c>
      <c r="C860">
        <v>13</v>
      </c>
      <c r="D860">
        <v>36</v>
      </c>
      <c r="E860" s="1">
        <v>1.25</v>
      </c>
      <c r="F860" t="s">
        <v>1238</v>
      </c>
      <c r="G860">
        <v>1</v>
      </c>
      <c r="H860">
        <v>1081.2560000000001</v>
      </c>
      <c r="I860">
        <v>8.5</v>
      </c>
      <c r="J860">
        <v>1163.79</v>
      </c>
      <c r="K860">
        <v>6.6574267799006801</v>
      </c>
      <c r="L860">
        <v>1237.07</v>
      </c>
      <c r="M860" t="s">
        <v>27</v>
      </c>
      <c r="N860">
        <v>1</v>
      </c>
      <c r="O860">
        <v>1346</v>
      </c>
      <c r="P860">
        <v>1173</v>
      </c>
      <c r="Q860">
        <v>0</v>
      </c>
      <c r="R860">
        <v>1173</v>
      </c>
    </row>
    <row r="861" spans="1:18" x14ac:dyDescent="0.3">
      <c r="A861" s="5">
        <v>45962</v>
      </c>
      <c r="B861" t="s">
        <v>1239</v>
      </c>
      <c r="C861">
        <v>18</v>
      </c>
      <c r="D861">
        <v>36</v>
      </c>
      <c r="E861" s="1">
        <v>1.25</v>
      </c>
      <c r="F861" t="s">
        <v>1240</v>
      </c>
      <c r="G861">
        <v>1</v>
      </c>
      <c r="H861">
        <v>1081.1659999999999</v>
      </c>
      <c r="I861">
        <v>8.5</v>
      </c>
      <c r="J861">
        <v>1163.79</v>
      </c>
      <c r="K861">
        <v>6.6574267799006801</v>
      </c>
      <c r="L861">
        <v>1237.07</v>
      </c>
      <c r="M861" t="s">
        <v>27</v>
      </c>
      <c r="N861">
        <v>1</v>
      </c>
      <c r="O861">
        <v>1346</v>
      </c>
      <c r="P861">
        <v>1173</v>
      </c>
      <c r="Q861">
        <v>0</v>
      </c>
      <c r="R861">
        <v>1173</v>
      </c>
    </row>
    <row r="862" spans="1:18" x14ac:dyDescent="0.3">
      <c r="A862" s="5">
        <v>45962</v>
      </c>
      <c r="B862" t="s">
        <v>1241</v>
      </c>
      <c r="C862">
        <v>23</v>
      </c>
      <c r="D862">
        <v>36</v>
      </c>
      <c r="E862" s="1">
        <v>1.9993055555555554</v>
      </c>
      <c r="F862" t="s">
        <v>1242</v>
      </c>
      <c r="G862">
        <v>1</v>
      </c>
      <c r="H862">
        <v>1080.7336</v>
      </c>
      <c r="I862">
        <v>8.5</v>
      </c>
      <c r="J862">
        <v>1163.79</v>
      </c>
      <c r="K862">
        <v>6.6574267799006801</v>
      </c>
      <c r="L862">
        <v>1237.07</v>
      </c>
      <c r="M862" t="s">
        <v>27</v>
      </c>
      <c r="N862">
        <v>1</v>
      </c>
      <c r="O862">
        <v>1346</v>
      </c>
      <c r="P862">
        <v>1173</v>
      </c>
      <c r="Q862">
        <v>0</v>
      </c>
      <c r="R862">
        <v>1173</v>
      </c>
    </row>
    <row r="863" spans="1:18" x14ac:dyDescent="0.3">
      <c r="A863" s="5">
        <v>45962</v>
      </c>
      <c r="B863" t="s">
        <v>1241</v>
      </c>
      <c r="C863">
        <v>13</v>
      </c>
      <c r="D863">
        <v>36</v>
      </c>
      <c r="E863" s="1">
        <v>1.0833333333333333</v>
      </c>
      <c r="F863" t="s">
        <v>1242</v>
      </c>
      <c r="G863">
        <v>1</v>
      </c>
      <c r="H863">
        <v>1081.3136</v>
      </c>
      <c r="I863">
        <v>8.5</v>
      </c>
      <c r="J863">
        <v>1163.79</v>
      </c>
      <c r="K863">
        <v>6.6574267799006801</v>
      </c>
      <c r="L863">
        <v>1237.07</v>
      </c>
      <c r="M863" t="s">
        <v>27</v>
      </c>
      <c r="N863">
        <v>1</v>
      </c>
      <c r="O863">
        <v>1346</v>
      </c>
      <c r="P863">
        <v>1173</v>
      </c>
      <c r="Q863">
        <v>0</v>
      </c>
      <c r="R863">
        <v>1173</v>
      </c>
    </row>
    <row r="864" spans="1:18" x14ac:dyDescent="0.3">
      <c r="A864" s="5">
        <v>45962</v>
      </c>
      <c r="B864" t="s">
        <v>1243</v>
      </c>
      <c r="C864">
        <v>30</v>
      </c>
      <c r="D864">
        <v>36</v>
      </c>
      <c r="E864" s="1">
        <v>1.9791666666666665</v>
      </c>
      <c r="F864" t="s">
        <v>1244</v>
      </c>
      <c r="G864">
        <v>3</v>
      </c>
      <c r="H864">
        <v>1080.6067</v>
      </c>
      <c r="I864">
        <v>10</v>
      </c>
      <c r="J864">
        <v>1163.79</v>
      </c>
      <c r="K864">
        <v>7.8322667998831603</v>
      </c>
      <c r="L864">
        <v>618.53</v>
      </c>
      <c r="M864" t="s">
        <v>20</v>
      </c>
      <c r="N864">
        <v>1</v>
      </c>
      <c r="O864">
        <v>1362</v>
      </c>
      <c r="P864">
        <v>1189</v>
      </c>
      <c r="Q864">
        <v>0.5</v>
      </c>
      <c r="R864">
        <v>594.5</v>
      </c>
    </row>
    <row r="865" spans="1:18" x14ac:dyDescent="0.3">
      <c r="A865" s="5">
        <v>45962</v>
      </c>
      <c r="B865" t="s">
        <v>1245</v>
      </c>
      <c r="C865">
        <v>31</v>
      </c>
      <c r="D865">
        <v>36</v>
      </c>
      <c r="E865" s="1">
        <v>1.9791666666666665</v>
      </c>
      <c r="F865" t="s">
        <v>1246</v>
      </c>
      <c r="G865">
        <v>1</v>
      </c>
      <c r="H865">
        <v>1080.5887</v>
      </c>
      <c r="I865">
        <v>8.5</v>
      </c>
      <c r="J865">
        <v>1163.79</v>
      </c>
      <c r="K865">
        <v>6.6574267799006801</v>
      </c>
      <c r="L865">
        <v>1237.07</v>
      </c>
      <c r="M865" t="s">
        <v>27</v>
      </c>
      <c r="N865">
        <v>1</v>
      </c>
      <c r="O865">
        <v>1345</v>
      </c>
      <c r="P865">
        <v>1172</v>
      </c>
      <c r="Q865">
        <v>0</v>
      </c>
      <c r="R865">
        <v>1172</v>
      </c>
    </row>
    <row r="866" spans="1:18" x14ac:dyDescent="0.3">
      <c r="A866" s="5">
        <v>45962</v>
      </c>
      <c r="B866" t="s">
        <v>760</v>
      </c>
      <c r="C866">
        <v>21</v>
      </c>
      <c r="D866">
        <v>36</v>
      </c>
      <c r="E866" s="1">
        <v>1.9993055555555554</v>
      </c>
      <c r="F866" t="s">
        <v>758</v>
      </c>
      <c r="G866">
        <v>4</v>
      </c>
      <c r="H866">
        <v>1080.8866</v>
      </c>
      <c r="I866">
        <v>7</v>
      </c>
      <c r="J866">
        <v>1163.79</v>
      </c>
      <c r="K866">
        <v>5.4825867599182097</v>
      </c>
      <c r="L866">
        <v>1219.83</v>
      </c>
      <c r="M866" t="s">
        <v>27</v>
      </c>
      <c r="N866">
        <v>1</v>
      </c>
      <c r="O866">
        <v>1329</v>
      </c>
      <c r="P866">
        <v>1157</v>
      </c>
      <c r="Q866">
        <v>0</v>
      </c>
      <c r="R866">
        <v>1157</v>
      </c>
    </row>
    <row r="867" spans="1:18" x14ac:dyDescent="0.3">
      <c r="A867" s="5">
        <v>45962</v>
      </c>
      <c r="B867" t="s">
        <v>760</v>
      </c>
      <c r="C867">
        <v>14</v>
      </c>
      <c r="D867">
        <v>36</v>
      </c>
      <c r="E867" s="1">
        <v>1.9993055555555554</v>
      </c>
      <c r="F867" t="s">
        <v>758</v>
      </c>
      <c r="G867">
        <v>4</v>
      </c>
      <c r="H867">
        <v>1081.0619999999999</v>
      </c>
      <c r="I867">
        <v>7</v>
      </c>
      <c r="J867">
        <v>1163.79</v>
      </c>
      <c r="K867">
        <v>5.4825867599182097</v>
      </c>
      <c r="L867">
        <v>1237.07</v>
      </c>
      <c r="M867" t="s">
        <v>27</v>
      </c>
      <c r="N867">
        <v>1</v>
      </c>
      <c r="O867">
        <v>1330</v>
      </c>
      <c r="P867">
        <v>1157</v>
      </c>
      <c r="Q867">
        <v>0</v>
      </c>
      <c r="R867">
        <v>1157</v>
      </c>
    </row>
    <row r="868" spans="1:18" x14ac:dyDescent="0.3">
      <c r="A868" s="5">
        <v>45962</v>
      </c>
      <c r="B868" t="s">
        <v>1247</v>
      </c>
      <c r="C868">
        <v>35</v>
      </c>
      <c r="D868">
        <v>36</v>
      </c>
      <c r="E868" s="1">
        <v>1.4583333333333333</v>
      </c>
      <c r="F868" t="s">
        <v>1248</v>
      </c>
      <c r="G868">
        <v>2</v>
      </c>
      <c r="H868">
        <v>1080.7373</v>
      </c>
      <c r="I868">
        <v>5</v>
      </c>
      <c r="J868">
        <v>1163.79</v>
      </c>
      <c r="K868">
        <v>3.9161333999415802</v>
      </c>
      <c r="L868">
        <v>618.53</v>
      </c>
      <c r="M868" t="s">
        <v>60</v>
      </c>
      <c r="N868">
        <v>1</v>
      </c>
      <c r="O868">
        <v>1308</v>
      </c>
      <c r="P868">
        <v>1135</v>
      </c>
      <c r="Q868">
        <v>0.5</v>
      </c>
      <c r="R868">
        <v>567.5</v>
      </c>
    </row>
    <row r="869" spans="1:18" x14ac:dyDescent="0.3">
      <c r="A869" s="5">
        <v>45962</v>
      </c>
      <c r="B869" t="s">
        <v>762</v>
      </c>
      <c r="C869">
        <v>18</v>
      </c>
      <c r="D869">
        <v>36</v>
      </c>
      <c r="E869" s="1">
        <v>1.9993055555555554</v>
      </c>
      <c r="F869" t="s">
        <v>758</v>
      </c>
      <c r="G869">
        <v>4</v>
      </c>
      <c r="H869">
        <v>1080.9405999999999</v>
      </c>
      <c r="I869">
        <v>7</v>
      </c>
      <c r="J869">
        <v>1163.79</v>
      </c>
      <c r="K869">
        <v>5.4825867599182097</v>
      </c>
      <c r="L869">
        <v>1219.83</v>
      </c>
      <c r="M869" t="s">
        <v>27</v>
      </c>
      <c r="N869">
        <v>1</v>
      </c>
      <c r="O869">
        <v>1330</v>
      </c>
      <c r="P869">
        <v>1157</v>
      </c>
      <c r="Q869">
        <v>0</v>
      </c>
      <c r="R869">
        <v>1157</v>
      </c>
    </row>
    <row r="870" spans="1:18" x14ac:dyDescent="0.3">
      <c r="A870" s="5">
        <v>45962</v>
      </c>
      <c r="B870" t="s">
        <v>763</v>
      </c>
      <c r="C870">
        <v>19</v>
      </c>
      <c r="D870">
        <v>36</v>
      </c>
      <c r="E870" s="1">
        <v>1.9993055555555554</v>
      </c>
      <c r="F870" t="s">
        <v>758</v>
      </c>
      <c r="G870">
        <v>4</v>
      </c>
      <c r="H870">
        <v>1080.9224999999999</v>
      </c>
      <c r="I870">
        <v>7</v>
      </c>
      <c r="J870">
        <v>1163.79</v>
      </c>
      <c r="K870">
        <v>5.4825867599182097</v>
      </c>
      <c r="L870">
        <v>1219.83</v>
      </c>
      <c r="M870" t="s">
        <v>27</v>
      </c>
      <c r="N870">
        <v>1</v>
      </c>
      <c r="O870">
        <v>1330</v>
      </c>
      <c r="P870">
        <v>1157</v>
      </c>
      <c r="Q870">
        <v>0</v>
      </c>
      <c r="R870">
        <v>1157</v>
      </c>
    </row>
    <row r="871" spans="1:18" x14ac:dyDescent="0.3">
      <c r="A871" s="5">
        <v>45962</v>
      </c>
      <c r="B871" t="s">
        <v>1249</v>
      </c>
      <c r="C871">
        <v>13</v>
      </c>
      <c r="D871">
        <v>36</v>
      </c>
      <c r="E871" s="1">
        <v>1.9993055555555554</v>
      </c>
      <c r="F871" t="s">
        <v>1250</v>
      </c>
      <c r="G871">
        <v>0</v>
      </c>
      <c r="H871">
        <v>1081.1874</v>
      </c>
      <c r="I871">
        <v>2.5</v>
      </c>
      <c r="J871">
        <v>1163.79</v>
      </c>
      <c r="K871">
        <v>1.9580666999707901</v>
      </c>
      <c r="L871">
        <v>1116.3800000000001</v>
      </c>
      <c r="M871" t="s">
        <v>27</v>
      </c>
      <c r="N871">
        <v>1</v>
      </c>
      <c r="O871">
        <v>1281</v>
      </c>
      <c r="P871">
        <v>1108</v>
      </c>
      <c r="Q871">
        <v>0</v>
      </c>
      <c r="R871">
        <v>1108</v>
      </c>
    </row>
    <row r="872" spans="1:18" x14ac:dyDescent="0.3">
      <c r="A872" s="5">
        <v>45962</v>
      </c>
      <c r="B872" t="s">
        <v>1251</v>
      </c>
      <c r="C872">
        <v>10</v>
      </c>
      <c r="D872">
        <v>36</v>
      </c>
      <c r="E872" s="1">
        <v>1.4583333333333333</v>
      </c>
      <c r="F872" t="s">
        <v>1252</v>
      </c>
      <c r="G872">
        <v>1</v>
      </c>
      <c r="H872">
        <v>1081.3050000000001</v>
      </c>
      <c r="I872">
        <v>8.5</v>
      </c>
      <c r="J872">
        <v>1163.79</v>
      </c>
      <c r="K872">
        <v>6.6574267799006801</v>
      </c>
      <c r="L872">
        <v>1237.07</v>
      </c>
      <c r="M872" t="s">
        <v>27</v>
      </c>
      <c r="N872">
        <v>1</v>
      </c>
      <c r="O872">
        <v>1346</v>
      </c>
      <c r="P872">
        <v>1173</v>
      </c>
      <c r="Q872">
        <v>0</v>
      </c>
      <c r="R872">
        <v>1173</v>
      </c>
    </row>
    <row r="873" spans="1:18" x14ac:dyDescent="0.3">
      <c r="A873" s="5">
        <v>45962</v>
      </c>
      <c r="B873" t="s">
        <v>1253</v>
      </c>
      <c r="C873">
        <v>2</v>
      </c>
      <c r="D873">
        <v>36</v>
      </c>
      <c r="E873" s="1">
        <v>1.25</v>
      </c>
      <c r="F873" t="s">
        <v>1254</v>
      </c>
      <c r="G873">
        <v>0</v>
      </c>
      <c r="H873">
        <v>1081.6135999999999</v>
      </c>
      <c r="I873">
        <v>2.5</v>
      </c>
      <c r="J873">
        <v>1163.79</v>
      </c>
      <c r="K873">
        <v>1.9580666999707901</v>
      </c>
      <c r="L873">
        <v>609.91</v>
      </c>
      <c r="M873" t="s">
        <v>60</v>
      </c>
      <c r="N873">
        <v>1</v>
      </c>
      <c r="O873">
        <v>1282</v>
      </c>
      <c r="P873">
        <v>1109</v>
      </c>
      <c r="Q873">
        <v>0.5</v>
      </c>
      <c r="R873">
        <v>554.5</v>
      </c>
    </row>
    <row r="874" spans="1:18" x14ac:dyDescent="0.3">
      <c r="A874" s="5">
        <v>45962</v>
      </c>
      <c r="B874" t="s">
        <v>1255</v>
      </c>
      <c r="C874">
        <v>3</v>
      </c>
      <c r="D874">
        <v>36</v>
      </c>
      <c r="E874" s="1">
        <v>1.25</v>
      </c>
      <c r="F874" t="s">
        <v>1254</v>
      </c>
      <c r="G874">
        <v>0</v>
      </c>
      <c r="H874">
        <v>1081.5956000000001</v>
      </c>
      <c r="I874">
        <v>2.5</v>
      </c>
      <c r="J874">
        <v>1163.79</v>
      </c>
      <c r="K874">
        <v>1.9580666999707901</v>
      </c>
      <c r="L874">
        <v>609.91</v>
      </c>
      <c r="M874" t="s">
        <v>60</v>
      </c>
      <c r="N874">
        <v>1</v>
      </c>
      <c r="O874">
        <v>1282</v>
      </c>
      <c r="P874">
        <v>1109</v>
      </c>
      <c r="Q874">
        <v>0.5</v>
      </c>
      <c r="R874">
        <v>554.5</v>
      </c>
    </row>
    <row r="875" spans="1:18" x14ac:dyDescent="0.3">
      <c r="A875" s="5">
        <v>45962</v>
      </c>
      <c r="B875" t="s">
        <v>1256</v>
      </c>
      <c r="C875">
        <v>14</v>
      </c>
      <c r="D875">
        <v>36</v>
      </c>
      <c r="E875" s="1">
        <v>1.9993055555555554</v>
      </c>
      <c r="F875" t="s">
        <v>1257</v>
      </c>
      <c r="G875">
        <v>2</v>
      </c>
      <c r="H875">
        <v>1081.2222999999999</v>
      </c>
      <c r="I875">
        <v>5</v>
      </c>
      <c r="J875">
        <v>1163.79</v>
      </c>
      <c r="K875">
        <v>3.9161333999415802</v>
      </c>
      <c r="L875">
        <v>618.53</v>
      </c>
      <c r="M875" t="s">
        <v>60</v>
      </c>
      <c r="N875">
        <v>1</v>
      </c>
      <c r="O875">
        <v>1308</v>
      </c>
      <c r="P875">
        <v>1135</v>
      </c>
      <c r="Q875">
        <v>0.5</v>
      </c>
      <c r="R875">
        <v>567.5</v>
      </c>
    </row>
    <row r="876" spans="1:18" x14ac:dyDescent="0.3">
      <c r="A876" s="5">
        <v>45962</v>
      </c>
      <c r="B876" t="s">
        <v>1258</v>
      </c>
      <c r="C876">
        <v>7</v>
      </c>
      <c r="D876">
        <v>36</v>
      </c>
      <c r="E876" s="1">
        <v>1.0833333333333333</v>
      </c>
      <c r="F876" t="s">
        <v>1259</v>
      </c>
      <c r="G876">
        <v>4</v>
      </c>
      <c r="H876">
        <v>1081.7239999999999</v>
      </c>
      <c r="I876">
        <v>7</v>
      </c>
      <c r="J876">
        <v>1163.79</v>
      </c>
      <c r="K876">
        <v>5.4825867599182097</v>
      </c>
      <c r="L876">
        <v>609.91</v>
      </c>
      <c r="M876" t="s">
        <v>60</v>
      </c>
      <c r="N876">
        <v>1</v>
      </c>
      <c r="O876">
        <v>1331</v>
      </c>
      <c r="P876">
        <v>1157</v>
      </c>
      <c r="Q876">
        <v>0.5</v>
      </c>
      <c r="R876">
        <v>578.5</v>
      </c>
    </row>
    <row r="877" spans="1:18" x14ac:dyDescent="0.3">
      <c r="A877" s="5">
        <v>45962</v>
      </c>
      <c r="B877" t="s">
        <v>1260</v>
      </c>
      <c r="C877">
        <v>35</v>
      </c>
      <c r="D877">
        <v>36</v>
      </c>
      <c r="E877" s="1">
        <v>1.9652777777777777</v>
      </c>
      <c r="F877" t="s">
        <v>1261</v>
      </c>
      <c r="G877">
        <v>1</v>
      </c>
      <c r="H877">
        <v>1080.6451</v>
      </c>
      <c r="I877">
        <v>8.5</v>
      </c>
      <c r="J877">
        <v>1163.79</v>
      </c>
      <c r="K877">
        <v>6.6574267799006801</v>
      </c>
      <c r="L877">
        <v>609.91</v>
      </c>
      <c r="M877" t="s">
        <v>20</v>
      </c>
      <c r="N877">
        <v>1</v>
      </c>
      <c r="O877">
        <v>1345</v>
      </c>
      <c r="P877">
        <v>1172</v>
      </c>
      <c r="Q877">
        <v>0.5</v>
      </c>
      <c r="R877">
        <v>586</v>
      </c>
    </row>
    <row r="878" spans="1:18" x14ac:dyDescent="0.3">
      <c r="A878" s="5">
        <v>45962</v>
      </c>
      <c r="B878" t="s">
        <v>1262</v>
      </c>
      <c r="C878">
        <v>11</v>
      </c>
      <c r="D878">
        <v>36</v>
      </c>
      <c r="E878" s="1">
        <v>1.9791666666666665</v>
      </c>
      <c r="F878" t="s">
        <v>1263</v>
      </c>
      <c r="G878">
        <v>0</v>
      </c>
      <c r="H878">
        <v>1081.127</v>
      </c>
      <c r="I878">
        <v>2.5</v>
      </c>
      <c r="J878">
        <v>1163.79</v>
      </c>
      <c r="K878">
        <v>1.9580666999707901</v>
      </c>
      <c r="L878">
        <v>1175.17</v>
      </c>
      <c r="M878" t="s">
        <v>27</v>
      </c>
      <c r="N878">
        <v>1</v>
      </c>
      <c r="O878">
        <v>1281</v>
      </c>
      <c r="P878">
        <v>1108</v>
      </c>
      <c r="Q878">
        <v>0</v>
      </c>
      <c r="R878">
        <v>1108</v>
      </c>
    </row>
    <row r="879" spans="1:18" x14ac:dyDescent="0.3">
      <c r="A879" s="5">
        <v>45962</v>
      </c>
      <c r="B879" t="s">
        <v>1264</v>
      </c>
      <c r="C879">
        <v>19</v>
      </c>
      <c r="D879">
        <v>36</v>
      </c>
      <c r="E879" s="1">
        <v>1.4583333333333333</v>
      </c>
      <c r="F879" t="s">
        <v>1265</v>
      </c>
      <c r="G879">
        <v>4</v>
      </c>
      <c r="H879">
        <v>1081.1976</v>
      </c>
      <c r="I879">
        <v>7</v>
      </c>
      <c r="J879">
        <v>1163.79</v>
      </c>
      <c r="K879">
        <v>5.4825867599182097</v>
      </c>
      <c r="L879">
        <v>1237.07</v>
      </c>
      <c r="M879" t="s">
        <v>27</v>
      </c>
      <c r="N879">
        <v>1</v>
      </c>
      <c r="O879">
        <v>1330</v>
      </c>
      <c r="P879">
        <v>1157</v>
      </c>
      <c r="Q879">
        <v>0</v>
      </c>
      <c r="R879">
        <v>1157</v>
      </c>
    </row>
    <row r="880" spans="1:18" x14ac:dyDescent="0.3">
      <c r="A880" s="5">
        <v>45962</v>
      </c>
      <c r="B880" t="s">
        <v>1266</v>
      </c>
      <c r="C880">
        <v>30</v>
      </c>
      <c r="D880">
        <v>36</v>
      </c>
      <c r="E880" s="1">
        <v>1.9993055555555554</v>
      </c>
      <c r="F880" t="s">
        <v>1267</v>
      </c>
      <c r="G880">
        <v>3</v>
      </c>
      <c r="H880">
        <v>1080.8013000000001</v>
      </c>
      <c r="I880">
        <v>10</v>
      </c>
      <c r="J880">
        <v>1163.79</v>
      </c>
      <c r="K880">
        <v>7.8322667998831603</v>
      </c>
      <c r="L880">
        <v>618.53</v>
      </c>
      <c r="M880" t="s">
        <v>20</v>
      </c>
      <c r="N880">
        <v>1</v>
      </c>
      <c r="O880">
        <v>1362</v>
      </c>
      <c r="P880">
        <v>1189</v>
      </c>
      <c r="Q880">
        <v>0.5</v>
      </c>
      <c r="R880">
        <v>594.5</v>
      </c>
    </row>
    <row r="881" spans="1:18" x14ac:dyDescent="0.3">
      <c r="A881" s="5">
        <v>45962</v>
      </c>
      <c r="B881" t="s">
        <v>1268</v>
      </c>
      <c r="C881">
        <v>31</v>
      </c>
      <c r="D881">
        <v>36</v>
      </c>
      <c r="E881" s="1">
        <v>1.9993055555555554</v>
      </c>
      <c r="F881" t="s">
        <v>1269</v>
      </c>
      <c r="G881">
        <v>4</v>
      </c>
      <c r="H881">
        <v>1080.7832000000001</v>
      </c>
      <c r="I881">
        <v>7</v>
      </c>
      <c r="J881">
        <v>1163.79</v>
      </c>
      <c r="K881">
        <v>5.4825867599182097</v>
      </c>
      <c r="L881">
        <v>1237.07</v>
      </c>
      <c r="M881" t="s">
        <v>27</v>
      </c>
      <c r="N881">
        <v>1</v>
      </c>
      <c r="O881">
        <v>1329</v>
      </c>
      <c r="P881">
        <v>1156</v>
      </c>
      <c r="Q881">
        <v>0</v>
      </c>
      <c r="R881">
        <v>1156</v>
      </c>
    </row>
    <row r="882" spans="1:18" x14ac:dyDescent="0.3">
      <c r="A882" s="5">
        <v>45962</v>
      </c>
      <c r="B882" t="s">
        <v>1270</v>
      </c>
      <c r="C882">
        <v>32</v>
      </c>
      <c r="D882">
        <v>36</v>
      </c>
      <c r="E882" s="1">
        <v>1.9791666666666665</v>
      </c>
      <c r="F882" t="s">
        <v>1271</v>
      </c>
      <c r="G882">
        <v>2</v>
      </c>
      <c r="H882">
        <v>1080.5130999999999</v>
      </c>
      <c r="I882">
        <v>5</v>
      </c>
      <c r="J882">
        <v>1163.79</v>
      </c>
      <c r="K882">
        <v>3.9161333999415802</v>
      </c>
      <c r="L882">
        <v>609.91</v>
      </c>
      <c r="M882" t="s">
        <v>60</v>
      </c>
      <c r="N882">
        <v>1</v>
      </c>
      <c r="O882">
        <v>1307</v>
      </c>
      <c r="P882">
        <v>1135</v>
      </c>
      <c r="Q882">
        <v>0.5</v>
      </c>
      <c r="R882">
        <v>567.5</v>
      </c>
    </row>
    <row r="883" spans="1:18" x14ac:dyDescent="0.3">
      <c r="A883" s="5">
        <v>45962</v>
      </c>
      <c r="B883" t="s">
        <v>1272</v>
      </c>
      <c r="C883">
        <v>36</v>
      </c>
      <c r="D883">
        <v>36</v>
      </c>
      <c r="E883" s="1">
        <v>1.9791666666666665</v>
      </c>
      <c r="F883" t="s">
        <v>1273</v>
      </c>
      <c r="G883">
        <v>0</v>
      </c>
      <c r="H883">
        <v>1080.5447999999999</v>
      </c>
      <c r="I883">
        <v>2.5</v>
      </c>
      <c r="J883">
        <v>1163.79</v>
      </c>
      <c r="K883">
        <v>1.9580666999707901</v>
      </c>
      <c r="L883">
        <v>1175.17</v>
      </c>
      <c r="M883" t="s">
        <v>27</v>
      </c>
      <c r="N883">
        <v>1</v>
      </c>
      <c r="O883">
        <v>1280</v>
      </c>
      <c r="P883">
        <v>1108</v>
      </c>
      <c r="Q883">
        <v>0</v>
      </c>
      <c r="R883">
        <v>1108</v>
      </c>
    </row>
    <row r="884" spans="1:18" x14ac:dyDescent="0.3">
      <c r="A884" s="5">
        <v>45962</v>
      </c>
      <c r="B884" t="s">
        <v>1274</v>
      </c>
      <c r="C884">
        <v>27</v>
      </c>
      <c r="D884">
        <v>36</v>
      </c>
      <c r="E884" s="1">
        <v>1.9791666666666665</v>
      </c>
      <c r="F884" t="s">
        <v>1273</v>
      </c>
      <c r="G884">
        <v>0</v>
      </c>
      <c r="H884">
        <v>1080.7068999999999</v>
      </c>
      <c r="I884">
        <v>2.5</v>
      </c>
      <c r="J884">
        <v>1163.79</v>
      </c>
      <c r="K884">
        <v>1.9580666999707901</v>
      </c>
      <c r="L884">
        <v>1175.17</v>
      </c>
      <c r="M884" t="s">
        <v>27</v>
      </c>
      <c r="N884">
        <v>1</v>
      </c>
      <c r="O884">
        <v>1281</v>
      </c>
      <c r="P884">
        <v>1108</v>
      </c>
      <c r="Q884">
        <v>0</v>
      </c>
      <c r="R884">
        <v>1108</v>
      </c>
    </row>
    <row r="885" spans="1:18" x14ac:dyDescent="0.3">
      <c r="A885" s="5">
        <v>45962</v>
      </c>
      <c r="B885" t="s">
        <v>1275</v>
      </c>
      <c r="C885">
        <v>7</v>
      </c>
      <c r="D885">
        <v>36</v>
      </c>
      <c r="E885" s="1">
        <v>1.0833333333333333</v>
      </c>
      <c r="F885" t="s">
        <v>1276</v>
      </c>
      <c r="G885">
        <v>0</v>
      </c>
      <c r="H885">
        <v>1081.4294</v>
      </c>
      <c r="I885">
        <v>2.5</v>
      </c>
      <c r="J885">
        <v>1163.79</v>
      </c>
      <c r="K885">
        <v>1.9580666999707901</v>
      </c>
      <c r="L885">
        <v>1175.17</v>
      </c>
      <c r="M885" t="s">
        <v>27</v>
      </c>
      <c r="N885">
        <v>1</v>
      </c>
      <c r="O885">
        <v>1281</v>
      </c>
      <c r="P885">
        <v>1108</v>
      </c>
      <c r="Q885">
        <v>0</v>
      </c>
      <c r="R885">
        <v>1108</v>
      </c>
    </row>
    <row r="886" spans="1:18" x14ac:dyDescent="0.3">
      <c r="A886" s="5">
        <v>45962</v>
      </c>
      <c r="B886" t="s">
        <v>1277</v>
      </c>
      <c r="C886">
        <v>10</v>
      </c>
      <c r="D886">
        <v>35</v>
      </c>
      <c r="E886" s="1">
        <v>1.9791666666666665</v>
      </c>
      <c r="F886" t="s">
        <v>1278</v>
      </c>
      <c r="G886">
        <v>3</v>
      </c>
      <c r="H886">
        <v>1081.2167999999999</v>
      </c>
      <c r="I886">
        <v>10</v>
      </c>
      <c r="J886">
        <v>1163.79</v>
      </c>
      <c r="K886">
        <v>7.8322667998831603</v>
      </c>
      <c r="L886">
        <v>609.91</v>
      </c>
      <c r="M886" t="s">
        <v>20</v>
      </c>
      <c r="N886">
        <v>1</v>
      </c>
      <c r="O886">
        <v>1362</v>
      </c>
      <c r="P886">
        <v>1189</v>
      </c>
      <c r="Q886">
        <v>0.5</v>
      </c>
      <c r="R886">
        <v>594.5</v>
      </c>
    </row>
    <row r="887" spans="1:18" x14ac:dyDescent="0.3">
      <c r="A887" s="5">
        <v>45962</v>
      </c>
      <c r="B887" t="s">
        <v>1279</v>
      </c>
      <c r="C887">
        <v>32</v>
      </c>
      <c r="D887">
        <v>36</v>
      </c>
      <c r="E887" s="1">
        <v>1.4583333333333333</v>
      </c>
      <c r="F887" t="s">
        <v>1280</v>
      </c>
      <c r="G887">
        <v>0</v>
      </c>
      <c r="H887">
        <v>1080.8423</v>
      </c>
      <c r="I887">
        <v>2.5</v>
      </c>
      <c r="J887">
        <v>1163.79</v>
      </c>
      <c r="K887">
        <v>1.9580666999707901</v>
      </c>
      <c r="L887">
        <v>1175.17</v>
      </c>
      <c r="M887" t="s">
        <v>27</v>
      </c>
      <c r="N887">
        <v>1</v>
      </c>
      <c r="O887">
        <v>1281</v>
      </c>
      <c r="P887">
        <v>1108</v>
      </c>
      <c r="Q887">
        <v>0</v>
      </c>
      <c r="R887">
        <v>1108</v>
      </c>
    </row>
    <row r="888" spans="1:18" x14ac:dyDescent="0.3">
      <c r="A888" s="5">
        <v>45962</v>
      </c>
      <c r="B888" t="s">
        <v>1281</v>
      </c>
      <c r="C888">
        <v>10</v>
      </c>
      <c r="D888">
        <v>35</v>
      </c>
      <c r="E888" s="1">
        <v>1.25</v>
      </c>
      <c r="F888" t="s">
        <v>1282</v>
      </c>
      <c r="G888">
        <v>0</v>
      </c>
      <c r="H888">
        <v>1081.3726999999999</v>
      </c>
      <c r="I888">
        <v>2.5</v>
      </c>
      <c r="J888">
        <v>1163.79</v>
      </c>
      <c r="K888">
        <v>1.9580666999707901</v>
      </c>
      <c r="L888">
        <v>1175.17</v>
      </c>
      <c r="M888" t="s">
        <v>27</v>
      </c>
      <c r="N888">
        <v>1</v>
      </c>
      <c r="O888">
        <v>1281</v>
      </c>
      <c r="P888">
        <v>1108</v>
      </c>
      <c r="Q888">
        <v>0</v>
      </c>
      <c r="R888">
        <v>1108</v>
      </c>
    </row>
    <row r="889" spans="1:18" x14ac:dyDescent="0.3">
      <c r="A889" s="5">
        <v>45962</v>
      </c>
      <c r="B889" t="s">
        <v>1283</v>
      </c>
      <c r="C889">
        <v>16</v>
      </c>
      <c r="D889">
        <v>36</v>
      </c>
      <c r="E889" s="1">
        <v>1.9791666666666665</v>
      </c>
      <c r="F889" t="s">
        <v>1284</v>
      </c>
      <c r="G889">
        <v>5</v>
      </c>
      <c r="H889">
        <v>1080.979</v>
      </c>
      <c r="I889">
        <v>0</v>
      </c>
      <c r="J889">
        <v>1163.79</v>
      </c>
      <c r="K889">
        <v>0</v>
      </c>
      <c r="L889">
        <v>1175.17</v>
      </c>
      <c r="M889" t="s">
        <v>27</v>
      </c>
      <c r="N889">
        <v>1</v>
      </c>
      <c r="O889">
        <v>1254</v>
      </c>
      <c r="P889">
        <v>1081</v>
      </c>
      <c r="Q889">
        <v>0</v>
      </c>
      <c r="R889">
        <v>1081</v>
      </c>
    </row>
    <row r="890" spans="1:18" x14ac:dyDescent="0.3">
      <c r="A890" s="5">
        <v>45962</v>
      </c>
      <c r="B890" t="s">
        <v>1285</v>
      </c>
      <c r="C890">
        <v>22</v>
      </c>
      <c r="D890">
        <v>36</v>
      </c>
      <c r="E890" s="1">
        <v>1.4583333333333333</v>
      </c>
      <c r="F890" t="s">
        <v>1286</v>
      </c>
      <c r="G890">
        <v>0</v>
      </c>
      <c r="H890">
        <v>1081.0210999999999</v>
      </c>
      <c r="I890">
        <v>2.5</v>
      </c>
      <c r="J890">
        <v>1163.79</v>
      </c>
      <c r="K890">
        <v>1.9580666999707901</v>
      </c>
      <c r="L890">
        <v>1175.17</v>
      </c>
      <c r="M890" t="s">
        <v>27</v>
      </c>
      <c r="N890">
        <v>1</v>
      </c>
      <c r="O890">
        <v>1281</v>
      </c>
      <c r="P890">
        <v>1108</v>
      </c>
      <c r="Q890">
        <v>0</v>
      </c>
      <c r="R890">
        <v>1108</v>
      </c>
    </row>
    <row r="891" spans="1:18" x14ac:dyDescent="0.3">
      <c r="A891" s="5">
        <v>45962</v>
      </c>
      <c r="B891" t="s">
        <v>1287</v>
      </c>
      <c r="C891">
        <v>28</v>
      </c>
      <c r="D891">
        <v>36</v>
      </c>
      <c r="E891" s="1">
        <v>1.4583333333333333</v>
      </c>
      <c r="F891" t="s">
        <v>1286</v>
      </c>
      <c r="G891">
        <v>0</v>
      </c>
      <c r="H891">
        <v>1080.9132999999999</v>
      </c>
      <c r="I891">
        <v>2.5</v>
      </c>
      <c r="J891">
        <v>1163.79</v>
      </c>
      <c r="K891">
        <v>1.9580666999707901</v>
      </c>
      <c r="L891">
        <v>1175.17</v>
      </c>
      <c r="M891" t="s">
        <v>27</v>
      </c>
      <c r="N891">
        <v>1</v>
      </c>
      <c r="O891">
        <v>1281</v>
      </c>
      <c r="P891">
        <v>1108</v>
      </c>
      <c r="Q891">
        <v>0</v>
      </c>
      <c r="R891">
        <v>1108</v>
      </c>
    </row>
    <row r="892" spans="1:18" x14ac:dyDescent="0.3">
      <c r="A892" s="5">
        <v>45962</v>
      </c>
      <c r="B892" t="s">
        <v>1288</v>
      </c>
      <c r="C892">
        <v>25</v>
      </c>
      <c r="D892">
        <v>36</v>
      </c>
      <c r="E892" s="1">
        <v>1.4583333333333333</v>
      </c>
      <c r="F892" t="s">
        <v>1286</v>
      </c>
      <c r="G892">
        <v>0</v>
      </c>
      <c r="H892">
        <v>1080.9672</v>
      </c>
      <c r="I892">
        <v>2.5</v>
      </c>
      <c r="J892">
        <v>1163.79</v>
      </c>
      <c r="K892">
        <v>1.9580666999707901</v>
      </c>
      <c r="L892">
        <v>1175.17</v>
      </c>
      <c r="M892" t="s">
        <v>27</v>
      </c>
      <c r="N892">
        <v>1</v>
      </c>
      <c r="O892">
        <v>1281</v>
      </c>
      <c r="P892">
        <v>1108</v>
      </c>
      <c r="Q892">
        <v>0</v>
      </c>
      <c r="R892">
        <v>1108</v>
      </c>
    </row>
    <row r="893" spans="1:18" x14ac:dyDescent="0.3">
      <c r="A893" s="5">
        <v>45962</v>
      </c>
      <c r="B893" t="s">
        <v>1289</v>
      </c>
      <c r="C893">
        <v>16</v>
      </c>
      <c r="D893">
        <v>36</v>
      </c>
      <c r="E893" s="1">
        <v>1.4583333333333333</v>
      </c>
      <c r="F893" t="s">
        <v>1290</v>
      </c>
      <c r="G893">
        <v>0</v>
      </c>
      <c r="H893">
        <v>1081.2609</v>
      </c>
      <c r="I893">
        <v>2.5</v>
      </c>
      <c r="J893">
        <v>1163.79</v>
      </c>
      <c r="K893">
        <v>1.9580666999707901</v>
      </c>
      <c r="L893">
        <v>1175.17</v>
      </c>
      <c r="M893" t="s">
        <v>27</v>
      </c>
      <c r="N893">
        <v>1</v>
      </c>
      <c r="O893">
        <v>1281</v>
      </c>
      <c r="P893">
        <v>1108</v>
      </c>
      <c r="Q893">
        <v>0</v>
      </c>
      <c r="R893">
        <v>1108</v>
      </c>
    </row>
    <row r="894" spans="1:18" x14ac:dyDescent="0.3">
      <c r="A894" s="5">
        <v>45962</v>
      </c>
      <c r="B894" t="s">
        <v>1291</v>
      </c>
      <c r="C894">
        <v>35</v>
      </c>
      <c r="D894">
        <v>35</v>
      </c>
      <c r="E894" s="1">
        <v>1.25</v>
      </c>
      <c r="F894" t="s">
        <v>1292</v>
      </c>
      <c r="G894">
        <v>0</v>
      </c>
      <c r="H894">
        <v>1080.7891999999999</v>
      </c>
      <c r="I894">
        <v>2.5</v>
      </c>
      <c r="J894">
        <v>1163.79</v>
      </c>
      <c r="K894">
        <v>1.9580666999707901</v>
      </c>
      <c r="L894">
        <v>1175.17</v>
      </c>
      <c r="M894" t="s">
        <v>27</v>
      </c>
      <c r="N894">
        <v>1</v>
      </c>
      <c r="O894">
        <v>1281</v>
      </c>
      <c r="P894">
        <v>1108</v>
      </c>
      <c r="Q894">
        <v>0</v>
      </c>
      <c r="R894">
        <v>1108</v>
      </c>
    </row>
    <row r="895" spans="1:18" x14ac:dyDescent="0.3">
      <c r="A895" s="5">
        <v>45962</v>
      </c>
      <c r="B895" t="s">
        <v>1293</v>
      </c>
      <c r="C895">
        <v>24</v>
      </c>
      <c r="D895">
        <v>36</v>
      </c>
      <c r="E895" s="1">
        <v>1.9791666666666665</v>
      </c>
      <c r="F895" t="s">
        <v>1294</v>
      </c>
      <c r="G895">
        <v>0</v>
      </c>
      <c r="H895">
        <v>1080.7574</v>
      </c>
      <c r="I895">
        <v>2.5</v>
      </c>
      <c r="J895">
        <v>1163.79</v>
      </c>
      <c r="K895">
        <v>1.9580666999707901</v>
      </c>
      <c r="L895">
        <v>1175.17</v>
      </c>
      <c r="M895" t="s">
        <v>27</v>
      </c>
      <c r="N895">
        <v>1</v>
      </c>
      <c r="O895">
        <v>1281</v>
      </c>
      <c r="P895">
        <v>1108</v>
      </c>
      <c r="Q895">
        <v>0</v>
      </c>
      <c r="R895">
        <v>1108</v>
      </c>
    </row>
    <row r="896" spans="1:18" x14ac:dyDescent="0.3">
      <c r="A896" s="5">
        <v>45962</v>
      </c>
      <c r="B896" t="s">
        <v>1295</v>
      </c>
      <c r="C896">
        <v>32</v>
      </c>
      <c r="D896">
        <v>36</v>
      </c>
      <c r="E896" s="1">
        <v>1.9993055555555554</v>
      </c>
      <c r="F896" t="s">
        <v>1296</v>
      </c>
      <c r="G896">
        <v>1</v>
      </c>
      <c r="H896">
        <v>1080.5675000000001</v>
      </c>
      <c r="I896">
        <v>8.5</v>
      </c>
      <c r="J896">
        <v>1163.79</v>
      </c>
      <c r="K896">
        <v>6.6574267799006801</v>
      </c>
      <c r="L896">
        <v>1237.07</v>
      </c>
      <c r="M896" t="s">
        <v>27</v>
      </c>
      <c r="N896">
        <v>1</v>
      </c>
      <c r="O896">
        <v>1345</v>
      </c>
      <c r="P896">
        <v>1172</v>
      </c>
      <c r="Q896">
        <v>0</v>
      </c>
      <c r="R896">
        <v>1172</v>
      </c>
    </row>
    <row r="897" spans="1:18" x14ac:dyDescent="0.3">
      <c r="A897" s="5">
        <v>45962</v>
      </c>
      <c r="B897" t="s">
        <v>1297</v>
      </c>
      <c r="C897">
        <v>10</v>
      </c>
      <c r="D897">
        <v>36</v>
      </c>
      <c r="E897" s="1">
        <v>1.9791666666666665</v>
      </c>
      <c r="F897" t="s">
        <v>1298</v>
      </c>
      <c r="G897">
        <v>0</v>
      </c>
      <c r="H897">
        <v>1081.1410000000001</v>
      </c>
      <c r="I897">
        <v>2.5</v>
      </c>
      <c r="J897">
        <v>1163.79</v>
      </c>
      <c r="K897">
        <v>1.9580666999707901</v>
      </c>
      <c r="L897">
        <v>1175.17</v>
      </c>
      <c r="M897" t="s">
        <v>27</v>
      </c>
      <c r="N897">
        <v>1</v>
      </c>
      <c r="O897">
        <v>1281</v>
      </c>
      <c r="P897">
        <v>1108</v>
      </c>
      <c r="Q897">
        <v>0</v>
      </c>
      <c r="R897">
        <v>1108</v>
      </c>
    </row>
    <row r="898" spans="1:18" x14ac:dyDescent="0.3">
      <c r="A898" s="5">
        <v>45962</v>
      </c>
      <c r="B898" t="s">
        <v>1299</v>
      </c>
      <c r="C898">
        <v>1</v>
      </c>
      <c r="D898">
        <v>36</v>
      </c>
      <c r="E898" s="1">
        <v>1.0833333333333333</v>
      </c>
      <c r="F898" t="s">
        <v>1300</v>
      </c>
      <c r="G898">
        <v>0</v>
      </c>
      <c r="H898">
        <v>1081.6950999999999</v>
      </c>
      <c r="I898">
        <v>2.5</v>
      </c>
      <c r="J898">
        <v>1163.79</v>
      </c>
      <c r="K898">
        <v>1.9580666999707901</v>
      </c>
      <c r="L898">
        <v>1175.17</v>
      </c>
      <c r="M898" t="s">
        <v>27</v>
      </c>
      <c r="N898">
        <v>1</v>
      </c>
      <c r="O898">
        <v>1282</v>
      </c>
      <c r="P898">
        <v>1109</v>
      </c>
      <c r="Q898">
        <v>0</v>
      </c>
      <c r="R898">
        <v>1109</v>
      </c>
    </row>
    <row r="899" spans="1:18" x14ac:dyDescent="0.3">
      <c r="A899" s="5">
        <v>45962</v>
      </c>
      <c r="B899" t="s">
        <v>1301</v>
      </c>
      <c r="C899">
        <v>10</v>
      </c>
      <c r="D899">
        <v>36</v>
      </c>
      <c r="E899" s="1">
        <v>1.9791666666666665</v>
      </c>
      <c r="F899" t="s">
        <v>1302</v>
      </c>
      <c r="G899">
        <v>4</v>
      </c>
      <c r="H899">
        <v>1081.2301</v>
      </c>
      <c r="I899">
        <v>7</v>
      </c>
      <c r="J899">
        <v>1163.79</v>
      </c>
      <c r="K899">
        <v>5.4825867599182097</v>
      </c>
      <c r="L899">
        <v>1116.3800000000001</v>
      </c>
      <c r="M899" t="s">
        <v>27</v>
      </c>
      <c r="N899">
        <v>1</v>
      </c>
      <c r="O899">
        <v>1330</v>
      </c>
      <c r="P899">
        <v>1157</v>
      </c>
      <c r="Q899">
        <v>0</v>
      </c>
      <c r="R899">
        <v>1157</v>
      </c>
    </row>
    <row r="900" spans="1:18" x14ac:dyDescent="0.3">
      <c r="A900" s="5">
        <v>45962</v>
      </c>
      <c r="B900" t="s">
        <v>1303</v>
      </c>
      <c r="C900">
        <v>33</v>
      </c>
      <c r="D900">
        <v>36</v>
      </c>
      <c r="E900" s="1">
        <v>1.4583333333333333</v>
      </c>
      <c r="F900" t="s">
        <v>1304</v>
      </c>
      <c r="G900">
        <v>4</v>
      </c>
      <c r="H900">
        <v>1080.9531999999999</v>
      </c>
      <c r="I900">
        <v>7</v>
      </c>
      <c r="J900">
        <v>1163.79</v>
      </c>
      <c r="K900">
        <v>5.4825867599182097</v>
      </c>
      <c r="L900">
        <v>1097.8399999999999</v>
      </c>
      <c r="M900" t="s">
        <v>27</v>
      </c>
      <c r="N900">
        <v>1</v>
      </c>
      <c r="O900">
        <v>1330</v>
      </c>
      <c r="P900">
        <v>1157</v>
      </c>
      <c r="Q900">
        <v>0</v>
      </c>
      <c r="R900">
        <v>1157</v>
      </c>
    </row>
    <row r="901" spans="1:18" x14ac:dyDescent="0.3">
      <c r="A901" s="5">
        <v>45962</v>
      </c>
      <c r="B901" t="s">
        <v>1305</v>
      </c>
      <c r="C901">
        <v>34</v>
      </c>
      <c r="D901">
        <v>36</v>
      </c>
      <c r="E901" s="1">
        <v>1.4583333333333333</v>
      </c>
      <c r="F901" t="s">
        <v>1304</v>
      </c>
      <c r="G901">
        <v>4</v>
      </c>
      <c r="H901">
        <v>1080.9353000000001</v>
      </c>
      <c r="I901">
        <v>7</v>
      </c>
      <c r="J901">
        <v>1163.79</v>
      </c>
      <c r="K901">
        <v>5.4825867599182097</v>
      </c>
      <c r="L901">
        <v>609.91</v>
      </c>
      <c r="M901" t="s">
        <v>60</v>
      </c>
      <c r="N901">
        <v>1</v>
      </c>
      <c r="O901">
        <v>1330</v>
      </c>
      <c r="P901">
        <v>1157</v>
      </c>
      <c r="Q901">
        <v>0.5</v>
      </c>
      <c r="R901">
        <v>578.5</v>
      </c>
    </row>
    <row r="902" spans="1:18" x14ac:dyDescent="0.3">
      <c r="A902" s="5">
        <v>45962</v>
      </c>
      <c r="B902" t="s">
        <v>1306</v>
      </c>
      <c r="C902">
        <v>16</v>
      </c>
      <c r="D902">
        <v>36</v>
      </c>
      <c r="E902" s="1">
        <v>1.0833333333333333</v>
      </c>
      <c r="F902" t="s">
        <v>1307</v>
      </c>
      <c r="G902">
        <v>0</v>
      </c>
      <c r="H902">
        <v>1081.2628</v>
      </c>
      <c r="I902">
        <v>2.5</v>
      </c>
      <c r="J902">
        <v>1163.79</v>
      </c>
      <c r="K902">
        <v>1.9580666999707901</v>
      </c>
      <c r="L902">
        <v>1175.17</v>
      </c>
      <c r="M902" t="s">
        <v>27</v>
      </c>
      <c r="N902">
        <v>1</v>
      </c>
      <c r="O902">
        <v>1281</v>
      </c>
      <c r="P902">
        <v>1108</v>
      </c>
      <c r="Q902">
        <v>0</v>
      </c>
      <c r="R902">
        <v>1108</v>
      </c>
    </row>
    <row r="903" spans="1:18" x14ac:dyDescent="0.3">
      <c r="A903" s="5">
        <v>45962</v>
      </c>
      <c r="B903" t="s">
        <v>1308</v>
      </c>
      <c r="C903">
        <v>24</v>
      </c>
      <c r="D903">
        <v>36</v>
      </c>
      <c r="E903" s="1">
        <v>1.0833333333333333</v>
      </c>
      <c r="F903" t="s">
        <v>1309</v>
      </c>
      <c r="G903">
        <v>0</v>
      </c>
      <c r="H903">
        <v>1081.1475</v>
      </c>
      <c r="I903">
        <v>2.5</v>
      </c>
      <c r="J903">
        <v>1163.79</v>
      </c>
      <c r="K903">
        <v>1.9580666999707901</v>
      </c>
      <c r="L903">
        <v>1175.17</v>
      </c>
      <c r="M903" t="s">
        <v>27</v>
      </c>
      <c r="N903">
        <v>1</v>
      </c>
      <c r="O903">
        <v>1281</v>
      </c>
      <c r="P903">
        <v>1108</v>
      </c>
      <c r="Q903">
        <v>0</v>
      </c>
      <c r="R903">
        <v>1108</v>
      </c>
    </row>
    <row r="904" spans="1:18" x14ac:dyDescent="0.3">
      <c r="A904" s="5">
        <v>45962</v>
      </c>
      <c r="B904" t="s">
        <v>1310</v>
      </c>
      <c r="C904">
        <v>10</v>
      </c>
      <c r="D904">
        <v>36</v>
      </c>
      <c r="E904" s="1">
        <v>1.0833333333333333</v>
      </c>
      <c r="F904" t="s">
        <v>1311</v>
      </c>
      <c r="G904">
        <v>5</v>
      </c>
      <c r="H904">
        <v>1081.4448</v>
      </c>
      <c r="I904">
        <v>0</v>
      </c>
      <c r="J904">
        <v>1163.79</v>
      </c>
      <c r="K904">
        <v>0</v>
      </c>
      <c r="L904">
        <v>1158.8800000000001</v>
      </c>
      <c r="M904" t="s">
        <v>27</v>
      </c>
      <c r="N904">
        <v>1</v>
      </c>
      <c r="O904">
        <v>1254</v>
      </c>
      <c r="P904">
        <v>1081</v>
      </c>
      <c r="Q904">
        <v>0</v>
      </c>
      <c r="R904">
        <v>1081</v>
      </c>
    </row>
    <row r="905" spans="1:18" x14ac:dyDescent="0.3">
      <c r="A905" s="5">
        <v>45962</v>
      </c>
      <c r="B905" t="s">
        <v>1310</v>
      </c>
      <c r="C905">
        <v>10</v>
      </c>
      <c r="D905">
        <v>36</v>
      </c>
      <c r="E905" s="1">
        <v>1.0833333333333333</v>
      </c>
      <c r="F905" t="s">
        <v>1311</v>
      </c>
      <c r="G905">
        <v>5</v>
      </c>
      <c r="H905">
        <v>1081.4448</v>
      </c>
      <c r="I905">
        <v>0</v>
      </c>
      <c r="J905">
        <v>1163.79</v>
      </c>
      <c r="K905">
        <v>0</v>
      </c>
      <c r="L905">
        <v>1158.8800000000001</v>
      </c>
      <c r="M905" t="s">
        <v>27</v>
      </c>
      <c r="N905">
        <v>1</v>
      </c>
      <c r="O905">
        <v>1254</v>
      </c>
      <c r="P905">
        <v>1081</v>
      </c>
      <c r="Q905">
        <v>0</v>
      </c>
      <c r="R905">
        <v>1081</v>
      </c>
    </row>
    <row r="906" spans="1:18" x14ac:dyDescent="0.3">
      <c r="A906" s="5">
        <v>45962</v>
      </c>
      <c r="B906" t="s">
        <v>1310</v>
      </c>
      <c r="C906">
        <v>10</v>
      </c>
      <c r="D906">
        <v>36</v>
      </c>
      <c r="E906" s="1">
        <v>1.0833333333333333</v>
      </c>
      <c r="F906" t="s">
        <v>1311</v>
      </c>
      <c r="G906">
        <v>5</v>
      </c>
      <c r="H906">
        <v>1081.4448</v>
      </c>
      <c r="I906">
        <v>0</v>
      </c>
      <c r="J906">
        <v>1163.79</v>
      </c>
      <c r="K906">
        <v>0</v>
      </c>
      <c r="L906">
        <v>1158.8800000000001</v>
      </c>
      <c r="M906" t="s">
        <v>27</v>
      </c>
      <c r="N906">
        <v>1</v>
      </c>
      <c r="O906">
        <v>1254</v>
      </c>
      <c r="P906">
        <v>1081</v>
      </c>
      <c r="Q906">
        <v>0</v>
      </c>
      <c r="R906">
        <v>1081</v>
      </c>
    </row>
    <row r="907" spans="1:18" x14ac:dyDescent="0.3">
      <c r="A907" s="5">
        <v>45962</v>
      </c>
      <c r="B907" t="s">
        <v>1312</v>
      </c>
      <c r="C907">
        <v>11</v>
      </c>
      <c r="D907">
        <v>36</v>
      </c>
      <c r="E907" s="1">
        <v>1.0833333333333333</v>
      </c>
      <c r="F907" t="s">
        <v>1311</v>
      </c>
      <c r="G907">
        <v>5</v>
      </c>
      <c r="H907">
        <v>1081.4268</v>
      </c>
      <c r="I907">
        <v>0</v>
      </c>
      <c r="J907">
        <v>1163.79</v>
      </c>
      <c r="K907">
        <v>0</v>
      </c>
      <c r="L907">
        <v>1158.8800000000001</v>
      </c>
      <c r="M907" t="s">
        <v>27</v>
      </c>
      <c r="N907">
        <v>1</v>
      </c>
      <c r="O907">
        <v>1254</v>
      </c>
      <c r="P907">
        <v>1081</v>
      </c>
      <c r="Q907">
        <v>0</v>
      </c>
      <c r="R907">
        <v>1081</v>
      </c>
    </row>
    <row r="908" spans="1:18" x14ac:dyDescent="0.3">
      <c r="A908" s="5">
        <v>45962</v>
      </c>
      <c r="B908" t="s">
        <v>1312</v>
      </c>
      <c r="C908">
        <v>11</v>
      </c>
      <c r="D908">
        <v>36</v>
      </c>
      <c r="E908" s="1">
        <v>1.0833333333333333</v>
      </c>
      <c r="F908" t="s">
        <v>1311</v>
      </c>
      <c r="G908">
        <v>5</v>
      </c>
      <c r="H908">
        <v>1081.4268</v>
      </c>
      <c r="I908">
        <v>0</v>
      </c>
      <c r="J908">
        <v>1163.79</v>
      </c>
      <c r="K908">
        <v>0</v>
      </c>
      <c r="L908">
        <v>1158.8800000000001</v>
      </c>
      <c r="M908" t="s">
        <v>27</v>
      </c>
      <c r="N908">
        <v>1</v>
      </c>
      <c r="O908">
        <v>1254</v>
      </c>
      <c r="P908">
        <v>1081</v>
      </c>
      <c r="Q908">
        <v>0</v>
      </c>
      <c r="R908">
        <v>1081</v>
      </c>
    </row>
    <row r="909" spans="1:18" x14ac:dyDescent="0.3">
      <c r="A909" s="5">
        <v>45962</v>
      </c>
      <c r="B909" t="s">
        <v>1312</v>
      </c>
      <c r="C909">
        <v>11</v>
      </c>
      <c r="D909">
        <v>36</v>
      </c>
      <c r="E909" s="1">
        <v>1.0833333333333333</v>
      </c>
      <c r="F909" t="s">
        <v>1311</v>
      </c>
      <c r="G909">
        <v>5</v>
      </c>
      <c r="H909">
        <v>1081.4268</v>
      </c>
      <c r="I909">
        <v>0</v>
      </c>
      <c r="J909">
        <v>1163.79</v>
      </c>
      <c r="K909">
        <v>0</v>
      </c>
      <c r="L909">
        <v>1158.8800000000001</v>
      </c>
      <c r="M909" t="s">
        <v>27</v>
      </c>
      <c r="N909">
        <v>1</v>
      </c>
      <c r="O909">
        <v>1254</v>
      </c>
      <c r="P909">
        <v>1081</v>
      </c>
      <c r="Q909">
        <v>0</v>
      </c>
      <c r="R909">
        <v>1081</v>
      </c>
    </row>
    <row r="910" spans="1:18" x14ac:dyDescent="0.3">
      <c r="A910" s="5">
        <v>45962</v>
      </c>
      <c r="B910" t="s">
        <v>1313</v>
      </c>
      <c r="C910">
        <v>12</v>
      </c>
      <c r="D910">
        <v>36</v>
      </c>
      <c r="E910" s="1">
        <v>1.0833333333333333</v>
      </c>
      <c r="F910" t="s">
        <v>1311</v>
      </c>
      <c r="G910">
        <v>5</v>
      </c>
      <c r="H910">
        <v>1081.4087</v>
      </c>
      <c r="I910">
        <v>0</v>
      </c>
      <c r="J910">
        <v>1163.79</v>
      </c>
      <c r="K910">
        <v>0</v>
      </c>
      <c r="L910">
        <v>1158.8800000000001</v>
      </c>
      <c r="M910" t="s">
        <v>27</v>
      </c>
      <c r="N910">
        <v>1</v>
      </c>
      <c r="O910">
        <v>1254</v>
      </c>
      <c r="P910">
        <v>1081</v>
      </c>
      <c r="Q910">
        <v>0</v>
      </c>
      <c r="R910">
        <v>1081</v>
      </c>
    </row>
    <row r="911" spans="1:18" x14ac:dyDescent="0.3">
      <c r="A911" s="5">
        <v>45962</v>
      </c>
      <c r="B911" t="s">
        <v>1313</v>
      </c>
      <c r="C911">
        <v>12</v>
      </c>
      <c r="D911">
        <v>36</v>
      </c>
      <c r="E911" s="1">
        <v>1.0833333333333333</v>
      </c>
      <c r="F911" t="s">
        <v>1311</v>
      </c>
      <c r="G911">
        <v>5</v>
      </c>
      <c r="H911">
        <v>1081.4087</v>
      </c>
      <c r="I911">
        <v>0</v>
      </c>
      <c r="J911">
        <v>1163.79</v>
      </c>
      <c r="K911">
        <v>0</v>
      </c>
      <c r="L911">
        <v>1158.8800000000001</v>
      </c>
      <c r="M911" t="s">
        <v>27</v>
      </c>
      <c r="N911">
        <v>1</v>
      </c>
      <c r="O911">
        <v>1254</v>
      </c>
      <c r="P911">
        <v>1081</v>
      </c>
      <c r="Q911">
        <v>0</v>
      </c>
      <c r="R911">
        <v>1081</v>
      </c>
    </row>
    <row r="912" spans="1:18" x14ac:dyDescent="0.3">
      <c r="A912" s="5">
        <v>45962</v>
      </c>
      <c r="B912" t="s">
        <v>1313</v>
      </c>
      <c r="C912">
        <v>12</v>
      </c>
      <c r="D912">
        <v>36</v>
      </c>
      <c r="E912" s="1">
        <v>1.0833333333333333</v>
      </c>
      <c r="F912" t="s">
        <v>1311</v>
      </c>
      <c r="G912">
        <v>5</v>
      </c>
      <c r="H912">
        <v>1081.4087</v>
      </c>
      <c r="I912">
        <v>0</v>
      </c>
      <c r="J912">
        <v>1163.79</v>
      </c>
      <c r="K912">
        <v>0</v>
      </c>
      <c r="L912">
        <v>1158.8800000000001</v>
      </c>
      <c r="M912" t="s">
        <v>27</v>
      </c>
      <c r="N912">
        <v>1</v>
      </c>
      <c r="O912">
        <v>1254</v>
      </c>
      <c r="P912">
        <v>1081</v>
      </c>
      <c r="Q912">
        <v>0</v>
      </c>
      <c r="R912">
        <v>1081</v>
      </c>
    </row>
    <row r="913" spans="1:18" x14ac:dyDescent="0.3">
      <c r="A913" s="5">
        <v>45962</v>
      </c>
      <c r="B913" t="s">
        <v>1314</v>
      </c>
      <c r="C913">
        <v>21</v>
      </c>
      <c r="D913">
        <v>36</v>
      </c>
      <c r="E913" s="1">
        <v>1.9791666666666665</v>
      </c>
      <c r="F913" t="s">
        <v>1315</v>
      </c>
      <c r="G913">
        <v>1</v>
      </c>
      <c r="H913">
        <v>1080.8812</v>
      </c>
      <c r="I913">
        <v>8.5</v>
      </c>
      <c r="J913">
        <v>1163.79</v>
      </c>
      <c r="K913">
        <v>6.6574267799006801</v>
      </c>
      <c r="L913">
        <v>1237.07</v>
      </c>
      <c r="M913" t="s">
        <v>27</v>
      </c>
      <c r="N913">
        <v>1</v>
      </c>
      <c r="O913">
        <v>1346</v>
      </c>
      <c r="P913">
        <v>1173</v>
      </c>
      <c r="Q913">
        <v>0</v>
      </c>
      <c r="R913">
        <v>1173</v>
      </c>
    </row>
    <row r="914" spans="1:18" x14ac:dyDescent="0.3">
      <c r="A914" s="5">
        <v>45962</v>
      </c>
      <c r="B914" t="s">
        <v>1316</v>
      </c>
      <c r="C914">
        <v>5</v>
      </c>
      <c r="D914">
        <v>36</v>
      </c>
      <c r="E914" s="1">
        <v>1.4583333333333333</v>
      </c>
      <c r="F914" t="s">
        <v>1317</v>
      </c>
      <c r="G914">
        <v>0</v>
      </c>
      <c r="H914">
        <v>1081.4547</v>
      </c>
      <c r="I914">
        <v>2.5</v>
      </c>
      <c r="J914">
        <v>1163.79</v>
      </c>
      <c r="K914">
        <v>1.9580666999707901</v>
      </c>
      <c r="L914">
        <v>1175.17</v>
      </c>
      <c r="M914" t="s">
        <v>27</v>
      </c>
      <c r="N914">
        <v>1</v>
      </c>
      <c r="O914">
        <v>1282</v>
      </c>
      <c r="P914">
        <v>1108</v>
      </c>
      <c r="Q914">
        <v>0</v>
      </c>
      <c r="R914">
        <v>1108</v>
      </c>
    </row>
    <row r="915" spans="1:18" x14ac:dyDescent="0.3">
      <c r="A915" s="5">
        <v>45962</v>
      </c>
      <c r="B915" t="s">
        <v>1318</v>
      </c>
      <c r="C915">
        <v>10</v>
      </c>
      <c r="D915">
        <v>36</v>
      </c>
      <c r="E915" s="1">
        <v>1.0833333333333333</v>
      </c>
      <c r="F915" t="s">
        <v>1319</v>
      </c>
      <c r="G915">
        <v>4</v>
      </c>
      <c r="H915">
        <v>1081.3683000000001</v>
      </c>
      <c r="I915">
        <v>7</v>
      </c>
      <c r="J915">
        <v>1163.79</v>
      </c>
      <c r="K915">
        <v>5.4825867599182097</v>
      </c>
      <c r="L915">
        <v>1175.17</v>
      </c>
      <c r="M915" t="s">
        <v>27</v>
      </c>
      <c r="N915">
        <v>1</v>
      </c>
      <c r="O915">
        <v>1330</v>
      </c>
      <c r="P915">
        <v>1157</v>
      </c>
      <c r="Q915">
        <v>0</v>
      </c>
      <c r="R915">
        <v>1157</v>
      </c>
    </row>
    <row r="916" spans="1:18" x14ac:dyDescent="0.3">
      <c r="A916" s="5">
        <v>45962</v>
      </c>
      <c r="B916" t="s">
        <v>1320</v>
      </c>
      <c r="C916">
        <v>10</v>
      </c>
      <c r="D916">
        <v>36</v>
      </c>
      <c r="E916" s="1">
        <v>1.9652777777777777</v>
      </c>
      <c r="F916" t="s">
        <v>1321</v>
      </c>
      <c r="G916">
        <v>3</v>
      </c>
      <c r="H916">
        <v>1081.0784000000001</v>
      </c>
      <c r="I916">
        <v>10</v>
      </c>
      <c r="J916">
        <v>1163.79</v>
      </c>
      <c r="K916">
        <v>7.8322667998831603</v>
      </c>
      <c r="L916">
        <v>618.53</v>
      </c>
      <c r="M916" t="s">
        <v>20</v>
      </c>
      <c r="N916">
        <v>1</v>
      </c>
      <c r="O916">
        <v>1362</v>
      </c>
      <c r="P916">
        <v>1189</v>
      </c>
      <c r="Q916">
        <v>0.5</v>
      </c>
      <c r="R916">
        <v>594.5</v>
      </c>
    </row>
    <row r="917" spans="1:18" x14ac:dyDescent="0.3">
      <c r="A917" s="5">
        <v>45962</v>
      </c>
      <c r="B917" t="s">
        <v>1322</v>
      </c>
      <c r="C917">
        <v>1</v>
      </c>
      <c r="D917">
        <v>36</v>
      </c>
      <c r="E917" s="1">
        <v>1.9993055555555554</v>
      </c>
      <c r="F917" t="s">
        <v>1323</v>
      </c>
      <c r="G917">
        <v>3</v>
      </c>
      <c r="H917">
        <v>1081.2401</v>
      </c>
      <c r="I917">
        <v>10</v>
      </c>
      <c r="J917">
        <v>1163.79</v>
      </c>
      <c r="K917">
        <v>7.8322667998831603</v>
      </c>
      <c r="L917">
        <v>618.53</v>
      </c>
      <c r="M917" t="s">
        <v>60</v>
      </c>
      <c r="N917">
        <v>1</v>
      </c>
      <c r="O917">
        <v>1362</v>
      </c>
      <c r="P917">
        <v>1189</v>
      </c>
      <c r="Q917">
        <v>0.5</v>
      </c>
      <c r="R917">
        <v>594.5</v>
      </c>
    </row>
    <row r="918" spans="1:18" x14ac:dyDescent="0.3">
      <c r="A918" s="5">
        <v>45962</v>
      </c>
      <c r="B918" t="s">
        <v>1324</v>
      </c>
      <c r="C918">
        <v>35</v>
      </c>
      <c r="D918">
        <v>36</v>
      </c>
      <c r="E918" s="1">
        <v>1.9652777777777777</v>
      </c>
      <c r="F918" t="s">
        <v>1325</v>
      </c>
      <c r="G918">
        <v>1</v>
      </c>
      <c r="H918">
        <v>1080.5099</v>
      </c>
      <c r="I918">
        <v>8.5</v>
      </c>
      <c r="J918">
        <v>1163.79</v>
      </c>
      <c r="K918">
        <v>6.6574267799006801</v>
      </c>
      <c r="L918">
        <v>1237.07</v>
      </c>
      <c r="M918" t="s">
        <v>27</v>
      </c>
      <c r="N918">
        <v>1</v>
      </c>
      <c r="O918">
        <v>1345</v>
      </c>
      <c r="P918">
        <v>1172</v>
      </c>
      <c r="Q918">
        <v>0</v>
      </c>
      <c r="R918">
        <v>1172</v>
      </c>
    </row>
    <row r="919" spans="1:18" x14ac:dyDescent="0.3">
      <c r="A919" s="5">
        <v>45962</v>
      </c>
      <c r="B919" t="s">
        <v>1326</v>
      </c>
      <c r="C919">
        <v>21</v>
      </c>
      <c r="D919">
        <v>36</v>
      </c>
      <c r="E919" s="1">
        <v>1.9652777777777777</v>
      </c>
      <c r="F919" t="s">
        <v>1327</v>
      </c>
      <c r="G919">
        <v>3</v>
      </c>
      <c r="H919">
        <v>1080.8804</v>
      </c>
      <c r="I919">
        <v>10</v>
      </c>
      <c r="J919">
        <v>1163.79</v>
      </c>
      <c r="K919">
        <v>7.8322667998831603</v>
      </c>
      <c r="L919">
        <v>618.53</v>
      </c>
      <c r="M919" t="s">
        <v>20</v>
      </c>
      <c r="N919">
        <v>1</v>
      </c>
      <c r="O919">
        <v>1362</v>
      </c>
      <c r="P919">
        <v>1189</v>
      </c>
      <c r="Q919">
        <v>0.5</v>
      </c>
      <c r="R919">
        <v>594.5</v>
      </c>
    </row>
    <row r="920" spans="1:18" x14ac:dyDescent="0.3">
      <c r="A920" s="5">
        <v>45962</v>
      </c>
      <c r="B920" t="s">
        <v>1328</v>
      </c>
      <c r="C920">
        <v>18</v>
      </c>
      <c r="D920">
        <v>36</v>
      </c>
      <c r="E920" s="1">
        <v>1.9993055555555554</v>
      </c>
      <c r="F920" t="s">
        <v>1329</v>
      </c>
      <c r="G920">
        <v>1</v>
      </c>
      <c r="H920">
        <v>1080.9337</v>
      </c>
      <c r="I920">
        <v>8.5</v>
      </c>
      <c r="J920">
        <v>1163.79</v>
      </c>
      <c r="K920">
        <v>6.6574267799006801</v>
      </c>
      <c r="L920">
        <v>1237.07</v>
      </c>
      <c r="M920" t="s">
        <v>27</v>
      </c>
      <c r="N920">
        <v>1</v>
      </c>
      <c r="O920">
        <v>1346</v>
      </c>
      <c r="P920">
        <v>1173</v>
      </c>
      <c r="Q920">
        <v>0</v>
      </c>
      <c r="R920">
        <v>1173</v>
      </c>
    </row>
    <row r="921" spans="1:18" x14ac:dyDescent="0.3">
      <c r="A921" s="5">
        <v>45963</v>
      </c>
      <c r="B921" t="s">
        <v>1330</v>
      </c>
      <c r="C921">
        <v>35</v>
      </c>
      <c r="D921">
        <v>36</v>
      </c>
      <c r="E921" s="1">
        <v>1.0833333333333333</v>
      </c>
      <c r="F921" t="s">
        <v>1331</v>
      </c>
      <c r="G921">
        <v>4</v>
      </c>
      <c r="H921">
        <v>1080.7716</v>
      </c>
      <c r="I921">
        <v>7</v>
      </c>
      <c r="J921">
        <v>1163.79</v>
      </c>
      <c r="K921">
        <v>5.4825867599182097</v>
      </c>
      <c r="L921">
        <v>1237.07</v>
      </c>
      <c r="M921" t="s">
        <v>27</v>
      </c>
      <c r="N921">
        <v>1</v>
      </c>
      <c r="O921">
        <v>1329</v>
      </c>
      <c r="P921">
        <v>1156</v>
      </c>
      <c r="Q921">
        <v>0</v>
      </c>
      <c r="R921">
        <v>1156</v>
      </c>
    </row>
    <row r="922" spans="1:18" x14ac:dyDescent="0.3">
      <c r="A922" s="5">
        <v>45963</v>
      </c>
      <c r="B922" t="s">
        <v>1332</v>
      </c>
      <c r="C922">
        <v>8</v>
      </c>
      <c r="D922">
        <v>36</v>
      </c>
      <c r="E922" s="1">
        <v>1.0833333333333333</v>
      </c>
      <c r="F922" t="s">
        <v>1333</v>
      </c>
      <c r="G922">
        <v>4</v>
      </c>
      <c r="H922">
        <v>1081.3885</v>
      </c>
      <c r="I922">
        <v>7</v>
      </c>
      <c r="J922">
        <v>1163.79</v>
      </c>
      <c r="K922">
        <v>5.4825867599182097</v>
      </c>
      <c r="L922">
        <v>1237.07</v>
      </c>
      <c r="M922" t="s">
        <v>27</v>
      </c>
      <c r="N922">
        <v>1</v>
      </c>
      <c r="O922">
        <v>1330</v>
      </c>
      <c r="P922">
        <v>1157</v>
      </c>
      <c r="Q922">
        <v>0</v>
      </c>
      <c r="R922">
        <v>1157</v>
      </c>
    </row>
    <row r="923" spans="1:18" x14ac:dyDescent="0.3">
      <c r="A923" s="5">
        <v>45963</v>
      </c>
      <c r="B923" t="s">
        <v>1334</v>
      </c>
      <c r="C923">
        <v>12</v>
      </c>
      <c r="D923">
        <v>36</v>
      </c>
      <c r="E923" s="1">
        <v>1.0833333333333333</v>
      </c>
      <c r="F923" t="s">
        <v>1335</v>
      </c>
      <c r="G923">
        <v>4</v>
      </c>
      <c r="H923">
        <v>1081.3168000000001</v>
      </c>
      <c r="I923">
        <v>7</v>
      </c>
      <c r="J923">
        <v>1163.79</v>
      </c>
      <c r="K923">
        <v>5.4825867599182097</v>
      </c>
      <c r="L923">
        <v>1237.07</v>
      </c>
      <c r="M923" t="s">
        <v>27</v>
      </c>
      <c r="N923">
        <v>1</v>
      </c>
      <c r="O923">
        <v>1330</v>
      </c>
      <c r="P923">
        <v>1157</v>
      </c>
      <c r="Q923">
        <v>0</v>
      </c>
      <c r="R923">
        <v>1157</v>
      </c>
    </row>
    <row r="924" spans="1:18" x14ac:dyDescent="0.3">
      <c r="A924" s="5">
        <v>45963</v>
      </c>
      <c r="B924" t="s">
        <v>1336</v>
      </c>
      <c r="C924">
        <v>4</v>
      </c>
      <c r="D924">
        <v>36</v>
      </c>
      <c r="E924" s="1">
        <v>1.0833333333333333</v>
      </c>
      <c r="F924" t="s">
        <v>1337</v>
      </c>
      <c r="G924">
        <v>4</v>
      </c>
      <c r="H924">
        <v>1081.328</v>
      </c>
      <c r="I924">
        <v>7</v>
      </c>
      <c r="J924">
        <v>1163.79</v>
      </c>
      <c r="K924">
        <v>5.4825867599182097</v>
      </c>
      <c r="L924">
        <v>1237.07</v>
      </c>
      <c r="M924" t="s">
        <v>27</v>
      </c>
      <c r="N924">
        <v>1</v>
      </c>
      <c r="O924">
        <v>1330</v>
      </c>
      <c r="P924">
        <v>1157</v>
      </c>
      <c r="Q924">
        <v>0</v>
      </c>
      <c r="R924">
        <v>1157</v>
      </c>
    </row>
    <row r="925" spans="1:18" x14ac:dyDescent="0.3">
      <c r="A925" s="5">
        <v>45963</v>
      </c>
      <c r="B925" t="s">
        <v>1338</v>
      </c>
      <c r="C925">
        <v>28</v>
      </c>
      <c r="D925">
        <v>36</v>
      </c>
      <c r="E925" s="1">
        <v>1.0833333333333333</v>
      </c>
      <c r="F925" t="s">
        <v>1339</v>
      </c>
      <c r="G925">
        <v>4</v>
      </c>
      <c r="H925">
        <v>1080.8966</v>
      </c>
      <c r="I925">
        <v>7</v>
      </c>
      <c r="J925">
        <v>1163.79</v>
      </c>
      <c r="K925">
        <v>5.4825867599182097</v>
      </c>
      <c r="L925">
        <v>1237.07</v>
      </c>
      <c r="M925" t="s">
        <v>27</v>
      </c>
      <c r="N925">
        <v>1</v>
      </c>
      <c r="O925">
        <v>1330</v>
      </c>
      <c r="P925">
        <v>1157</v>
      </c>
      <c r="Q925">
        <v>0</v>
      </c>
      <c r="R925">
        <v>1157</v>
      </c>
    </row>
    <row r="926" spans="1:18" x14ac:dyDescent="0.3">
      <c r="A926" s="5">
        <v>45963</v>
      </c>
      <c r="B926" t="s">
        <v>1340</v>
      </c>
      <c r="C926">
        <v>19</v>
      </c>
      <c r="D926">
        <v>36</v>
      </c>
      <c r="E926" s="1">
        <v>1.0833333333333333</v>
      </c>
      <c r="F926" t="s">
        <v>1341</v>
      </c>
      <c r="G926">
        <v>4</v>
      </c>
      <c r="H926">
        <v>1081.191</v>
      </c>
      <c r="I926">
        <v>7</v>
      </c>
      <c r="J926">
        <v>1163.79</v>
      </c>
      <c r="K926">
        <v>5.4825867599182097</v>
      </c>
      <c r="L926">
        <v>1237.07</v>
      </c>
      <c r="M926" t="s">
        <v>27</v>
      </c>
      <c r="N926">
        <v>1</v>
      </c>
      <c r="O926">
        <v>1330</v>
      </c>
      <c r="P926">
        <v>1157</v>
      </c>
      <c r="Q926">
        <v>0</v>
      </c>
      <c r="R926">
        <v>1157</v>
      </c>
    </row>
    <row r="927" spans="1:18" x14ac:dyDescent="0.3">
      <c r="A927" s="5">
        <v>45963</v>
      </c>
      <c r="B927" t="s">
        <v>1342</v>
      </c>
      <c r="C927">
        <v>20</v>
      </c>
      <c r="D927">
        <v>36</v>
      </c>
      <c r="E927" s="1">
        <v>1.0833333333333333</v>
      </c>
      <c r="F927" t="s">
        <v>1343</v>
      </c>
      <c r="G927">
        <v>4</v>
      </c>
      <c r="H927">
        <v>1081.173</v>
      </c>
      <c r="I927">
        <v>7</v>
      </c>
      <c r="J927">
        <v>1163.79</v>
      </c>
      <c r="K927">
        <v>5.4825867599182097</v>
      </c>
      <c r="L927">
        <v>1237.07</v>
      </c>
      <c r="M927" t="s">
        <v>27</v>
      </c>
      <c r="N927">
        <v>1</v>
      </c>
      <c r="O927">
        <v>1330</v>
      </c>
      <c r="P927">
        <v>1157</v>
      </c>
      <c r="Q927">
        <v>0</v>
      </c>
      <c r="R927">
        <v>1157</v>
      </c>
    </row>
    <row r="928" spans="1:18" x14ac:dyDescent="0.3">
      <c r="A928" s="5">
        <v>45963</v>
      </c>
      <c r="B928" t="s">
        <v>1344</v>
      </c>
      <c r="C928">
        <v>21</v>
      </c>
      <c r="D928">
        <v>36</v>
      </c>
      <c r="E928" s="1">
        <v>1.0833333333333333</v>
      </c>
      <c r="F928" t="s">
        <v>1345</v>
      </c>
      <c r="G928">
        <v>4</v>
      </c>
      <c r="H928">
        <v>1081.1548</v>
      </c>
      <c r="I928">
        <v>7</v>
      </c>
      <c r="J928">
        <v>1163.79</v>
      </c>
      <c r="K928">
        <v>5.4825867599182097</v>
      </c>
      <c r="L928">
        <v>1237.07</v>
      </c>
      <c r="M928" t="s">
        <v>27</v>
      </c>
      <c r="N928">
        <v>1</v>
      </c>
      <c r="O928">
        <v>1330</v>
      </c>
      <c r="P928">
        <v>1157</v>
      </c>
      <c r="Q928">
        <v>0</v>
      </c>
      <c r="R928">
        <v>1157</v>
      </c>
    </row>
    <row r="929" spans="1:18" x14ac:dyDescent="0.3">
      <c r="A929" s="5">
        <v>45963</v>
      </c>
      <c r="B929" t="s">
        <v>1346</v>
      </c>
      <c r="C929">
        <v>7</v>
      </c>
      <c r="D929">
        <v>36</v>
      </c>
      <c r="E929" s="1">
        <v>1.9993055555555554</v>
      </c>
      <c r="F929" t="s">
        <v>1347</v>
      </c>
      <c r="G929">
        <v>4</v>
      </c>
      <c r="H929">
        <v>1081.2786000000001</v>
      </c>
      <c r="I929">
        <v>7</v>
      </c>
      <c r="J929">
        <v>1163.79</v>
      </c>
      <c r="K929">
        <v>5.4825867599182097</v>
      </c>
      <c r="L929">
        <v>1116.3800000000001</v>
      </c>
      <c r="M929" t="s">
        <v>27</v>
      </c>
      <c r="N929">
        <v>1</v>
      </c>
      <c r="O929">
        <v>1330</v>
      </c>
      <c r="P929">
        <v>1157</v>
      </c>
      <c r="Q929">
        <v>0</v>
      </c>
      <c r="R929">
        <v>1157</v>
      </c>
    </row>
    <row r="930" spans="1:18" x14ac:dyDescent="0.3">
      <c r="A930" s="5">
        <v>45963</v>
      </c>
      <c r="B930" t="s">
        <v>1348</v>
      </c>
      <c r="C930">
        <v>7</v>
      </c>
      <c r="D930">
        <v>36</v>
      </c>
      <c r="E930" s="1">
        <v>1.4583333333333333</v>
      </c>
      <c r="F930" t="s">
        <v>1349</v>
      </c>
      <c r="G930">
        <v>0</v>
      </c>
      <c r="H930">
        <v>1081.5764999999999</v>
      </c>
      <c r="I930">
        <v>2.5</v>
      </c>
      <c r="J930">
        <v>1163.79</v>
      </c>
      <c r="K930">
        <v>1.9580666999707901</v>
      </c>
      <c r="L930">
        <v>1175.17</v>
      </c>
      <c r="M930" t="s">
        <v>27</v>
      </c>
      <c r="N930">
        <v>1</v>
      </c>
      <c r="O930">
        <v>1282</v>
      </c>
      <c r="P930">
        <v>1109</v>
      </c>
      <c r="Q930">
        <v>0</v>
      </c>
      <c r="R930">
        <v>1109</v>
      </c>
    </row>
    <row r="931" spans="1:18" x14ac:dyDescent="0.3">
      <c r="A931" s="5">
        <v>45963</v>
      </c>
      <c r="B931" t="s">
        <v>1350</v>
      </c>
      <c r="C931">
        <v>3</v>
      </c>
      <c r="D931">
        <v>36</v>
      </c>
      <c r="E931" s="1">
        <v>1.0833333333333333</v>
      </c>
      <c r="F931" t="s">
        <v>1351</v>
      </c>
      <c r="G931">
        <v>2</v>
      </c>
      <c r="H931">
        <v>1081.6487</v>
      </c>
      <c r="I931">
        <v>5</v>
      </c>
      <c r="J931">
        <v>1163.79</v>
      </c>
      <c r="K931">
        <v>3.9161333999415802</v>
      </c>
      <c r="L931">
        <v>618.53</v>
      </c>
      <c r="M931" t="s">
        <v>60</v>
      </c>
      <c r="N931">
        <v>1</v>
      </c>
      <c r="O931">
        <v>1309</v>
      </c>
      <c r="P931">
        <v>1136</v>
      </c>
      <c r="Q931">
        <v>0.5</v>
      </c>
      <c r="R931">
        <v>568</v>
      </c>
    </row>
    <row r="932" spans="1:18" x14ac:dyDescent="0.3">
      <c r="A932" s="5">
        <v>45963</v>
      </c>
      <c r="B932" t="s">
        <v>1350</v>
      </c>
      <c r="C932">
        <v>3</v>
      </c>
      <c r="D932">
        <v>36</v>
      </c>
      <c r="E932" s="1">
        <v>1.0833333333333333</v>
      </c>
      <c r="F932" t="s">
        <v>1351</v>
      </c>
      <c r="G932">
        <v>2</v>
      </c>
      <c r="H932">
        <v>1081.6487</v>
      </c>
      <c r="I932">
        <v>5</v>
      </c>
      <c r="J932">
        <v>1163.79</v>
      </c>
      <c r="K932">
        <v>3.9161333999415802</v>
      </c>
      <c r="L932">
        <v>618.53</v>
      </c>
      <c r="M932" t="s">
        <v>60</v>
      </c>
      <c r="N932">
        <v>1</v>
      </c>
      <c r="O932">
        <v>1309</v>
      </c>
      <c r="P932">
        <v>1136</v>
      </c>
      <c r="Q932">
        <v>0.5</v>
      </c>
      <c r="R932">
        <v>568</v>
      </c>
    </row>
    <row r="933" spans="1:18" x14ac:dyDescent="0.3">
      <c r="A933" s="5">
        <v>45963</v>
      </c>
      <c r="B933" t="s">
        <v>1352</v>
      </c>
      <c r="C933">
        <v>2</v>
      </c>
      <c r="D933">
        <v>36</v>
      </c>
      <c r="E933" s="1">
        <v>1.0833333333333333</v>
      </c>
      <c r="F933" t="s">
        <v>1351</v>
      </c>
      <c r="G933">
        <v>2</v>
      </c>
      <c r="H933">
        <v>1081.6668999999999</v>
      </c>
      <c r="I933">
        <v>5</v>
      </c>
      <c r="J933">
        <v>1163.79</v>
      </c>
      <c r="K933">
        <v>3.9161333999415802</v>
      </c>
      <c r="L933">
        <v>618.53</v>
      </c>
      <c r="M933" t="s">
        <v>60</v>
      </c>
      <c r="N933">
        <v>1</v>
      </c>
      <c r="O933">
        <v>1309</v>
      </c>
      <c r="P933">
        <v>1136</v>
      </c>
      <c r="Q933">
        <v>0.5</v>
      </c>
      <c r="R933">
        <v>568</v>
      </c>
    </row>
    <row r="934" spans="1:18" x14ac:dyDescent="0.3">
      <c r="A934" s="5">
        <v>45963</v>
      </c>
      <c r="B934" t="s">
        <v>1352</v>
      </c>
      <c r="C934">
        <v>2</v>
      </c>
      <c r="D934">
        <v>36</v>
      </c>
      <c r="E934" s="1">
        <v>1.0833333333333333</v>
      </c>
      <c r="F934" t="s">
        <v>1351</v>
      </c>
      <c r="G934">
        <v>2</v>
      </c>
      <c r="H934">
        <v>1081.6668999999999</v>
      </c>
      <c r="I934">
        <v>5</v>
      </c>
      <c r="J934">
        <v>1163.79</v>
      </c>
      <c r="K934">
        <v>3.9161333999415802</v>
      </c>
      <c r="L934">
        <v>618.53</v>
      </c>
      <c r="M934" t="s">
        <v>60</v>
      </c>
      <c r="N934">
        <v>1</v>
      </c>
      <c r="O934">
        <v>1309</v>
      </c>
      <c r="P934">
        <v>1136</v>
      </c>
      <c r="Q934">
        <v>0.5</v>
      </c>
      <c r="R934">
        <v>568</v>
      </c>
    </row>
    <row r="935" spans="1:18" x14ac:dyDescent="0.3">
      <c r="A935" s="5">
        <v>45963</v>
      </c>
      <c r="B935" t="s">
        <v>1353</v>
      </c>
      <c r="C935">
        <v>32</v>
      </c>
      <c r="D935">
        <v>35</v>
      </c>
      <c r="E935" s="1">
        <v>1.25</v>
      </c>
      <c r="F935" t="s">
        <v>1354</v>
      </c>
      <c r="G935">
        <v>1</v>
      </c>
      <c r="H935">
        <v>1080.8253999999999</v>
      </c>
      <c r="I935">
        <v>8.5</v>
      </c>
      <c r="J935">
        <v>1163.79</v>
      </c>
      <c r="K935">
        <v>6.6574267799006801</v>
      </c>
      <c r="L935">
        <v>1237.07</v>
      </c>
      <c r="M935" t="s">
        <v>27</v>
      </c>
      <c r="N935">
        <v>1</v>
      </c>
      <c r="O935">
        <v>1346</v>
      </c>
      <c r="P935">
        <v>1173</v>
      </c>
      <c r="Q935">
        <v>0</v>
      </c>
      <c r="R935">
        <v>1173</v>
      </c>
    </row>
    <row r="936" spans="1:18" x14ac:dyDescent="0.3">
      <c r="A936" s="5">
        <v>45963</v>
      </c>
      <c r="B936" t="s">
        <v>1355</v>
      </c>
      <c r="C936">
        <v>17</v>
      </c>
      <c r="D936">
        <v>35</v>
      </c>
      <c r="E936" s="1">
        <v>1.25</v>
      </c>
      <c r="F936" t="s">
        <v>1356</v>
      </c>
      <c r="G936">
        <v>1</v>
      </c>
      <c r="H936">
        <v>1081.0952</v>
      </c>
      <c r="I936">
        <v>8.5</v>
      </c>
      <c r="J936">
        <v>1163.79</v>
      </c>
      <c r="K936">
        <v>6.6574267799006801</v>
      </c>
      <c r="L936">
        <v>1237.07</v>
      </c>
      <c r="M936" t="s">
        <v>27</v>
      </c>
      <c r="N936">
        <v>1</v>
      </c>
      <c r="O936">
        <v>1346</v>
      </c>
      <c r="P936">
        <v>1173</v>
      </c>
      <c r="Q936">
        <v>0</v>
      </c>
      <c r="R936">
        <v>1173</v>
      </c>
    </row>
    <row r="937" spans="1:18" x14ac:dyDescent="0.3">
      <c r="A937" s="5">
        <v>45963</v>
      </c>
      <c r="B937" t="s">
        <v>1357</v>
      </c>
      <c r="C937">
        <v>5</v>
      </c>
      <c r="D937">
        <v>35</v>
      </c>
      <c r="E937" s="1">
        <v>1.25</v>
      </c>
      <c r="F937" t="s">
        <v>1358</v>
      </c>
      <c r="G937">
        <v>3</v>
      </c>
      <c r="H937">
        <v>1081.4375</v>
      </c>
      <c r="I937">
        <v>10</v>
      </c>
      <c r="J937">
        <v>1163.79</v>
      </c>
      <c r="K937">
        <v>7.8322667998831603</v>
      </c>
      <c r="L937">
        <v>618.53</v>
      </c>
      <c r="M937" t="s">
        <v>20</v>
      </c>
      <c r="N937">
        <v>1</v>
      </c>
      <c r="O937">
        <v>1363</v>
      </c>
      <c r="P937">
        <v>1190</v>
      </c>
      <c r="Q937">
        <v>0.5</v>
      </c>
      <c r="R937">
        <v>595</v>
      </c>
    </row>
    <row r="938" spans="1:18" x14ac:dyDescent="0.3">
      <c r="A938" s="5">
        <v>45963</v>
      </c>
      <c r="B938" t="s">
        <v>1359</v>
      </c>
      <c r="C938">
        <v>6</v>
      </c>
      <c r="D938">
        <v>35</v>
      </c>
      <c r="E938" s="1">
        <v>1.25</v>
      </c>
      <c r="F938" t="s">
        <v>1360</v>
      </c>
      <c r="G938">
        <v>1</v>
      </c>
      <c r="H938">
        <v>1081.4195999999999</v>
      </c>
      <c r="I938">
        <v>8.5</v>
      </c>
      <c r="J938">
        <v>1163.79</v>
      </c>
      <c r="K938">
        <v>6.6574267799006801</v>
      </c>
      <c r="L938">
        <v>1237.07</v>
      </c>
      <c r="M938" t="s">
        <v>27</v>
      </c>
      <c r="N938">
        <v>1</v>
      </c>
      <c r="O938">
        <v>1346</v>
      </c>
      <c r="P938">
        <v>1173</v>
      </c>
      <c r="Q938">
        <v>0</v>
      </c>
      <c r="R938">
        <v>1173</v>
      </c>
    </row>
    <row r="939" spans="1:18" x14ac:dyDescent="0.3">
      <c r="A939" s="5">
        <v>45963</v>
      </c>
      <c r="B939" t="s">
        <v>783</v>
      </c>
      <c r="C939">
        <v>35</v>
      </c>
      <c r="D939">
        <v>36</v>
      </c>
      <c r="E939" s="1">
        <v>1.0833333333333333</v>
      </c>
      <c r="F939" t="s">
        <v>784</v>
      </c>
      <c r="G939">
        <v>0</v>
      </c>
      <c r="H939">
        <v>1080.9395</v>
      </c>
      <c r="I939">
        <v>2.5</v>
      </c>
      <c r="J939">
        <v>1163.79</v>
      </c>
      <c r="K939">
        <v>1.9580666999707901</v>
      </c>
      <c r="L939">
        <v>1175.17</v>
      </c>
      <c r="M939" t="s">
        <v>27</v>
      </c>
      <c r="N939">
        <v>1</v>
      </c>
      <c r="O939">
        <v>1281</v>
      </c>
      <c r="P939">
        <v>1108</v>
      </c>
      <c r="Q939">
        <v>0</v>
      </c>
      <c r="R939">
        <v>1108</v>
      </c>
    </row>
    <row r="940" spans="1:18" x14ac:dyDescent="0.3">
      <c r="A940" s="5">
        <v>45963</v>
      </c>
      <c r="B940" t="s">
        <v>1361</v>
      </c>
      <c r="C940">
        <v>30</v>
      </c>
      <c r="D940">
        <v>36</v>
      </c>
      <c r="E940" s="1">
        <v>1.4583333333333333</v>
      </c>
      <c r="F940" t="s">
        <v>1362</v>
      </c>
      <c r="G940">
        <v>1</v>
      </c>
      <c r="H940">
        <v>1080.8635999999999</v>
      </c>
      <c r="I940">
        <v>8.5</v>
      </c>
      <c r="J940">
        <v>1163.79</v>
      </c>
      <c r="K940">
        <v>6.6574267799006801</v>
      </c>
      <c r="L940">
        <v>1237.07</v>
      </c>
      <c r="M940" t="s">
        <v>27</v>
      </c>
      <c r="N940">
        <v>1</v>
      </c>
      <c r="O940">
        <v>1346</v>
      </c>
      <c r="P940">
        <v>1173</v>
      </c>
      <c r="Q940">
        <v>0</v>
      </c>
      <c r="R940">
        <v>1173</v>
      </c>
    </row>
    <row r="941" spans="1:18" x14ac:dyDescent="0.3">
      <c r="A941" s="5">
        <v>45963</v>
      </c>
      <c r="B941" t="s">
        <v>1363</v>
      </c>
      <c r="C941">
        <v>26</v>
      </c>
      <c r="D941">
        <v>36</v>
      </c>
      <c r="E941" s="1">
        <v>1.9791666666666665</v>
      </c>
      <c r="F941" t="s">
        <v>1364</v>
      </c>
      <c r="G941">
        <v>1</v>
      </c>
      <c r="H941">
        <v>1080.8579</v>
      </c>
      <c r="I941">
        <v>8.5</v>
      </c>
      <c r="J941">
        <v>1163.79</v>
      </c>
      <c r="K941">
        <v>6.6574267799006801</v>
      </c>
      <c r="L941">
        <v>1237.07</v>
      </c>
      <c r="M941" t="s">
        <v>27</v>
      </c>
      <c r="N941">
        <v>1</v>
      </c>
      <c r="O941">
        <v>1346</v>
      </c>
      <c r="P941">
        <v>1173</v>
      </c>
      <c r="Q941">
        <v>0</v>
      </c>
      <c r="R941">
        <v>1173</v>
      </c>
    </row>
    <row r="942" spans="1:18" x14ac:dyDescent="0.3">
      <c r="A942" s="5">
        <v>45963</v>
      </c>
      <c r="B942" t="s">
        <v>1365</v>
      </c>
      <c r="C942">
        <v>26</v>
      </c>
      <c r="D942">
        <v>36</v>
      </c>
      <c r="E942" s="1">
        <v>1.0833333333333333</v>
      </c>
      <c r="F942" t="s">
        <v>1366</v>
      </c>
      <c r="G942">
        <v>0</v>
      </c>
      <c r="H942">
        <v>1081.0974000000001</v>
      </c>
      <c r="I942">
        <v>2.5</v>
      </c>
      <c r="J942">
        <v>1163.79</v>
      </c>
      <c r="K942">
        <v>1.9580666999707901</v>
      </c>
      <c r="L942">
        <v>1175.17</v>
      </c>
      <c r="M942" t="s">
        <v>27</v>
      </c>
      <c r="N942">
        <v>1</v>
      </c>
      <c r="O942">
        <v>1281</v>
      </c>
      <c r="P942">
        <v>1108</v>
      </c>
      <c r="Q942">
        <v>0</v>
      </c>
      <c r="R942">
        <v>1108</v>
      </c>
    </row>
    <row r="943" spans="1:18" x14ac:dyDescent="0.3">
      <c r="A943" s="5">
        <v>45963</v>
      </c>
      <c r="B943" t="s">
        <v>1367</v>
      </c>
      <c r="C943">
        <v>35</v>
      </c>
      <c r="D943">
        <v>36</v>
      </c>
      <c r="E943" s="1">
        <v>1.9791666666666665</v>
      </c>
      <c r="F943" t="s">
        <v>1368</v>
      </c>
      <c r="G943">
        <v>5</v>
      </c>
      <c r="H943">
        <v>1080.5433</v>
      </c>
      <c r="I943">
        <v>0</v>
      </c>
      <c r="J943">
        <v>1163.79</v>
      </c>
      <c r="K943">
        <v>0</v>
      </c>
      <c r="L943">
        <v>1175.17</v>
      </c>
      <c r="M943" t="s">
        <v>27</v>
      </c>
      <c r="N943">
        <v>1</v>
      </c>
      <c r="O943">
        <v>1253</v>
      </c>
      <c r="P943">
        <v>1081</v>
      </c>
      <c r="Q943">
        <v>0</v>
      </c>
      <c r="R943">
        <v>1081</v>
      </c>
    </row>
    <row r="944" spans="1:18" x14ac:dyDescent="0.3">
      <c r="A944" s="5">
        <v>45963</v>
      </c>
      <c r="B944" t="s">
        <v>1369</v>
      </c>
      <c r="C944">
        <v>24</v>
      </c>
      <c r="D944">
        <v>36</v>
      </c>
      <c r="E944" s="1">
        <v>1.25</v>
      </c>
      <c r="F944" t="s">
        <v>1370</v>
      </c>
      <c r="G944">
        <v>0</v>
      </c>
      <c r="H944">
        <v>1081.1306999999999</v>
      </c>
      <c r="I944">
        <v>2.5</v>
      </c>
      <c r="J944">
        <v>1163.79</v>
      </c>
      <c r="K944">
        <v>1.9580666999707901</v>
      </c>
      <c r="L944">
        <v>1175.17</v>
      </c>
      <c r="M944" t="s">
        <v>27</v>
      </c>
      <c r="N944">
        <v>1</v>
      </c>
      <c r="O944">
        <v>1281</v>
      </c>
      <c r="P944">
        <v>1108</v>
      </c>
      <c r="Q944">
        <v>0</v>
      </c>
      <c r="R944">
        <v>1108</v>
      </c>
    </row>
    <row r="945" spans="1:18" x14ac:dyDescent="0.3">
      <c r="A945" s="5">
        <v>45963</v>
      </c>
      <c r="B945" t="s">
        <v>1371</v>
      </c>
      <c r="C945">
        <v>18</v>
      </c>
      <c r="D945">
        <v>36</v>
      </c>
      <c r="E945" s="1">
        <v>1.9791666666666665</v>
      </c>
      <c r="F945" t="s">
        <v>1372</v>
      </c>
      <c r="G945">
        <v>5</v>
      </c>
      <c r="H945">
        <v>1080.9806000000001</v>
      </c>
      <c r="I945">
        <v>0</v>
      </c>
      <c r="J945">
        <v>1163.79</v>
      </c>
      <c r="K945">
        <v>0</v>
      </c>
      <c r="L945">
        <v>1175.17</v>
      </c>
      <c r="M945" t="s">
        <v>27</v>
      </c>
      <c r="N945">
        <v>1</v>
      </c>
      <c r="O945">
        <v>1254</v>
      </c>
      <c r="P945">
        <v>1081</v>
      </c>
      <c r="Q945">
        <v>0</v>
      </c>
      <c r="R945">
        <v>1081</v>
      </c>
    </row>
    <row r="946" spans="1:18" x14ac:dyDescent="0.3">
      <c r="A946" s="5">
        <v>45963</v>
      </c>
      <c r="B946" t="s">
        <v>1190</v>
      </c>
      <c r="C946">
        <v>4</v>
      </c>
      <c r="D946">
        <v>36</v>
      </c>
      <c r="E946" s="1">
        <v>1.9791666666666665</v>
      </c>
      <c r="F946" t="s">
        <v>1191</v>
      </c>
      <c r="G946">
        <v>2</v>
      </c>
      <c r="H946">
        <v>1081.1896999999999</v>
      </c>
      <c r="I946">
        <v>5</v>
      </c>
      <c r="J946">
        <v>1163.79</v>
      </c>
      <c r="K946">
        <v>3.9161333999415802</v>
      </c>
      <c r="L946">
        <v>618.53</v>
      </c>
      <c r="M946" t="s">
        <v>60</v>
      </c>
      <c r="N946">
        <v>1</v>
      </c>
      <c r="O946">
        <v>1308</v>
      </c>
      <c r="P946">
        <v>1135</v>
      </c>
      <c r="Q946">
        <v>0.5</v>
      </c>
      <c r="R946">
        <v>567.5</v>
      </c>
    </row>
    <row r="947" spans="1:18" x14ac:dyDescent="0.3">
      <c r="A947" s="5">
        <v>45963</v>
      </c>
      <c r="B947" t="s">
        <v>1373</v>
      </c>
      <c r="C947">
        <v>35</v>
      </c>
      <c r="D947">
        <v>36</v>
      </c>
      <c r="E947" s="1">
        <v>1.4583333333333333</v>
      </c>
      <c r="F947" t="s">
        <v>1374</v>
      </c>
      <c r="G947">
        <v>3</v>
      </c>
      <c r="H947">
        <v>1080.8420000000001</v>
      </c>
      <c r="I947">
        <v>10</v>
      </c>
      <c r="J947">
        <v>1163.79</v>
      </c>
      <c r="K947">
        <v>7.8322667998831603</v>
      </c>
      <c r="L947">
        <v>609.91</v>
      </c>
      <c r="M947" t="s">
        <v>60</v>
      </c>
      <c r="N947">
        <v>1</v>
      </c>
      <c r="O947">
        <v>1362</v>
      </c>
      <c r="P947">
        <v>1189</v>
      </c>
      <c r="Q947">
        <v>0.5</v>
      </c>
      <c r="R947">
        <v>594.5</v>
      </c>
    </row>
    <row r="948" spans="1:18" x14ac:dyDescent="0.3">
      <c r="A948" s="5">
        <v>45963</v>
      </c>
      <c r="B948" t="s">
        <v>1375</v>
      </c>
      <c r="C948">
        <v>4</v>
      </c>
      <c r="D948">
        <v>36</v>
      </c>
      <c r="E948" s="1">
        <v>1.0833333333333333</v>
      </c>
      <c r="F948" t="s">
        <v>1376</v>
      </c>
      <c r="G948">
        <v>0</v>
      </c>
      <c r="H948">
        <v>1081.4911999999999</v>
      </c>
      <c r="I948">
        <v>2.5</v>
      </c>
      <c r="J948">
        <v>1163.79</v>
      </c>
      <c r="K948">
        <v>1.9580666999707901</v>
      </c>
      <c r="L948">
        <v>1175.17</v>
      </c>
      <c r="M948" t="s">
        <v>27</v>
      </c>
      <c r="N948">
        <v>1</v>
      </c>
      <c r="O948">
        <v>1282</v>
      </c>
      <c r="P948">
        <v>1109</v>
      </c>
      <c r="Q948">
        <v>0</v>
      </c>
      <c r="R948">
        <v>1109</v>
      </c>
    </row>
    <row r="949" spans="1:18" x14ac:dyDescent="0.3">
      <c r="A949" s="5">
        <v>45963</v>
      </c>
      <c r="B949" t="s">
        <v>1377</v>
      </c>
      <c r="C949">
        <v>34</v>
      </c>
      <c r="D949">
        <v>36</v>
      </c>
      <c r="E949" s="1">
        <v>1.9993055555555554</v>
      </c>
      <c r="F949" t="s">
        <v>1378</v>
      </c>
      <c r="G949">
        <v>0</v>
      </c>
      <c r="H949">
        <v>1080.7206000000001</v>
      </c>
      <c r="I949">
        <v>2.5</v>
      </c>
      <c r="J949">
        <v>1163.79</v>
      </c>
      <c r="K949">
        <v>1.9580666999707901</v>
      </c>
      <c r="L949">
        <v>1175.17</v>
      </c>
      <c r="M949" t="s">
        <v>27</v>
      </c>
      <c r="N949">
        <v>1</v>
      </c>
      <c r="O949">
        <v>1281</v>
      </c>
      <c r="P949">
        <v>1108</v>
      </c>
      <c r="Q949">
        <v>0</v>
      </c>
      <c r="R949">
        <v>1108</v>
      </c>
    </row>
    <row r="950" spans="1:18" x14ac:dyDescent="0.3">
      <c r="A950" s="5">
        <v>45963</v>
      </c>
      <c r="B950" t="s">
        <v>1377</v>
      </c>
      <c r="C950">
        <v>34</v>
      </c>
      <c r="D950">
        <v>36</v>
      </c>
      <c r="E950" s="1">
        <v>1.9993055555555554</v>
      </c>
      <c r="F950" t="s">
        <v>1379</v>
      </c>
      <c r="G950">
        <v>0</v>
      </c>
      <c r="H950">
        <v>1080.7206000000001</v>
      </c>
      <c r="I950">
        <v>2.5</v>
      </c>
      <c r="J950">
        <v>1163.79</v>
      </c>
      <c r="K950">
        <v>1.9580666999707901</v>
      </c>
      <c r="L950">
        <v>1175.17</v>
      </c>
      <c r="M950" t="s">
        <v>27</v>
      </c>
      <c r="N950">
        <v>1</v>
      </c>
      <c r="O950">
        <v>1281</v>
      </c>
      <c r="P950">
        <v>1108</v>
      </c>
      <c r="Q950">
        <v>0</v>
      </c>
      <c r="R950">
        <v>1108</v>
      </c>
    </row>
    <row r="951" spans="1:18" x14ac:dyDescent="0.3">
      <c r="A951" s="5">
        <v>45963</v>
      </c>
      <c r="B951" t="s">
        <v>1380</v>
      </c>
      <c r="C951">
        <v>33</v>
      </c>
      <c r="D951">
        <v>36</v>
      </c>
      <c r="E951" s="1">
        <v>1.9993055555555554</v>
      </c>
      <c r="F951" t="s">
        <v>1378</v>
      </c>
      <c r="G951">
        <v>0</v>
      </c>
      <c r="H951">
        <v>1080.7385999999999</v>
      </c>
      <c r="I951">
        <v>2.5</v>
      </c>
      <c r="J951">
        <v>1163.79</v>
      </c>
      <c r="K951">
        <v>1.9580666999707901</v>
      </c>
      <c r="L951">
        <v>1175.17</v>
      </c>
      <c r="M951" t="s">
        <v>27</v>
      </c>
      <c r="N951">
        <v>1</v>
      </c>
      <c r="O951">
        <v>1281</v>
      </c>
      <c r="P951">
        <v>1108</v>
      </c>
      <c r="Q951">
        <v>0</v>
      </c>
      <c r="R951">
        <v>1108</v>
      </c>
    </row>
    <row r="952" spans="1:18" x14ac:dyDescent="0.3">
      <c r="A952" s="5">
        <v>45963</v>
      </c>
      <c r="B952" t="s">
        <v>1380</v>
      </c>
      <c r="C952">
        <v>33</v>
      </c>
      <c r="D952">
        <v>36</v>
      </c>
      <c r="E952" s="1">
        <v>1.9993055555555554</v>
      </c>
      <c r="F952" t="s">
        <v>1379</v>
      </c>
      <c r="G952">
        <v>0</v>
      </c>
      <c r="H952">
        <v>1080.7385999999999</v>
      </c>
      <c r="I952">
        <v>2.5</v>
      </c>
      <c r="J952">
        <v>1163.79</v>
      </c>
      <c r="K952">
        <v>1.9580666999707901</v>
      </c>
      <c r="L952">
        <v>1175.17</v>
      </c>
      <c r="M952" t="s">
        <v>27</v>
      </c>
      <c r="N952">
        <v>1</v>
      </c>
      <c r="O952">
        <v>1281</v>
      </c>
      <c r="P952">
        <v>1108</v>
      </c>
      <c r="Q952">
        <v>0</v>
      </c>
      <c r="R952">
        <v>1108</v>
      </c>
    </row>
    <row r="953" spans="1:18" x14ac:dyDescent="0.3">
      <c r="A953" s="5">
        <v>45963</v>
      </c>
      <c r="B953" t="s">
        <v>1381</v>
      </c>
      <c r="C953">
        <v>18</v>
      </c>
      <c r="D953">
        <v>36</v>
      </c>
      <c r="E953" s="1">
        <v>1.4583333333333333</v>
      </c>
      <c r="F953" t="s">
        <v>1382</v>
      </c>
      <c r="G953">
        <v>0</v>
      </c>
      <c r="H953">
        <v>1081.3678</v>
      </c>
      <c r="I953">
        <v>2.5</v>
      </c>
      <c r="J953">
        <v>1163.79</v>
      </c>
      <c r="K953">
        <v>1.9580666999707901</v>
      </c>
      <c r="L953">
        <v>1175.17</v>
      </c>
      <c r="M953" t="s">
        <v>27</v>
      </c>
      <c r="N953">
        <v>1</v>
      </c>
      <c r="O953">
        <v>1281</v>
      </c>
      <c r="P953">
        <v>1108</v>
      </c>
      <c r="Q953">
        <v>0</v>
      </c>
      <c r="R953">
        <v>1108</v>
      </c>
    </row>
    <row r="954" spans="1:18" x14ac:dyDescent="0.3">
      <c r="A954" s="5">
        <v>45963</v>
      </c>
      <c r="B954" t="s">
        <v>1381</v>
      </c>
      <c r="C954">
        <v>18</v>
      </c>
      <c r="D954">
        <v>36</v>
      </c>
      <c r="E954" s="1">
        <v>1.4583333333333333</v>
      </c>
      <c r="F954" t="s">
        <v>1382</v>
      </c>
      <c r="G954">
        <v>0</v>
      </c>
      <c r="H954">
        <v>1081.3678</v>
      </c>
      <c r="I954">
        <v>2.5</v>
      </c>
      <c r="J954">
        <v>1163.79</v>
      </c>
      <c r="K954">
        <v>1.9580666999707901</v>
      </c>
      <c r="L954">
        <v>1175.17</v>
      </c>
      <c r="M954" t="s">
        <v>27</v>
      </c>
      <c r="N954">
        <v>1</v>
      </c>
      <c r="O954">
        <v>1281</v>
      </c>
      <c r="P954">
        <v>1108</v>
      </c>
      <c r="Q954">
        <v>0</v>
      </c>
      <c r="R954">
        <v>1108</v>
      </c>
    </row>
    <row r="955" spans="1:18" x14ac:dyDescent="0.3">
      <c r="A955" s="5">
        <v>45963</v>
      </c>
      <c r="B955" t="s">
        <v>1383</v>
      </c>
      <c r="C955">
        <v>21</v>
      </c>
      <c r="D955">
        <v>36</v>
      </c>
      <c r="E955" s="1">
        <v>1.4583333333333333</v>
      </c>
      <c r="F955" t="s">
        <v>1382</v>
      </c>
      <c r="G955">
        <v>0</v>
      </c>
      <c r="H955">
        <v>1081.3136999999999</v>
      </c>
      <c r="I955">
        <v>2.5</v>
      </c>
      <c r="J955">
        <v>1163.79</v>
      </c>
      <c r="K955">
        <v>1.9580666999707901</v>
      </c>
      <c r="L955">
        <v>1175.17</v>
      </c>
      <c r="M955" t="s">
        <v>27</v>
      </c>
      <c r="N955">
        <v>1</v>
      </c>
      <c r="O955">
        <v>1281</v>
      </c>
      <c r="P955">
        <v>1108</v>
      </c>
      <c r="Q955">
        <v>0</v>
      </c>
      <c r="R955">
        <v>1108</v>
      </c>
    </row>
    <row r="956" spans="1:18" x14ac:dyDescent="0.3">
      <c r="A956" s="5">
        <v>45963</v>
      </c>
      <c r="B956" t="s">
        <v>1383</v>
      </c>
      <c r="C956">
        <v>21</v>
      </c>
      <c r="D956">
        <v>36</v>
      </c>
      <c r="E956" s="1">
        <v>1.4583333333333333</v>
      </c>
      <c r="F956" t="s">
        <v>1382</v>
      </c>
      <c r="G956">
        <v>0</v>
      </c>
      <c r="H956">
        <v>1081.3136999999999</v>
      </c>
      <c r="I956">
        <v>2.5</v>
      </c>
      <c r="J956">
        <v>1163.79</v>
      </c>
      <c r="K956">
        <v>1.9580666999707901</v>
      </c>
      <c r="L956">
        <v>1175.17</v>
      </c>
      <c r="M956" t="s">
        <v>27</v>
      </c>
      <c r="N956">
        <v>1</v>
      </c>
      <c r="O956">
        <v>1281</v>
      </c>
      <c r="P956">
        <v>1108</v>
      </c>
      <c r="Q956">
        <v>0</v>
      </c>
      <c r="R956">
        <v>1108</v>
      </c>
    </row>
    <row r="957" spans="1:18" x14ac:dyDescent="0.3">
      <c r="A957" s="5">
        <v>45963</v>
      </c>
      <c r="B957" t="s">
        <v>1384</v>
      </c>
      <c r="C957">
        <v>6</v>
      </c>
      <c r="D957">
        <v>36</v>
      </c>
      <c r="E957" s="1">
        <v>1.0833333333333333</v>
      </c>
      <c r="F957" t="s">
        <v>1385</v>
      </c>
      <c r="G957">
        <v>0</v>
      </c>
      <c r="H957">
        <v>1081.5878</v>
      </c>
      <c r="I957">
        <v>2.5</v>
      </c>
      <c r="J957">
        <v>1163.79</v>
      </c>
      <c r="K957">
        <v>1.9580666999707901</v>
      </c>
      <c r="L957">
        <v>1175.17</v>
      </c>
      <c r="M957" t="s">
        <v>27</v>
      </c>
      <c r="N957">
        <v>1</v>
      </c>
      <c r="O957">
        <v>1282</v>
      </c>
      <c r="P957">
        <v>1109</v>
      </c>
      <c r="Q957">
        <v>0</v>
      </c>
      <c r="R957">
        <v>1109</v>
      </c>
    </row>
    <row r="958" spans="1:18" x14ac:dyDescent="0.3">
      <c r="A958" s="5">
        <v>45963</v>
      </c>
      <c r="B958" t="s">
        <v>1384</v>
      </c>
      <c r="C958">
        <v>6</v>
      </c>
      <c r="D958">
        <v>36</v>
      </c>
      <c r="E958" s="1">
        <v>1.0833333333333333</v>
      </c>
      <c r="F958" t="s">
        <v>1386</v>
      </c>
      <c r="G958">
        <v>0</v>
      </c>
      <c r="H958">
        <v>1081.5878</v>
      </c>
      <c r="I958">
        <v>2.5</v>
      </c>
      <c r="J958">
        <v>1163.79</v>
      </c>
      <c r="K958">
        <v>1.9580666999707901</v>
      </c>
      <c r="L958">
        <v>1175.17</v>
      </c>
      <c r="M958" t="s">
        <v>27</v>
      </c>
      <c r="N958">
        <v>1</v>
      </c>
      <c r="O958">
        <v>1282</v>
      </c>
      <c r="P958">
        <v>1109</v>
      </c>
      <c r="Q958">
        <v>0</v>
      </c>
      <c r="R958">
        <v>1109</v>
      </c>
    </row>
    <row r="959" spans="1:18" x14ac:dyDescent="0.3">
      <c r="A959" s="5">
        <v>45963</v>
      </c>
      <c r="B959" t="s">
        <v>1387</v>
      </c>
      <c r="C959">
        <v>5</v>
      </c>
      <c r="D959">
        <v>36</v>
      </c>
      <c r="E959" s="1">
        <v>1.0833333333333333</v>
      </c>
      <c r="F959" t="s">
        <v>1385</v>
      </c>
      <c r="G959">
        <v>0</v>
      </c>
      <c r="H959">
        <v>1081.6058</v>
      </c>
      <c r="I959">
        <v>2.5</v>
      </c>
      <c r="J959">
        <v>1163.79</v>
      </c>
      <c r="K959">
        <v>1.9580666999707901</v>
      </c>
      <c r="L959">
        <v>1175.17</v>
      </c>
      <c r="M959" t="s">
        <v>27</v>
      </c>
      <c r="N959">
        <v>1</v>
      </c>
      <c r="O959">
        <v>1282</v>
      </c>
      <c r="P959">
        <v>1109</v>
      </c>
      <c r="Q959">
        <v>0</v>
      </c>
      <c r="R959">
        <v>1109</v>
      </c>
    </row>
    <row r="960" spans="1:18" x14ac:dyDescent="0.3">
      <c r="A960" s="5">
        <v>45963</v>
      </c>
      <c r="B960" t="s">
        <v>1387</v>
      </c>
      <c r="C960">
        <v>5</v>
      </c>
      <c r="D960">
        <v>36</v>
      </c>
      <c r="E960" s="1">
        <v>1.0833333333333333</v>
      </c>
      <c r="F960" t="s">
        <v>1386</v>
      </c>
      <c r="G960">
        <v>0</v>
      </c>
      <c r="H960">
        <v>1081.6058</v>
      </c>
      <c r="I960">
        <v>2.5</v>
      </c>
      <c r="J960">
        <v>1163.79</v>
      </c>
      <c r="K960">
        <v>1.9580666999707901</v>
      </c>
      <c r="L960">
        <v>1175.17</v>
      </c>
      <c r="M960" t="s">
        <v>27</v>
      </c>
      <c r="N960">
        <v>1</v>
      </c>
      <c r="O960">
        <v>1282</v>
      </c>
      <c r="P960">
        <v>1109</v>
      </c>
      <c r="Q960">
        <v>0</v>
      </c>
      <c r="R960">
        <v>1109</v>
      </c>
    </row>
    <row r="961" spans="1:18" x14ac:dyDescent="0.3">
      <c r="A961" s="5">
        <v>45963</v>
      </c>
      <c r="B961" t="s">
        <v>1388</v>
      </c>
      <c r="C961">
        <v>10</v>
      </c>
      <c r="D961">
        <v>35</v>
      </c>
      <c r="E961" s="1">
        <v>1.25</v>
      </c>
      <c r="F961" t="s">
        <v>1389</v>
      </c>
      <c r="G961">
        <v>2</v>
      </c>
      <c r="H961">
        <v>1081.4303</v>
      </c>
      <c r="I961">
        <v>5</v>
      </c>
      <c r="J961">
        <v>1163.79</v>
      </c>
      <c r="K961">
        <v>3.9161333999415802</v>
      </c>
      <c r="L961">
        <v>609.91</v>
      </c>
      <c r="M961" t="s">
        <v>60</v>
      </c>
      <c r="N961">
        <v>1</v>
      </c>
      <c r="O961">
        <v>1309</v>
      </c>
      <c r="P961">
        <v>1136</v>
      </c>
      <c r="Q961">
        <v>0.5</v>
      </c>
      <c r="R961">
        <v>568</v>
      </c>
    </row>
    <row r="962" spans="1:18" x14ac:dyDescent="0.3">
      <c r="A962" s="5">
        <v>45963</v>
      </c>
      <c r="B962" t="s">
        <v>1390</v>
      </c>
      <c r="C962">
        <v>21</v>
      </c>
      <c r="D962">
        <v>36</v>
      </c>
      <c r="E962" s="1">
        <v>1.0833333333333333</v>
      </c>
      <c r="F962" t="s">
        <v>1391</v>
      </c>
      <c r="G962">
        <v>0</v>
      </c>
      <c r="H962">
        <v>1081.3173999999999</v>
      </c>
      <c r="I962">
        <v>2.5</v>
      </c>
      <c r="J962">
        <v>1163.79</v>
      </c>
      <c r="K962">
        <v>1.9580666999707901</v>
      </c>
      <c r="L962">
        <v>1175.17</v>
      </c>
      <c r="M962" t="s">
        <v>27</v>
      </c>
      <c r="N962">
        <v>1</v>
      </c>
      <c r="O962">
        <v>1281</v>
      </c>
      <c r="P962">
        <v>1108</v>
      </c>
      <c r="Q962">
        <v>0</v>
      </c>
      <c r="R962">
        <v>1108</v>
      </c>
    </row>
    <row r="963" spans="1:18" x14ac:dyDescent="0.3">
      <c r="A963" s="5">
        <v>45963</v>
      </c>
      <c r="B963" t="s">
        <v>1392</v>
      </c>
      <c r="C963">
        <v>16</v>
      </c>
      <c r="D963">
        <v>36</v>
      </c>
      <c r="E963" s="1">
        <v>1.9791666666666665</v>
      </c>
      <c r="F963" t="s">
        <v>1393</v>
      </c>
      <c r="G963">
        <v>5</v>
      </c>
      <c r="H963">
        <v>1081.0142000000001</v>
      </c>
      <c r="I963">
        <v>0</v>
      </c>
      <c r="J963">
        <v>1163.79</v>
      </c>
      <c r="K963">
        <v>0</v>
      </c>
      <c r="L963">
        <v>1175.17</v>
      </c>
      <c r="M963" t="s">
        <v>27</v>
      </c>
      <c r="N963">
        <v>1</v>
      </c>
      <c r="O963">
        <v>1254</v>
      </c>
      <c r="P963">
        <v>1081</v>
      </c>
      <c r="Q963">
        <v>0</v>
      </c>
      <c r="R963">
        <v>1081</v>
      </c>
    </row>
    <row r="964" spans="1:18" x14ac:dyDescent="0.3">
      <c r="A964" s="5">
        <v>45963</v>
      </c>
      <c r="B964" t="s">
        <v>1394</v>
      </c>
      <c r="C964">
        <v>18</v>
      </c>
      <c r="D964">
        <v>36</v>
      </c>
      <c r="E964" s="1">
        <v>1.4583333333333333</v>
      </c>
      <c r="F964" t="s">
        <v>1395</v>
      </c>
      <c r="G964">
        <v>3</v>
      </c>
      <c r="H964">
        <v>1081.2874999999999</v>
      </c>
      <c r="I964">
        <v>10</v>
      </c>
      <c r="J964">
        <v>1163.79</v>
      </c>
      <c r="K964">
        <v>7.8322667998831603</v>
      </c>
      <c r="L964">
        <v>609.91</v>
      </c>
      <c r="M964" t="s">
        <v>20</v>
      </c>
      <c r="N964">
        <v>1</v>
      </c>
      <c r="O964">
        <v>1362</v>
      </c>
      <c r="P964">
        <v>1189</v>
      </c>
      <c r="Q964">
        <v>0.5</v>
      </c>
      <c r="R964">
        <v>594.5</v>
      </c>
    </row>
    <row r="965" spans="1:18" x14ac:dyDescent="0.3">
      <c r="A965" s="5">
        <v>45963</v>
      </c>
      <c r="B965" t="s">
        <v>1396</v>
      </c>
      <c r="C965">
        <v>27</v>
      </c>
      <c r="D965">
        <v>36</v>
      </c>
      <c r="E965" s="1">
        <v>1.4583333333333333</v>
      </c>
      <c r="F965" t="s">
        <v>1397</v>
      </c>
      <c r="G965">
        <v>0</v>
      </c>
      <c r="H965">
        <v>1081.0718999999999</v>
      </c>
      <c r="I965">
        <v>2.5</v>
      </c>
      <c r="J965">
        <v>1163.79</v>
      </c>
      <c r="K965">
        <v>1.9580666999707901</v>
      </c>
      <c r="L965">
        <v>1175.17</v>
      </c>
      <c r="M965" t="s">
        <v>27</v>
      </c>
      <c r="N965">
        <v>1</v>
      </c>
      <c r="O965">
        <v>1281</v>
      </c>
      <c r="P965">
        <v>1108</v>
      </c>
      <c r="Q965">
        <v>0</v>
      </c>
      <c r="R965">
        <v>1108</v>
      </c>
    </row>
    <row r="966" spans="1:18" x14ac:dyDescent="0.3">
      <c r="A966" s="5">
        <v>45963</v>
      </c>
      <c r="B966" t="s">
        <v>1396</v>
      </c>
      <c r="C966">
        <v>27</v>
      </c>
      <c r="D966">
        <v>36</v>
      </c>
      <c r="E966" s="1">
        <v>1.4583333333333333</v>
      </c>
      <c r="F966" t="s">
        <v>1397</v>
      </c>
      <c r="G966">
        <v>0</v>
      </c>
      <c r="H966">
        <v>1081.0718999999999</v>
      </c>
      <c r="I966">
        <v>2.5</v>
      </c>
      <c r="J966">
        <v>1163.79</v>
      </c>
      <c r="K966">
        <v>1.9580666999707901</v>
      </c>
      <c r="L966">
        <v>1175.17</v>
      </c>
      <c r="M966" t="s">
        <v>27</v>
      </c>
      <c r="N966">
        <v>1</v>
      </c>
      <c r="O966">
        <v>1281</v>
      </c>
      <c r="P966">
        <v>1108</v>
      </c>
      <c r="Q966">
        <v>0</v>
      </c>
      <c r="R966">
        <v>1108</v>
      </c>
    </row>
    <row r="967" spans="1:18" x14ac:dyDescent="0.3">
      <c r="A967" s="5">
        <v>45963</v>
      </c>
      <c r="B967" t="s">
        <v>1396</v>
      </c>
      <c r="C967">
        <v>27</v>
      </c>
      <c r="D967">
        <v>36</v>
      </c>
      <c r="E967" s="1">
        <v>1.4583333333333333</v>
      </c>
      <c r="F967" t="s">
        <v>1397</v>
      </c>
      <c r="G967">
        <v>0</v>
      </c>
      <c r="H967">
        <v>1081.0718999999999</v>
      </c>
      <c r="I967">
        <v>2.5</v>
      </c>
      <c r="J967">
        <v>1163.79</v>
      </c>
      <c r="K967">
        <v>1.9580666999707901</v>
      </c>
      <c r="L967">
        <v>1175.17</v>
      </c>
      <c r="M967" t="s">
        <v>27</v>
      </c>
      <c r="N967">
        <v>1</v>
      </c>
      <c r="O967">
        <v>1281</v>
      </c>
      <c r="P967">
        <v>1108</v>
      </c>
      <c r="Q967">
        <v>0</v>
      </c>
      <c r="R967">
        <v>1108</v>
      </c>
    </row>
    <row r="968" spans="1:18" x14ac:dyDescent="0.3">
      <c r="A968" s="5">
        <v>45963</v>
      </c>
      <c r="B968" t="s">
        <v>1398</v>
      </c>
      <c r="C968">
        <v>25</v>
      </c>
      <c r="D968">
        <v>36</v>
      </c>
      <c r="E968" s="1">
        <v>1.4583333333333333</v>
      </c>
      <c r="F968" t="s">
        <v>1397</v>
      </c>
      <c r="G968">
        <v>0</v>
      </c>
      <c r="H968">
        <v>1081.1078</v>
      </c>
      <c r="I968">
        <v>2.5</v>
      </c>
      <c r="J968">
        <v>1163.79</v>
      </c>
      <c r="K968">
        <v>1.9580666999707901</v>
      </c>
      <c r="L968">
        <v>618.53</v>
      </c>
      <c r="M968" t="s">
        <v>20</v>
      </c>
      <c r="N968">
        <v>1</v>
      </c>
      <c r="O968">
        <v>1281</v>
      </c>
      <c r="P968">
        <v>1108</v>
      </c>
      <c r="Q968">
        <v>0.5</v>
      </c>
      <c r="R968">
        <v>554</v>
      </c>
    </row>
    <row r="969" spans="1:18" x14ac:dyDescent="0.3">
      <c r="A969" s="5">
        <v>45963</v>
      </c>
      <c r="B969" t="s">
        <v>1398</v>
      </c>
      <c r="C969">
        <v>25</v>
      </c>
      <c r="D969">
        <v>36</v>
      </c>
      <c r="E969" s="1">
        <v>1.4583333333333333</v>
      </c>
      <c r="F969" t="s">
        <v>1397</v>
      </c>
      <c r="G969">
        <v>0</v>
      </c>
      <c r="H969">
        <v>1081.1078</v>
      </c>
      <c r="I969">
        <v>2.5</v>
      </c>
      <c r="J969">
        <v>1163.79</v>
      </c>
      <c r="K969">
        <v>1.9580666999707901</v>
      </c>
      <c r="L969">
        <v>618.53</v>
      </c>
      <c r="M969" t="s">
        <v>20</v>
      </c>
      <c r="N969">
        <v>1</v>
      </c>
      <c r="O969">
        <v>1281</v>
      </c>
      <c r="P969">
        <v>1108</v>
      </c>
      <c r="Q969">
        <v>0.5</v>
      </c>
      <c r="R969">
        <v>554</v>
      </c>
    </row>
    <row r="970" spans="1:18" x14ac:dyDescent="0.3">
      <c r="A970" s="5">
        <v>45963</v>
      </c>
      <c r="B970" t="s">
        <v>1398</v>
      </c>
      <c r="C970">
        <v>25</v>
      </c>
      <c r="D970">
        <v>36</v>
      </c>
      <c r="E970" s="1">
        <v>1.4583333333333333</v>
      </c>
      <c r="F970" t="s">
        <v>1397</v>
      </c>
      <c r="G970">
        <v>0</v>
      </c>
      <c r="H970">
        <v>1081.1078</v>
      </c>
      <c r="I970">
        <v>2.5</v>
      </c>
      <c r="J970">
        <v>1163.79</v>
      </c>
      <c r="K970">
        <v>1.9580666999707901</v>
      </c>
      <c r="L970">
        <v>618.53</v>
      </c>
      <c r="M970" t="s">
        <v>20</v>
      </c>
      <c r="N970">
        <v>1</v>
      </c>
      <c r="O970">
        <v>1281</v>
      </c>
      <c r="P970">
        <v>1108</v>
      </c>
      <c r="Q970">
        <v>0.5</v>
      </c>
      <c r="R970">
        <v>554</v>
      </c>
    </row>
    <row r="971" spans="1:18" x14ac:dyDescent="0.3">
      <c r="A971" s="5">
        <v>45963</v>
      </c>
      <c r="B971" t="s">
        <v>1399</v>
      </c>
      <c r="C971">
        <v>26</v>
      </c>
      <c r="D971">
        <v>36</v>
      </c>
      <c r="E971" s="1">
        <v>1.4583333333333333</v>
      </c>
      <c r="F971" t="s">
        <v>1397</v>
      </c>
      <c r="G971">
        <v>0</v>
      </c>
      <c r="H971">
        <v>1081.0898</v>
      </c>
      <c r="I971">
        <v>2.5</v>
      </c>
      <c r="J971">
        <v>1163.79</v>
      </c>
      <c r="K971">
        <v>1.9580666999707901</v>
      </c>
      <c r="L971">
        <v>618.53</v>
      </c>
      <c r="M971" t="s">
        <v>20</v>
      </c>
      <c r="N971">
        <v>1</v>
      </c>
      <c r="O971">
        <v>1281</v>
      </c>
      <c r="P971">
        <v>1108</v>
      </c>
      <c r="Q971">
        <v>0.5</v>
      </c>
      <c r="R971">
        <v>554</v>
      </c>
    </row>
    <row r="972" spans="1:18" x14ac:dyDescent="0.3">
      <c r="A972" s="5">
        <v>45963</v>
      </c>
      <c r="B972" t="s">
        <v>1399</v>
      </c>
      <c r="C972">
        <v>26</v>
      </c>
      <c r="D972">
        <v>36</v>
      </c>
      <c r="E972" s="1">
        <v>1.4583333333333333</v>
      </c>
      <c r="F972" t="s">
        <v>1397</v>
      </c>
      <c r="G972">
        <v>0</v>
      </c>
      <c r="H972">
        <v>1081.0898</v>
      </c>
      <c r="I972">
        <v>2.5</v>
      </c>
      <c r="J972">
        <v>1163.79</v>
      </c>
      <c r="K972">
        <v>1.9580666999707901</v>
      </c>
      <c r="L972">
        <v>618.53</v>
      </c>
      <c r="M972" t="s">
        <v>20</v>
      </c>
      <c r="N972">
        <v>1</v>
      </c>
      <c r="O972">
        <v>1281</v>
      </c>
      <c r="P972">
        <v>1108</v>
      </c>
      <c r="Q972">
        <v>0.5</v>
      </c>
      <c r="R972">
        <v>554</v>
      </c>
    </row>
    <row r="973" spans="1:18" x14ac:dyDescent="0.3">
      <c r="A973" s="5">
        <v>45963</v>
      </c>
      <c r="B973" t="s">
        <v>1399</v>
      </c>
      <c r="C973">
        <v>26</v>
      </c>
      <c r="D973">
        <v>36</v>
      </c>
      <c r="E973" s="1">
        <v>1.4583333333333333</v>
      </c>
      <c r="F973" t="s">
        <v>1397</v>
      </c>
      <c r="G973">
        <v>0</v>
      </c>
      <c r="H973">
        <v>1081.0898</v>
      </c>
      <c r="I973">
        <v>2.5</v>
      </c>
      <c r="J973">
        <v>1163.79</v>
      </c>
      <c r="K973">
        <v>1.9580666999707901</v>
      </c>
      <c r="L973">
        <v>618.53</v>
      </c>
      <c r="M973" t="s">
        <v>20</v>
      </c>
      <c r="N973">
        <v>1</v>
      </c>
      <c r="O973">
        <v>1281</v>
      </c>
      <c r="P973">
        <v>1108</v>
      </c>
      <c r="Q973">
        <v>0.5</v>
      </c>
      <c r="R973">
        <v>554</v>
      </c>
    </row>
    <row r="974" spans="1:18" x14ac:dyDescent="0.3">
      <c r="A974" s="5">
        <v>45963</v>
      </c>
      <c r="B974" t="s">
        <v>1400</v>
      </c>
      <c r="C974">
        <v>19</v>
      </c>
      <c r="D974">
        <v>36</v>
      </c>
      <c r="E974" s="1">
        <v>1.9993055555555554</v>
      </c>
      <c r="F974" t="s">
        <v>1401</v>
      </c>
      <c r="G974">
        <v>1</v>
      </c>
      <c r="H974">
        <v>1080.9548</v>
      </c>
      <c r="I974">
        <v>8.5</v>
      </c>
      <c r="J974">
        <v>1163.79</v>
      </c>
      <c r="K974">
        <v>6.6574267799006801</v>
      </c>
      <c r="L974">
        <v>1237.07</v>
      </c>
      <c r="M974" t="s">
        <v>27</v>
      </c>
      <c r="N974">
        <v>1</v>
      </c>
      <c r="O974">
        <v>1346</v>
      </c>
      <c r="P974">
        <v>1173</v>
      </c>
      <c r="Q974">
        <v>0</v>
      </c>
      <c r="R974">
        <v>1173</v>
      </c>
    </row>
    <row r="975" spans="1:18" x14ac:dyDescent="0.3">
      <c r="A975" s="5">
        <v>45963</v>
      </c>
      <c r="B975" t="s">
        <v>1402</v>
      </c>
      <c r="C975">
        <v>20</v>
      </c>
      <c r="D975">
        <v>36</v>
      </c>
      <c r="E975" s="1">
        <v>1.9993055555555554</v>
      </c>
      <c r="F975" t="s">
        <v>1403</v>
      </c>
      <c r="G975">
        <v>1</v>
      </c>
      <c r="H975">
        <v>1080.9367999999999</v>
      </c>
      <c r="I975">
        <v>8.5</v>
      </c>
      <c r="J975">
        <v>1163.79</v>
      </c>
      <c r="K975">
        <v>6.6574267799006801</v>
      </c>
      <c r="L975">
        <v>1237.07</v>
      </c>
      <c r="M975" t="s">
        <v>27</v>
      </c>
      <c r="N975">
        <v>1</v>
      </c>
      <c r="O975">
        <v>1346</v>
      </c>
      <c r="P975">
        <v>1173</v>
      </c>
      <c r="Q975">
        <v>0</v>
      </c>
      <c r="R975">
        <v>1173</v>
      </c>
    </row>
    <row r="976" spans="1:18" x14ac:dyDescent="0.3">
      <c r="A976" s="5">
        <v>45963</v>
      </c>
      <c r="B976" t="s">
        <v>1404</v>
      </c>
      <c r="C976">
        <v>18</v>
      </c>
      <c r="D976">
        <v>36</v>
      </c>
      <c r="E976" s="1">
        <v>1.9993055555555554</v>
      </c>
      <c r="F976" t="s">
        <v>1405</v>
      </c>
      <c r="G976">
        <v>5</v>
      </c>
      <c r="H976">
        <v>1080.9775</v>
      </c>
      <c r="I976">
        <v>0</v>
      </c>
      <c r="J976">
        <v>1163.79</v>
      </c>
      <c r="K976">
        <v>0</v>
      </c>
      <c r="L976">
        <v>1175.17</v>
      </c>
      <c r="M976" t="s">
        <v>27</v>
      </c>
      <c r="N976">
        <v>1</v>
      </c>
      <c r="O976">
        <v>1254</v>
      </c>
      <c r="P976">
        <v>1081</v>
      </c>
      <c r="Q976">
        <v>0</v>
      </c>
      <c r="R976">
        <v>1081</v>
      </c>
    </row>
    <row r="977" spans="1:18" x14ac:dyDescent="0.3">
      <c r="A977" s="5">
        <v>45963</v>
      </c>
      <c r="B977" t="s">
        <v>1406</v>
      </c>
      <c r="C977">
        <v>7</v>
      </c>
      <c r="D977">
        <v>36</v>
      </c>
      <c r="E977" s="1">
        <v>1.9791666666666665</v>
      </c>
      <c r="F977" t="s">
        <v>1407</v>
      </c>
      <c r="G977">
        <v>5</v>
      </c>
      <c r="H977">
        <v>1081.1751999999999</v>
      </c>
      <c r="I977">
        <v>0</v>
      </c>
      <c r="J977">
        <v>1163.79</v>
      </c>
      <c r="K977">
        <v>0</v>
      </c>
      <c r="L977">
        <v>1175.17</v>
      </c>
      <c r="M977" t="s">
        <v>27</v>
      </c>
      <c r="N977">
        <v>1</v>
      </c>
      <c r="O977">
        <v>1254</v>
      </c>
      <c r="P977">
        <v>1081</v>
      </c>
      <c r="Q977">
        <v>0</v>
      </c>
      <c r="R977">
        <v>1081</v>
      </c>
    </row>
    <row r="978" spans="1:18" x14ac:dyDescent="0.3">
      <c r="A978" s="5">
        <v>45963</v>
      </c>
      <c r="B978" t="s">
        <v>1408</v>
      </c>
      <c r="C978">
        <v>15</v>
      </c>
      <c r="D978">
        <v>36</v>
      </c>
      <c r="E978" s="1">
        <v>1.25</v>
      </c>
      <c r="F978" t="s">
        <v>1409</v>
      </c>
      <c r="G978">
        <v>4</v>
      </c>
      <c r="H978">
        <v>1081.4819</v>
      </c>
      <c r="I978">
        <v>7</v>
      </c>
      <c r="J978">
        <v>1163.79</v>
      </c>
      <c r="K978">
        <v>5.4825867599182097</v>
      </c>
      <c r="L978">
        <v>1047.4100000000001</v>
      </c>
      <c r="M978" t="s">
        <v>27</v>
      </c>
      <c r="N978">
        <v>1</v>
      </c>
      <c r="O978">
        <v>1330</v>
      </c>
      <c r="P978">
        <v>1157</v>
      </c>
      <c r="Q978">
        <v>0</v>
      </c>
      <c r="R978">
        <v>1157</v>
      </c>
    </row>
    <row r="979" spans="1:18" x14ac:dyDescent="0.3">
      <c r="A979" s="5">
        <v>45963</v>
      </c>
      <c r="B979" t="s">
        <v>1410</v>
      </c>
      <c r="C979">
        <v>12</v>
      </c>
      <c r="D979">
        <v>36</v>
      </c>
      <c r="E979" s="1">
        <v>1.4583333333333333</v>
      </c>
      <c r="F979" t="s">
        <v>1411</v>
      </c>
      <c r="G979">
        <v>5</v>
      </c>
      <c r="H979">
        <v>1081.4724000000001</v>
      </c>
      <c r="I979">
        <v>0</v>
      </c>
      <c r="J979">
        <v>1163.79</v>
      </c>
      <c r="K979">
        <v>0</v>
      </c>
      <c r="L979">
        <v>1175.17</v>
      </c>
      <c r="M979" t="s">
        <v>27</v>
      </c>
      <c r="N979">
        <v>1</v>
      </c>
      <c r="O979">
        <v>1255</v>
      </c>
      <c r="P979">
        <v>1081</v>
      </c>
      <c r="Q979">
        <v>0</v>
      </c>
      <c r="R979">
        <v>1081</v>
      </c>
    </row>
    <row r="980" spans="1:18" x14ac:dyDescent="0.3">
      <c r="A980" s="5">
        <v>45963</v>
      </c>
      <c r="B980" t="s">
        <v>1412</v>
      </c>
      <c r="C980">
        <v>13</v>
      </c>
      <c r="D980">
        <v>36</v>
      </c>
      <c r="E980" s="1">
        <v>1.9791666666666665</v>
      </c>
      <c r="F980" t="s">
        <v>1413</v>
      </c>
      <c r="G980">
        <v>5</v>
      </c>
      <c r="H980">
        <v>1081.0658000000001</v>
      </c>
      <c r="I980">
        <v>0</v>
      </c>
      <c r="J980">
        <v>1163.79</v>
      </c>
      <c r="K980">
        <v>0</v>
      </c>
      <c r="L980">
        <v>1175.17</v>
      </c>
      <c r="M980" t="s">
        <v>27</v>
      </c>
      <c r="N980">
        <v>1</v>
      </c>
      <c r="O980">
        <v>1254</v>
      </c>
      <c r="P980">
        <v>1081</v>
      </c>
      <c r="Q980">
        <v>0</v>
      </c>
      <c r="R980">
        <v>1081</v>
      </c>
    </row>
    <row r="981" spans="1:18" x14ac:dyDescent="0.3">
      <c r="A981" s="5">
        <v>45963</v>
      </c>
      <c r="B981" t="s">
        <v>1414</v>
      </c>
      <c r="C981">
        <v>7</v>
      </c>
      <c r="D981">
        <v>36</v>
      </c>
      <c r="E981" s="1">
        <v>1.0833333333333333</v>
      </c>
      <c r="F981" t="s">
        <v>1415</v>
      </c>
      <c r="G981">
        <v>0</v>
      </c>
      <c r="H981">
        <v>1081.5658000000001</v>
      </c>
      <c r="I981">
        <v>2.5</v>
      </c>
      <c r="J981">
        <v>1163.79</v>
      </c>
      <c r="K981">
        <v>1.9580666999707901</v>
      </c>
      <c r="L981">
        <v>1175.17</v>
      </c>
      <c r="M981" t="s">
        <v>27</v>
      </c>
      <c r="N981">
        <v>1</v>
      </c>
      <c r="O981">
        <v>1282</v>
      </c>
      <c r="P981">
        <v>1109</v>
      </c>
      <c r="Q981">
        <v>0</v>
      </c>
      <c r="R981">
        <v>1109</v>
      </c>
    </row>
    <row r="982" spans="1:18" x14ac:dyDescent="0.3">
      <c r="A982" s="5">
        <v>45963</v>
      </c>
      <c r="B982" t="s">
        <v>1416</v>
      </c>
      <c r="C982">
        <v>23</v>
      </c>
      <c r="D982">
        <v>36</v>
      </c>
      <c r="E982" s="1">
        <v>1.9791666666666665</v>
      </c>
      <c r="F982" t="s">
        <v>1417</v>
      </c>
      <c r="G982">
        <v>5</v>
      </c>
      <c r="H982">
        <v>1080.7537</v>
      </c>
      <c r="I982">
        <v>0</v>
      </c>
      <c r="J982">
        <v>1163.79</v>
      </c>
      <c r="K982">
        <v>0</v>
      </c>
      <c r="L982">
        <v>1175.17</v>
      </c>
      <c r="M982" t="s">
        <v>27</v>
      </c>
      <c r="N982">
        <v>1</v>
      </c>
      <c r="O982">
        <v>1254</v>
      </c>
      <c r="P982">
        <v>1081</v>
      </c>
      <c r="Q982">
        <v>0</v>
      </c>
      <c r="R982">
        <v>1081</v>
      </c>
    </row>
    <row r="983" spans="1:18" x14ac:dyDescent="0.3">
      <c r="A983" s="5">
        <v>45963</v>
      </c>
      <c r="B983" t="s">
        <v>1418</v>
      </c>
      <c r="C983">
        <v>20</v>
      </c>
      <c r="D983">
        <v>36</v>
      </c>
      <c r="E983" s="1">
        <v>1.9791666666666665</v>
      </c>
      <c r="F983" t="s">
        <v>1419</v>
      </c>
      <c r="G983">
        <v>4</v>
      </c>
      <c r="H983">
        <v>1080.9398000000001</v>
      </c>
      <c r="I983">
        <v>7</v>
      </c>
      <c r="J983">
        <v>1163.79</v>
      </c>
      <c r="K983">
        <v>5.4825867599182097</v>
      </c>
      <c r="L983">
        <v>1175.17</v>
      </c>
      <c r="M983" t="s">
        <v>27</v>
      </c>
      <c r="N983">
        <v>1</v>
      </c>
      <c r="O983">
        <v>1330</v>
      </c>
      <c r="P983">
        <v>1157</v>
      </c>
      <c r="Q983">
        <v>0</v>
      </c>
      <c r="R983">
        <v>1157</v>
      </c>
    </row>
    <row r="984" spans="1:18" x14ac:dyDescent="0.3">
      <c r="A984" s="5">
        <v>45963</v>
      </c>
      <c r="B984" t="s">
        <v>1420</v>
      </c>
      <c r="C984">
        <v>32</v>
      </c>
      <c r="D984">
        <v>36</v>
      </c>
      <c r="E984" s="1">
        <v>1.0833333333333333</v>
      </c>
      <c r="F984" t="s">
        <v>1421</v>
      </c>
      <c r="G984">
        <v>0</v>
      </c>
      <c r="H984">
        <v>1080.9834000000001</v>
      </c>
      <c r="I984">
        <v>2.5</v>
      </c>
      <c r="J984">
        <v>1163.79</v>
      </c>
      <c r="K984">
        <v>1.9580666999707901</v>
      </c>
      <c r="L984">
        <v>1175.17</v>
      </c>
      <c r="M984" t="s">
        <v>27</v>
      </c>
      <c r="N984">
        <v>1</v>
      </c>
      <c r="O984">
        <v>1281</v>
      </c>
      <c r="P984">
        <v>1108</v>
      </c>
      <c r="Q984">
        <v>0</v>
      </c>
      <c r="R984">
        <v>1108</v>
      </c>
    </row>
    <row r="985" spans="1:18" x14ac:dyDescent="0.3">
      <c r="A985" s="5">
        <v>45963</v>
      </c>
      <c r="B985" t="s">
        <v>1422</v>
      </c>
      <c r="C985">
        <v>19</v>
      </c>
      <c r="D985">
        <v>36</v>
      </c>
      <c r="E985" s="1">
        <v>1.0833333333333333</v>
      </c>
      <c r="F985" t="s">
        <v>1423</v>
      </c>
      <c r="G985">
        <v>0</v>
      </c>
      <c r="H985">
        <v>1081.3494000000001</v>
      </c>
      <c r="I985">
        <v>2.5</v>
      </c>
      <c r="J985">
        <v>1163.79</v>
      </c>
      <c r="K985">
        <v>1.9580666999707901</v>
      </c>
      <c r="L985">
        <v>1175.17</v>
      </c>
      <c r="M985" t="s">
        <v>27</v>
      </c>
      <c r="N985">
        <v>1</v>
      </c>
      <c r="O985">
        <v>1281</v>
      </c>
      <c r="P985">
        <v>1108</v>
      </c>
      <c r="Q985">
        <v>0</v>
      </c>
      <c r="R985">
        <v>1108</v>
      </c>
    </row>
    <row r="986" spans="1:18" x14ac:dyDescent="0.3">
      <c r="A986" s="5">
        <v>45963</v>
      </c>
      <c r="B986" t="s">
        <v>1422</v>
      </c>
      <c r="C986">
        <v>19</v>
      </c>
      <c r="D986">
        <v>36</v>
      </c>
      <c r="E986" s="1">
        <v>1.0833333333333333</v>
      </c>
      <c r="F986" t="s">
        <v>1424</v>
      </c>
      <c r="G986">
        <v>0</v>
      </c>
      <c r="H986">
        <v>1081.3494000000001</v>
      </c>
      <c r="I986">
        <v>2.5</v>
      </c>
      <c r="J986">
        <v>1163.79</v>
      </c>
      <c r="K986">
        <v>1.9580666999707901</v>
      </c>
      <c r="L986">
        <v>1175.17</v>
      </c>
      <c r="M986" t="s">
        <v>27</v>
      </c>
      <c r="N986">
        <v>1</v>
      </c>
      <c r="O986">
        <v>1281</v>
      </c>
      <c r="P986">
        <v>1108</v>
      </c>
      <c r="Q986">
        <v>0</v>
      </c>
      <c r="R986">
        <v>1108</v>
      </c>
    </row>
    <row r="987" spans="1:18" x14ac:dyDescent="0.3">
      <c r="A987" s="5">
        <v>45963</v>
      </c>
      <c r="B987" t="s">
        <v>1425</v>
      </c>
      <c r="C987">
        <v>20</v>
      </c>
      <c r="D987">
        <v>36</v>
      </c>
      <c r="E987" s="1">
        <v>1.0833333333333333</v>
      </c>
      <c r="F987" t="s">
        <v>1423</v>
      </c>
      <c r="G987">
        <v>0</v>
      </c>
      <c r="H987">
        <v>1081.3314</v>
      </c>
      <c r="I987">
        <v>2.5</v>
      </c>
      <c r="J987">
        <v>1163.79</v>
      </c>
      <c r="K987">
        <v>1.9580666999707901</v>
      </c>
      <c r="L987">
        <v>1175.17</v>
      </c>
      <c r="M987" t="s">
        <v>27</v>
      </c>
      <c r="N987">
        <v>1</v>
      </c>
      <c r="O987">
        <v>1281</v>
      </c>
      <c r="P987">
        <v>1108</v>
      </c>
      <c r="Q987">
        <v>0</v>
      </c>
      <c r="R987">
        <v>1108</v>
      </c>
    </row>
    <row r="988" spans="1:18" x14ac:dyDescent="0.3">
      <c r="A988" s="5">
        <v>45963</v>
      </c>
      <c r="B988" t="s">
        <v>1425</v>
      </c>
      <c r="C988">
        <v>20</v>
      </c>
      <c r="D988">
        <v>36</v>
      </c>
      <c r="E988" s="1">
        <v>1.0833333333333333</v>
      </c>
      <c r="F988" t="s">
        <v>1424</v>
      </c>
      <c r="G988">
        <v>0</v>
      </c>
      <c r="H988">
        <v>1081.3314</v>
      </c>
      <c r="I988">
        <v>2.5</v>
      </c>
      <c r="J988">
        <v>1163.79</v>
      </c>
      <c r="K988">
        <v>1.9580666999707901</v>
      </c>
      <c r="L988">
        <v>1175.17</v>
      </c>
      <c r="M988" t="s">
        <v>27</v>
      </c>
      <c r="N988">
        <v>1</v>
      </c>
      <c r="O988">
        <v>1281</v>
      </c>
      <c r="P988">
        <v>1108</v>
      </c>
      <c r="Q988">
        <v>0</v>
      </c>
      <c r="R988">
        <v>1108</v>
      </c>
    </row>
    <row r="989" spans="1:18" x14ac:dyDescent="0.3">
      <c r="A989" s="5">
        <v>45963</v>
      </c>
      <c r="B989" t="s">
        <v>1426</v>
      </c>
      <c r="C989">
        <v>18</v>
      </c>
      <c r="D989">
        <v>36</v>
      </c>
      <c r="E989" s="1">
        <v>1.0833333333333333</v>
      </c>
      <c r="F989" t="s">
        <v>1423</v>
      </c>
      <c r="G989">
        <v>0</v>
      </c>
      <c r="H989">
        <v>1081.3672999999999</v>
      </c>
      <c r="I989">
        <v>2.5</v>
      </c>
      <c r="J989">
        <v>1163.79</v>
      </c>
      <c r="K989">
        <v>1.9580666999707901</v>
      </c>
      <c r="L989">
        <v>1175.17</v>
      </c>
      <c r="M989" t="s">
        <v>27</v>
      </c>
      <c r="N989">
        <v>1</v>
      </c>
      <c r="O989">
        <v>1281</v>
      </c>
      <c r="P989">
        <v>1108</v>
      </c>
      <c r="Q989">
        <v>0</v>
      </c>
      <c r="R989">
        <v>1108</v>
      </c>
    </row>
    <row r="990" spans="1:18" x14ac:dyDescent="0.3">
      <c r="A990" s="5">
        <v>45963</v>
      </c>
      <c r="B990" t="s">
        <v>1426</v>
      </c>
      <c r="C990">
        <v>18</v>
      </c>
      <c r="D990">
        <v>36</v>
      </c>
      <c r="E990" s="1">
        <v>1.0833333333333333</v>
      </c>
      <c r="F990" t="s">
        <v>1424</v>
      </c>
      <c r="G990">
        <v>0</v>
      </c>
      <c r="H990">
        <v>1081.3672999999999</v>
      </c>
      <c r="I990">
        <v>2.5</v>
      </c>
      <c r="J990">
        <v>1163.79</v>
      </c>
      <c r="K990">
        <v>1.9580666999707901</v>
      </c>
      <c r="L990">
        <v>1175.17</v>
      </c>
      <c r="M990" t="s">
        <v>27</v>
      </c>
      <c r="N990">
        <v>1</v>
      </c>
      <c r="O990">
        <v>1281</v>
      </c>
      <c r="P990">
        <v>1108</v>
      </c>
      <c r="Q990">
        <v>0</v>
      </c>
      <c r="R990">
        <v>1108</v>
      </c>
    </row>
    <row r="991" spans="1:18" x14ac:dyDescent="0.3">
      <c r="A991" s="5">
        <v>45963</v>
      </c>
      <c r="B991" t="s">
        <v>1427</v>
      </c>
      <c r="C991">
        <v>28</v>
      </c>
      <c r="D991">
        <v>36</v>
      </c>
      <c r="E991" s="1">
        <v>1.4583333333333333</v>
      </c>
      <c r="F991" t="s">
        <v>1428</v>
      </c>
      <c r="G991">
        <v>0</v>
      </c>
      <c r="H991">
        <v>1081.0507</v>
      </c>
      <c r="I991">
        <v>2.5</v>
      </c>
      <c r="J991">
        <v>1163.79</v>
      </c>
      <c r="K991">
        <v>1.9580666999707901</v>
      </c>
      <c r="L991">
        <v>1175.17</v>
      </c>
      <c r="M991" t="s">
        <v>27</v>
      </c>
      <c r="N991">
        <v>1</v>
      </c>
      <c r="O991">
        <v>1281</v>
      </c>
      <c r="P991">
        <v>1108</v>
      </c>
      <c r="Q991">
        <v>0</v>
      </c>
      <c r="R991">
        <v>1108</v>
      </c>
    </row>
    <row r="992" spans="1:18" x14ac:dyDescent="0.3">
      <c r="A992" s="5">
        <v>45963</v>
      </c>
      <c r="B992" t="s">
        <v>1427</v>
      </c>
      <c r="C992">
        <v>28</v>
      </c>
      <c r="D992">
        <v>36</v>
      </c>
      <c r="E992" s="1">
        <v>1.4583333333333333</v>
      </c>
      <c r="F992" t="s">
        <v>1428</v>
      </c>
      <c r="G992">
        <v>0</v>
      </c>
      <c r="H992">
        <v>1081.0507</v>
      </c>
      <c r="I992">
        <v>2.5</v>
      </c>
      <c r="J992">
        <v>1163.79</v>
      </c>
      <c r="K992">
        <v>1.9580666999707901</v>
      </c>
      <c r="L992">
        <v>1175.17</v>
      </c>
      <c r="M992" t="s">
        <v>27</v>
      </c>
      <c r="N992">
        <v>1</v>
      </c>
      <c r="O992">
        <v>1281</v>
      </c>
      <c r="P992">
        <v>1108</v>
      </c>
      <c r="Q992">
        <v>0</v>
      </c>
      <c r="R992">
        <v>1108</v>
      </c>
    </row>
    <row r="993" spans="1:18" x14ac:dyDescent="0.3">
      <c r="A993" s="5">
        <v>45963</v>
      </c>
      <c r="B993" t="s">
        <v>1429</v>
      </c>
      <c r="C993">
        <v>29</v>
      </c>
      <c r="D993">
        <v>36</v>
      </c>
      <c r="E993" s="1">
        <v>1.4583333333333333</v>
      </c>
      <c r="F993" t="s">
        <v>1428</v>
      </c>
      <c r="G993">
        <v>0</v>
      </c>
      <c r="H993">
        <v>1081.0327</v>
      </c>
      <c r="I993">
        <v>2.5</v>
      </c>
      <c r="J993">
        <v>1163.79</v>
      </c>
      <c r="K993">
        <v>1.9580666999707901</v>
      </c>
      <c r="L993">
        <v>1175.17</v>
      </c>
      <c r="M993" t="s">
        <v>27</v>
      </c>
      <c r="N993">
        <v>1</v>
      </c>
      <c r="O993">
        <v>1281</v>
      </c>
      <c r="P993">
        <v>1108</v>
      </c>
      <c r="Q993">
        <v>0</v>
      </c>
      <c r="R993">
        <v>1108</v>
      </c>
    </row>
    <row r="994" spans="1:18" x14ac:dyDescent="0.3">
      <c r="A994" s="5">
        <v>45963</v>
      </c>
      <c r="B994" t="s">
        <v>1429</v>
      </c>
      <c r="C994">
        <v>29</v>
      </c>
      <c r="D994">
        <v>36</v>
      </c>
      <c r="E994" s="1">
        <v>1.4583333333333333</v>
      </c>
      <c r="F994" t="s">
        <v>1428</v>
      </c>
      <c r="G994">
        <v>0</v>
      </c>
      <c r="H994">
        <v>1081.0327</v>
      </c>
      <c r="I994">
        <v>2.5</v>
      </c>
      <c r="J994">
        <v>1163.79</v>
      </c>
      <c r="K994">
        <v>1.9580666999707901</v>
      </c>
      <c r="L994">
        <v>1175.17</v>
      </c>
      <c r="M994" t="s">
        <v>27</v>
      </c>
      <c r="N994">
        <v>1</v>
      </c>
      <c r="O994">
        <v>1281</v>
      </c>
      <c r="P994">
        <v>1108</v>
      </c>
      <c r="Q994">
        <v>0</v>
      </c>
      <c r="R994">
        <v>1108</v>
      </c>
    </row>
    <row r="995" spans="1:18" x14ac:dyDescent="0.3">
      <c r="A995" s="5">
        <v>45963</v>
      </c>
      <c r="B995" t="s">
        <v>1430</v>
      </c>
      <c r="C995">
        <v>17</v>
      </c>
      <c r="D995">
        <v>36</v>
      </c>
      <c r="E995" s="1">
        <v>1.9791666666666665</v>
      </c>
      <c r="F995" t="s">
        <v>1431</v>
      </c>
      <c r="G995">
        <v>2</v>
      </c>
      <c r="H995">
        <v>1080.9931999999999</v>
      </c>
      <c r="I995">
        <v>5</v>
      </c>
      <c r="J995">
        <v>1163.79</v>
      </c>
      <c r="K995">
        <v>3.9161333999415802</v>
      </c>
      <c r="L995">
        <v>618.53</v>
      </c>
      <c r="M995" t="s">
        <v>60</v>
      </c>
      <c r="N995">
        <v>1</v>
      </c>
      <c r="O995">
        <v>1308</v>
      </c>
      <c r="P995">
        <v>1135</v>
      </c>
      <c r="Q995">
        <v>0.5</v>
      </c>
      <c r="R995">
        <v>567.5</v>
      </c>
    </row>
    <row r="996" spans="1:18" x14ac:dyDescent="0.3">
      <c r="A996" s="5">
        <v>45963</v>
      </c>
      <c r="B996" t="s">
        <v>1432</v>
      </c>
      <c r="C996">
        <v>32</v>
      </c>
      <c r="D996">
        <v>36</v>
      </c>
      <c r="E996" s="1">
        <v>1.4583333333333333</v>
      </c>
      <c r="F996" t="s">
        <v>1433</v>
      </c>
      <c r="G996">
        <v>2</v>
      </c>
      <c r="H996">
        <v>1081.0985000000001</v>
      </c>
      <c r="I996">
        <v>5</v>
      </c>
      <c r="J996">
        <v>1163.79</v>
      </c>
      <c r="K996">
        <v>3.9161333999415802</v>
      </c>
      <c r="L996">
        <v>609.91</v>
      </c>
      <c r="M996" t="s">
        <v>60</v>
      </c>
      <c r="N996">
        <v>1</v>
      </c>
      <c r="O996">
        <v>1308</v>
      </c>
      <c r="P996">
        <v>1135</v>
      </c>
      <c r="Q996">
        <v>0.5</v>
      </c>
      <c r="R996">
        <v>567.5</v>
      </c>
    </row>
    <row r="997" spans="1:18" x14ac:dyDescent="0.3">
      <c r="A997" s="5">
        <v>45963</v>
      </c>
      <c r="B997" t="s">
        <v>1434</v>
      </c>
      <c r="C997">
        <v>15</v>
      </c>
      <c r="D997">
        <v>36</v>
      </c>
      <c r="E997" s="1">
        <v>1.0833333333333333</v>
      </c>
      <c r="F997" t="s">
        <v>1435</v>
      </c>
      <c r="G997">
        <v>0</v>
      </c>
      <c r="H997">
        <v>1081.4213</v>
      </c>
      <c r="I997">
        <v>2.5</v>
      </c>
      <c r="J997">
        <v>1163.79</v>
      </c>
      <c r="K997">
        <v>1.9580666999707901</v>
      </c>
      <c r="L997">
        <v>1175.17</v>
      </c>
      <c r="M997" t="s">
        <v>27</v>
      </c>
      <c r="N997">
        <v>1</v>
      </c>
      <c r="O997">
        <v>1281</v>
      </c>
      <c r="P997">
        <v>1108</v>
      </c>
      <c r="Q997">
        <v>0</v>
      </c>
      <c r="R997">
        <v>1108</v>
      </c>
    </row>
    <row r="998" spans="1:18" x14ac:dyDescent="0.3">
      <c r="A998" s="5">
        <v>45963</v>
      </c>
      <c r="B998" t="s">
        <v>1436</v>
      </c>
      <c r="C998">
        <v>2</v>
      </c>
      <c r="D998">
        <v>36</v>
      </c>
      <c r="E998" s="1">
        <v>1.9791666666666665</v>
      </c>
      <c r="F998" t="s">
        <v>1437</v>
      </c>
      <c r="G998">
        <v>5</v>
      </c>
      <c r="H998">
        <v>1081.2619999999999</v>
      </c>
      <c r="I998">
        <v>0</v>
      </c>
      <c r="J998">
        <v>1163.79</v>
      </c>
      <c r="K998">
        <v>0</v>
      </c>
      <c r="L998">
        <v>1175.17</v>
      </c>
      <c r="M998" t="s">
        <v>27</v>
      </c>
      <c r="N998">
        <v>1</v>
      </c>
      <c r="O998">
        <v>1254</v>
      </c>
      <c r="P998">
        <v>1081</v>
      </c>
      <c r="Q998">
        <v>0</v>
      </c>
      <c r="R998">
        <v>1081</v>
      </c>
    </row>
    <row r="999" spans="1:18" x14ac:dyDescent="0.3">
      <c r="A999" s="5">
        <v>45963</v>
      </c>
      <c r="B999" t="s">
        <v>1436</v>
      </c>
      <c r="C999">
        <v>2</v>
      </c>
      <c r="D999">
        <v>36</v>
      </c>
      <c r="E999" s="1">
        <v>1.9791666666666665</v>
      </c>
      <c r="F999" t="s">
        <v>1437</v>
      </c>
      <c r="G999">
        <v>5</v>
      </c>
      <c r="H999">
        <v>1081.2619999999999</v>
      </c>
      <c r="I999">
        <v>0</v>
      </c>
      <c r="J999">
        <v>1163.79</v>
      </c>
      <c r="K999">
        <v>0</v>
      </c>
      <c r="L999">
        <v>1175.17</v>
      </c>
      <c r="M999" t="s">
        <v>27</v>
      </c>
      <c r="N999">
        <v>1</v>
      </c>
      <c r="O999">
        <v>1254</v>
      </c>
      <c r="P999">
        <v>1081</v>
      </c>
      <c r="Q999">
        <v>0</v>
      </c>
      <c r="R999">
        <v>1081</v>
      </c>
    </row>
    <row r="1000" spans="1:18" x14ac:dyDescent="0.3">
      <c r="A1000" s="5">
        <v>45963</v>
      </c>
      <c r="B1000" t="s">
        <v>1438</v>
      </c>
      <c r="C1000">
        <v>3</v>
      </c>
      <c r="D1000">
        <v>36</v>
      </c>
      <c r="E1000" s="1">
        <v>1.9791666666666665</v>
      </c>
      <c r="F1000" t="s">
        <v>1437</v>
      </c>
      <c r="G1000">
        <v>5</v>
      </c>
      <c r="H1000">
        <v>1081.2440999999999</v>
      </c>
      <c r="I1000">
        <v>0</v>
      </c>
      <c r="J1000">
        <v>1163.79</v>
      </c>
      <c r="K1000">
        <v>0</v>
      </c>
      <c r="L1000">
        <v>1175.17</v>
      </c>
      <c r="M1000" t="s">
        <v>27</v>
      </c>
      <c r="N1000">
        <v>1</v>
      </c>
      <c r="O1000">
        <v>1254</v>
      </c>
      <c r="P1000">
        <v>1081</v>
      </c>
      <c r="Q1000">
        <v>0</v>
      </c>
      <c r="R1000">
        <v>1081</v>
      </c>
    </row>
    <row r="1001" spans="1:18" x14ac:dyDescent="0.3">
      <c r="A1001" s="5">
        <v>45963</v>
      </c>
      <c r="B1001" t="s">
        <v>1438</v>
      </c>
      <c r="C1001">
        <v>3</v>
      </c>
      <c r="D1001">
        <v>36</v>
      </c>
      <c r="E1001" s="1">
        <v>1.9791666666666665</v>
      </c>
      <c r="F1001" t="s">
        <v>1437</v>
      </c>
      <c r="G1001">
        <v>5</v>
      </c>
      <c r="H1001">
        <v>1081.2440999999999</v>
      </c>
      <c r="I1001">
        <v>0</v>
      </c>
      <c r="J1001">
        <v>1163.79</v>
      </c>
      <c r="K1001">
        <v>0</v>
      </c>
      <c r="L1001">
        <v>1175.17</v>
      </c>
      <c r="M1001" t="s">
        <v>27</v>
      </c>
      <c r="N1001">
        <v>1</v>
      </c>
      <c r="O1001">
        <v>1254</v>
      </c>
      <c r="P1001">
        <v>1081</v>
      </c>
      <c r="Q1001">
        <v>0</v>
      </c>
      <c r="R1001">
        <v>1081</v>
      </c>
    </row>
    <row r="1002" spans="1:18" x14ac:dyDescent="0.3">
      <c r="A1002" s="5">
        <v>45963</v>
      </c>
      <c r="B1002" t="s">
        <v>489</v>
      </c>
      <c r="C1002">
        <v>36</v>
      </c>
      <c r="D1002">
        <v>36</v>
      </c>
      <c r="E1002" s="1">
        <v>1.0833333333333333</v>
      </c>
      <c r="F1002" t="s">
        <v>490</v>
      </c>
      <c r="G1002">
        <v>5</v>
      </c>
      <c r="H1002">
        <v>1080.9104</v>
      </c>
      <c r="I1002">
        <v>0</v>
      </c>
      <c r="J1002">
        <v>1163.79</v>
      </c>
      <c r="K1002">
        <v>0</v>
      </c>
      <c r="L1002">
        <v>1175.17</v>
      </c>
      <c r="M1002" t="s">
        <v>27</v>
      </c>
      <c r="N1002">
        <v>1</v>
      </c>
      <c r="O1002">
        <v>1254</v>
      </c>
      <c r="P1002">
        <v>1081</v>
      </c>
      <c r="Q1002">
        <v>0</v>
      </c>
      <c r="R1002">
        <v>1081</v>
      </c>
    </row>
    <row r="1003" spans="1:18" x14ac:dyDescent="0.3">
      <c r="A1003" s="5">
        <v>45963</v>
      </c>
      <c r="B1003" t="s">
        <v>1439</v>
      </c>
      <c r="C1003">
        <v>30</v>
      </c>
      <c r="D1003">
        <v>36</v>
      </c>
      <c r="E1003" s="1">
        <v>1.9993055555555554</v>
      </c>
      <c r="F1003" t="s">
        <v>1440</v>
      </c>
      <c r="G1003">
        <v>2</v>
      </c>
      <c r="H1003">
        <v>1080.6093000000001</v>
      </c>
      <c r="I1003">
        <v>5</v>
      </c>
      <c r="J1003">
        <v>1163.79</v>
      </c>
      <c r="K1003">
        <v>3.9161333999415802</v>
      </c>
      <c r="L1003">
        <v>609.91</v>
      </c>
      <c r="M1003" t="s">
        <v>60</v>
      </c>
      <c r="N1003">
        <v>1</v>
      </c>
      <c r="O1003">
        <v>1308</v>
      </c>
      <c r="P1003">
        <v>1135</v>
      </c>
      <c r="Q1003">
        <v>0.5</v>
      </c>
      <c r="R1003">
        <v>567.5</v>
      </c>
    </row>
    <row r="1004" spans="1:18" x14ac:dyDescent="0.3">
      <c r="A1004" s="5">
        <v>45963</v>
      </c>
      <c r="B1004" t="s">
        <v>1441</v>
      </c>
      <c r="C1004">
        <v>31</v>
      </c>
      <c r="D1004">
        <v>36</v>
      </c>
      <c r="E1004" s="1">
        <v>1.9993055555555554</v>
      </c>
      <c r="F1004" t="s">
        <v>1442</v>
      </c>
      <c r="G1004">
        <v>2</v>
      </c>
      <c r="H1004">
        <v>1080.5646999999999</v>
      </c>
      <c r="I1004">
        <v>5</v>
      </c>
      <c r="J1004">
        <v>1163.79</v>
      </c>
      <c r="K1004">
        <v>3.9161333999415802</v>
      </c>
      <c r="L1004">
        <v>609.91</v>
      </c>
      <c r="M1004" t="s">
        <v>60</v>
      </c>
      <c r="N1004">
        <v>1</v>
      </c>
      <c r="O1004">
        <v>1307</v>
      </c>
      <c r="P1004">
        <v>1135</v>
      </c>
      <c r="Q1004">
        <v>0.5</v>
      </c>
      <c r="R1004">
        <v>567.5</v>
      </c>
    </row>
    <row r="1005" spans="1:18" x14ac:dyDescent="0.3">
      <c r="A1005" s="5">
        <v>45963</v>
      </c>
      <c r="B1005" t="s">
        <v>1443</v>
      </c>
      <c r="C1005">
        <v>26</v>
      </c>
      <c r="D1005">
        <v>36</v>
      </c>
      <c r="E1005" s="1">
        <v>1.9791666666666665</v>
      </c>
      <c r="F1005" t="s">
        <v>1444</v>
      </c>
      <c r="G1005">
        <v>5</v>
      </c>
      <c r="H1005">
        <v>1080.7081000000001</v>
      </c>
      <c r="I1005">
        <v>0</v>
      </c>
      <c r="J1005">
        <v>1163.79</v>
      </c>
      <c r="K1005">
        <v>0</v>
      </c>
      <c r="L1005">
        <v>989.65</v>
      </c>
      <c r="M1005" t="s">
        <v>44</v>
      </c>
      <c r="N1005">
        <v>1</v>
      </c>
      <c r="O1005">
        <v>1254</v>
      </c>
      <c r="P1005">
        <v>1081</v>
      </c>
      <c r="Q1005">
        <v>0</v>
      </c>
      <c r="R1005">
        <v>1081</v>
      </c>
    </row>
    <row r="1006" spans="1:18" x14ac:dyDescent="0.3">
      <c r="A1006" s="5">
        <v>45963</v>
      </c>
      <c r="B1006" t="s">
        <v>1445</v>
      </c>
      <c r="C1006">
        <v>15</v>
      </c>
      <c r="D1006">
        <v>36</v>
      </c>
      <c r="E1006" s="1">
        <v>1.9791666666666665</v>
      </c>
      <c r="F1006" t="s">
        <v>1446</v>
      </c>
      <c r="G1006">
        <v>2</v>
      </c>
      <c r="H1006">
        <v>1081.123</v>
      </c>
      <c r="I1006">
        <v>5</v>
      </c>
      <c r="J1006">
        <v>1163.79</v>
      </c>
      <c r="K1006">
        <v>3.9161333999415802</v>
      </c>
      <c r="L1006">
        <v>609.91</v>
      </c>
      <c r="M1006" t="s">
        <v>60</v>
      </c>
      <c r="N1006">
        <v>1</v>
      </c>
      <c r="O1006">
        <v>1308</v>
      </c>
      <c r="P1006">
        <v>1135</v>
      </c>
      <c r="Q1006">
        <v>0.5</v>
      </c>
      <c r="R1006">
        <v>567.5</v>
      </c>
    </row>
    <row r="1007" spans="1:18" x14ac:dyDescent="0.3">
      <c r="A1007" s="5">
        <v>45963</v>
      </c>
      <c r="B1007" t="s">
        <v>1447</v>
      </c>
      <c r="C1007">
        <v>14</v>
      </c>
      <c r="D1007">
        <v>36</v>
      </c>
      <c r="E1007" s="1">
        <v>1.9791666666666665</v>
      </c>
      <c r="F1007" t="s">
        <v>1448</v>
      </c>
      <c r="G1007">
        <v>2</v>
      </c>
      <c r="H1007">
        <v>1081.1411000000001</v>
      </c>
      <c r="I1007">
        <v>5</v>
      </c>
      <c r="J1007">
        <v>1163.79</v>
      </c>
      <c r="K1007">
        <v>3.9161333999415802</v>
      </c>
      <c r="L1007">
        <v>609.91</v>
      </c>
      <c r="M1007" t="s">
        <v>60</v>
      </c>
      <c r="N1007">
        <v>1</v>
      </c>
      <c r="O1007">
        <v>1308</v>
      </c>
      <c r="P1007">
        <v>1135</v>
      </c>
      <c r="Q1007">
        <v>0.5</v>
      </c>
      <c r="R1007">
        <v>567.5</v>
      </c>
    </row>
    <row r="1008" spans="1:18" x14ac:dyDescent="0.3">
      <c r="A1008" s="5">
        <v>45963</v>
      </c>
      <c r="B1008" t="s">
        <v>1449</v>
      </c>
      <c r="C1008">
        <v>17</v>
      </c>
      <c r="D1008">
        <v>36</v>
      </c>
      <c r="E1008" s="1">
        <v>1.0833333333333333</v>
      </c>
      <c r="F1008" t="s">
        <v>1450</v>
      </c>
      <c r="G1008">
        <v>4</v>
      </c>
      <c r="H1008">
        <v>1081.3712</v>
      </c>
      <c r="I1008">
        <v>7</v>
      </c>
      <c r="J1008">
        <v>1163.79</v>
      </c>
      <c r="K1008">
        <v>5.4825867599182097</v>
      </c>
      <c r="L1008">
        <v>1237.07</v>
      </c>
      <c r="M1008" t="s">
        <v>27</v>
      </c>
      <c r="N1008">
        <v>1</v>
      </c>
      <c r="O1008">
        <v>1330</v>
      </c>
      <c r="P1008">
        <v>1157</v>
      </c>
      <c r="Q1008">
        <v>0</v>
      </c>
      <c r="R1008">
        <v>1157</v>
      </c>
    </row>
    <row r="1009" spans="1:18" x14ac:dyDescent="0.3">
      <c r="A1009" s="5">
        <v>45963</v>
      </c>
      <c r="B1009" t="s">
        <v>1451</v>
      </c>
      <c r="C1009">
        <v>33</v>
      </c>
      <c r="D1009">
        <v>36</v>
      </c>
      <c r="E1009" s="1">
        <v>1.9791666666666665</v>
      </c>
      <c r="F1009" t="s">
        <v>1452</v>
      </c>
      <c r="G1009">
        <v>1</v>
      </c>
      <c r="H1009">
        <v>1080.4386999999999</v>
      </c>
      <c r="I1009">
        <v>8.5</v>
      </c>
      <c r="J1009">
        <v>1163.79</v>
      </c>
      <c r="K1009">
        <v>6.6574267799006801</v>
      </c>
      <c r="L1009">
        <v>1237.07</v>
      </c>
      <c r="M1009" t="s">
        <v>27</v>
      </c>
      <c r="N1009">
        <v>1</v>
      </c>
      <c r="O1009">
        <v>1345</v>
      </c>
      <c r="P1009">
        <v>1172</v>
      </c>
      <c r="Q1009">
        <v>0</v>
      </c>
      <c r="R1009">
        <v>1172</v>
      </c>
    </row>
    <row r="1010" spans="1:18" x14ac:dyDescent="0.3">
      <c r="A1010" s="5">
        <v>45963</v>
      </c>
      <c r="B1010" t="s">
        <v>1453</v>
      </c>
      <c r="C1010">
        <v>8</v>
      </c>
      <c r="D1010">
        <v>36</v>
      </c>
      <c r="E1010" s="1">
        <v>1.9791666666666665</v>
      </c>
      <c r="F1010" t="s">
        <v>1454</v>
      </c>
      <c r="G1010">
        <v>5</v>
      </c>
      <c r="H1010">
        <v>1081.1532999999999</v>
      </c>
      <c r="I1010">
        <v>0</v>
      </c>
      <c r="J1010">
        <v>1163.79</v>
      </c>
      <c r="K1010">
        <v>0</v>
      </c>
      <c r="L1010">
        <v>1175.17</v>
      </c>
      <c r="M1010" t="s">
        <v>27</v>
      </c>
      <c r="N1010">
        <v>1</v>
      </c>
      <c r="O1010">
        <v>1254</v>
      </c>
      <c r="P1010">
        <v>1081</v>
      </c>
      <c r="Q1010">
        <v>0</v>
      </c>
      <c r="R1010">
        <v>1081</v>
      </c>
    </row>
    <row r="1011" spans="1:18" x14ac:dyDescent="0.3">
      <c r="A1011" s="5">
        <v>45963</v>
      </c>
      <c r="B1011" t="s">
        <v>1455</v>
      </c>
      <c r="C1011">
        <v>9</v>
      </c>
      <c r="D1011">
        <v>36</v>
      </c>
      <c r="E1011" s="1">
        <v>1.9791666666666665</v>
      </c>
      <c r="F1011" t="s">
        <v>1454</v>
      </c>
      <c r="G1011">
        <v>5</v>
      </c>
      <c r="H1011">
        <v>1081.1352999999999</v>
      </c>
      <c r="I1011">
        <v>0</v>
      </c>
      <c r="J1011">
        <v>1163.79</v>
      </c>
      <c r="K1011">
        <v>0</v>
      </c>
      <c r="L1011">
        <v>1175.17</v>
      </c>
      <c r="M1011" t="s">
        <v>27</v>
      </c>
      <c r="N1011">
        <v>1</v>
      </c>
      <c r="O1011">
        <v>1254</v>
      </c>
      <c r="P1011">
        <v>1081</v>
      </c>
      <c r="Q1011">
        <v>0</v>
      </c>
      <c r="R1011">
        <v>1081</v>
      </c>
    </row>
    <row r="1012" spans="1:18" x14ac:dyDescent="0.3">
      <c r="A1012" s="5">
        <v>45963</v>
      </c>
      <c r="B1012" t="s">
        <v>1456</v>
      </c>
      <c r="C1012">
        <v>12</v>
      </c>
      <c r="D1012">
        <v>36</v>
      </c>
      <c r="E1012" s="1">
        <v>1.9791666666666665</v>
      </c>
      <c r="F1012" t="s">
        <v>1454</v>
      </c>
      <c r="G1012">
        <v>5</v>
      </c>
      <c r="H1012">
        <v>1081.0814</v>
      </c>
      <c r="I1012">
        <v>0</v>
      </c>
      <c r="J1012">
        <v>1163.79</v>
      </c>
      <c r="K1012">
        <v>0</v>
      </c>
      <c r="L1012">
        <v>1175.17</v>
      </c>
      <c r="M1012" t="s">
        <v>27</v>
      </c>
      <c r="N1012">
        <v>1</v>
      </c>
      <c r="O1012">
        <v>1254</v>
      </c>
      <c r="P1012">
        <v>1081</v>
      </c>
      <c r="Q1012">
        <v>0</v>
      </c>
      <c r="R1012">
        <v>1081</v>
      </c>
    </row>
    <row r="1013" spans="1:18" x14ac:dyDescent="0.3">
      <c r="A1013" s="5">
        <v>45963</v>
      </c>
      <c r="B1013" t="s">
        <v>1457</v>
      </c>
      <c r="C1013">
        <v>2</v>
      </c>
      <c r="D1013">
        <v>36</v>
      </c>
      <c r="E1013" s="1">
        <v>1.9791666666666665</v>
      </c>
      <c r="F1013" t="s">
        <v>1458</v>
      </c>
      <c r="G1013">
        <v>0</v>
      </c>
      <c r="H1013">
        <v>1081.403</v>
      </c>
      <c r="I1013">
        <v>2.5</v>
      </c>
      <c r="J1013">
        <v>1163.79</v>
      </c>
      <c r="K1013">
        <v>1.9580666999707901</v>
      </c>
      <c r="L1013">
        <v>1158.8800000000001</v>
      </c>
      <c r="M1013" t="s">
        <v>27</v>
      </c>
      <c r="N1013">
        <v>1</v>
      </c>
      <c r="O1013">
        <v>1281</v>
      </c>
      <c r="P1013">
        <v>1108</v>
      </c>
      <c r="Q1013">
        <v>0</v>
      </c>
      <c r="R1013">
        <v>1108</v>
      </c>
    </row>
    <row r="1014" spans="1:18" x14ac:dyDescent="0.3">
      <c r="A1014" s="5">
        <v>45963</v>
      </c>
      <c r="B1014" t="s">
        <v>1457</v>
      </c>
      <c r="C1014">
        <v>2</v>
      </c>
      <c r="D1014">
        <v>36</v>
      </c>
      <c r="E1014" s="1">
        <v>1.9791666666666665</v>
      </c>
      <c r="F1014" t="s">
        <v>1459</v>
      </c>
      <c r="G1014">
        <v>0</v>
      </c>
      <c r="H1014">
        <v>1081.403</v>
      </c>
      <c r="I1014">
        <v>2.5</v>
      </c>
      <c r="J1014">
        <v>1163.79</v>
      </c>
      <c r="K1014">
        <v>1.9580666999707901</v>
      </c>
      <c r="L1014">
        <v>1158.8800000000001</v>
      </c>
      <c r="M1014" t="s">
        <v>27</v>
      </c>
      <c r="N1014">
        <v>1</v>
      </c>
      <c r="O1014">
        <v>1281</v>
      </c>
      <c r="P1014">
        <v>1108</v>
      </c>
      <c r="Q1014">
        <v>0</v>
      </c>
      <c r="R1014">
        <v>1108</v>
      </c>
    </row>
    <row r="1015" spans="1:18" x14ac:dyDescent="0.3">
      <c r="A1015" s="5">
        <v>45963</v>
      </c>
      <c r="B1015" t="s">
        <v>1460</v>
      </c>
      <c r="C1015">
        <v>3</v>
      </c>
      <c r="D1015">
        <v>36</v>
      </c>
      <c r="E1015" s="1">
        <v>1.9791666666666665</v>
      </c>
      <c r="F1015" t="s">
        <v>1458</v>
      </c>
      <c r="G1015">
        <v>0</v>
      </c>
      <c r="H1015">
        <v>1081.3848</v>
      </c>
      <c r="I1015">
        <v>2.5</v>
      </c>
      <c r="J1015">
        <v>1163.79</v>
      </c>
      <c r="K1015">
        <v>1.9580666999707901</v>
      </c>
      <c r="L1015">
        <v>1158.8800000000001</v>
      </c>
      <c r="M1015" t="s">
        <v>27</v>
      </c>
      <c r="N1015">
        <v>1</v>
      </c>
      <c r="O1015">
        <v>1281</v>
      </c>
      <c r="P1015">
        <v>1108</v>
      </c>
      <c r="Q1015">
        <v>0</v>
      </c>
      <c r="R1015">
        <v>1108</v>
      </c>
    </row>
    <row r="1016" spans="1:18" x14ac:dyDescent="0.3">
      <c r="A1016" s="5">
        <v>45963</v>
      </c>
      <c r="B1016" t="s">
        <v>1460</v>
      </c>
      <c r="C1016">
        <v>3</v>
      </c>
      <c r="D1016">
        <v>36</v>
      </c>
      <c r="E1016" s="1">
        <v>1.9791666666666665</v>
      </c>
      <c r="F1016" t="s">
        <v>1459</v>
      </c>
      <c r="G1016">
        <v>0</v>
      </c>
      <c r="H1016">
        <v>1081.3848</v>
      </c>
      <c r="I1016">
        <v>2.5</v>
      </c>
      <c r="J1016">
        <v>1163.79</v>
      </c>
      <c r="K1016">
        <v>1.9580666999707901</v>
      </c>
      <c r="L1016">
        <v>1158.8800000000001</v>
      </c>
      <c r="M1016" t="s">
        <v>27</v>
      </c>
      <c r="N1016">
        <v>1</v>
      </c>
      <c r="O1016">
        <v>1281</v>
      </c>
      <c r="P1016">
        <v>1108</v>
      </c>
      <c r="Q1016">
        <v>0</v>
      </c>
      <c r="R1016">
        <v>1108</v>
      </c>
    </row>
    <row r="1017" spans="1:18" x14ac:dyDescent="0.3">
      <c r="A1017" s="5">
        <v>45963</v>
      </c>
      <c r="B1017" t="s">
        <v>1461</v>
      </c>
      <c r="C1017">
        <v>2</v>
      </c>
      <c r="D1017">
        <v>36</v>
      </c>
      <c r="E1017" s="1">
        <v>1.9791666666666665</v>
      </c>
      <c r="F1017" t="s">
        <v>1462</v>
      </c>
      <c r="G1017">
        <v>0</v>
      </c>
      <c r="H1017">
        <v>1081.422</v>
      </c>
      <c r="I1017">
        <v>2.5</v>
      </c>
      <c r="J1017">
        <v>1163.79</v>
      </c>
      <c r="K1017">
        <v>1.9580666999707901</v>
      </c>
      <c r="L1017">
        <v>1175.17</v>
      </c>
      <c r="M1017" t="s">
        <v>27</v>
      </c>
      <c r="N1017">
        <v>1</v>
      </c>
      <c r="O1017">
        <v>1281</v>
      </c>
      <c r="P1017">
        <v>1108</v>
      </c>
      <c r="Q1017">
        <v>0</v>
      </c>
      <c r="R1017">
        <v>1108</v>
      </c>
    </row>
    <row r="1018" spans="1:18" x14ac:dyDescent="0.3">
      <c r="A1018" s="5">
        <v>45963</v>
      </c>
      <c r="B1018" t="s">
        <v>1461</v>
      </c>
      <c r="C1018">
        <v>2</v>
      </c>
      <c r="D1018">
        <v>36</v>
      </c>
      <c r="E1018" s="1">
        <v>1.9791666666666665</v>
      </c>
      <c r="F1018" t="s">
        <v>1463</v>
      </c>
      <c r="G1018">
        <v>0</v>
      </c>
      <c r="H1018">
        <v>1081.422</v>
      </c>
      <c r="I1018">
        <v>2.5</v>
      </c>
      <c r="J1018">
        <v>1163.79</v>
      </c>
      <c r="K1018">
        <v>1.9580666999707901</v>
      </c>
      <c r="L1018">
        <v>1175.17</v>
      </c>
      <c r="M1018" t="s">
        <v>27</v>
      </c>
      <c r="N1018">
        <v>1</v>
      </c>
      <c r="O1018">
        <v>1281</v>
      </c>
      <c r="P1018">
        <v>1108</v>
      </c>
      <c r="Q1018">
        <v>0</v>
      </c>
      <c r="R1018">
        <v>1108</v>
      </c>
    </row>
    <row r="1019" spans="1:18" x14ac:dyDescent="0.3">
      <c r="A1019" s="5">
        <v>45963</v>
      </c>
      <c r="B1019" t="s">
        <v>1464</v>
      </c>
      <c r="C1019">
        <v>3</v>
      </c>
      <c r="D1019">
        <v>36</v>
      </c>
      <c r="E1019" s="1">
        <v>1.9791666666666665</v>
      </c>
      <c r="F1019" t="s">
        <v>1462</v>
      </c>
      <c r="G1019">
        <v>0</v>
      </c>
      <c r="H1019">
        <v>1081.4042999999999</v>
      </c>
      <c r="I1019">
        <v>2.5</v>
      </c>
      <c r="J1019">
        <v>1163.79</v>
      </c>
      <c r="K1019">
        <v>1.9580666999707901</v>
      </c>
      <c r="L1019">
        <v>1175.17</v>
      </c>
      <c r="M1019" t="s">
        <v>27</v>
      </c>
      <c r="N1019">
        <v>1</v>
      </c>
      <c r="O1019">
        <v>1281</v>
      </c>
      <c r="P1019">
        <v>1108</v>
      </c>
      <c r="Q1019">
        <v>0</v>
      </c>
      <c r="R1019">
        <v>1108</v>
      </c>
    </row>
    <row r="1020" spans="1:18" x14ac:dyDescent="0.3">
      <c r="A1020" s="5">
        <v>45963</v>
      </c>
      <c r="B1020" t="s">
        <v>1464</v>
      </c>
      <c r="C1020">
        <v>3</v>
      </c>
      <c r="D1020">
        <v>36</v>
      </c>
      <c r="E1020" s="1">
        <v>1.9791666666666665</v>
      </c>
      <c r="F1020" t="s">
        <v>1463</v>
      </c>
      <c r="G1020">
        <v>0</v>
      </c>
      <c r="H1020">
        <v>1081.4042999999999</v>
      </c>
      <c r="I1020">
        <v>2.5</v>
      </c>
      <c r="J1020">
        <v>1163.79</v>
      </c>
      <c r="K1020">
        <v>1.9580666999707901</v>
      </c>
      <c r="L1020">
        <v>1175.17</v>
      </c>
      <c r="M1020" t="s">
        <v>27</v>
      </c>
      <c r="N1020">
        <v>1</v>
      </c>
      <c r="O1020">
        <v>1281</v>
      </c>
      <c r="P1020">
        <v>1108</v>
      </c>
      <c r="Q1020">
        <v>0</v>
      </c>
      <c r="R1020">
        <v>1108</v>
      </c>
    </row>
    <row r="1021" spans="1:18" x14ac:dyDescent="0.3">
      <c r="A1021" s="5">
        <v>45963</v>
      </c>
      <c r="B1021" t="s">
        <v>1465</v>
      </c>
      <c r="C1021">
        <v>1</v>
      </c>
      <c r="D1021">
        <v>36</v>
      </c>
      <c r="E1021" s="1">
        <v>1.25</v>
      </c>
      <c r="F1021" t="s">
        <v>1466</v>
      </c>
      <c r="G1021">
        <v>0</v>
      </c>
      <c r="H1021">
        <v>1081.6686999999999</v>
      </c>
      <c r="I1021">
        <v>2.5</v>
      </c>
      <c r="J1021">
        <v>1163.79</v>
      </c>
      <c r="K1021">
        <v>1.9580666999707901</v>
      </c>
      <c r="L1021">
        <v>1175.17</v>
      </c>
      <c r="M1021" t="s">
        <v>27</v>
      </c>
      <c r="N1021">
        <v>1</v>
      </c>
      <c r="O1021">
        <v>1282</v>
      </c>
      <c r="P1021">
        <v>1109</v>
      </c>
      <c r="Q1021">
        <v>0</v>
      </c>
      <c r="R1021">
        <v>1109</v>
      </c>
    </row>
    <row r="1022" spans="1:18" x14ac:dyDescent="0.3">
      <c r="A1022" s="5">
        <v>45963</v>
      </c>
      <c r="B1022" t="s">
        <v>1467</v>
      </c>
      <c r="C1022">
        <v>28</v>
      </c>
      <c r="D1022">
        <v>36</v>
      </c>
      <c r="E1022" s="1">
        <v>1.9791666666666665</v>
      </c>
      <c r="F1022" t="s">
        <v>1468</v>
      </c>
      <c r="G1022">
        <v>1</v>
      </c>
      <c r="H1022">
        <v>1080.6619000000001</v>
      </c>
      <c r="I1022">
        <v>8.5</v>
      </c>
      <c r="J1022">
        <v>1163.79</v>
      </c>
      <c r="K1022">
        <v>6.6574267799006801</v>
      </c>
      <c r="L1022">
        <v>1237.07</v>
      </c>
      <c r="M1022" t="s">
        <v>27</v>
      </c>
      <c r="N1022">
        <v>1</v>
      </c>
      <c r="O1022">
        <v>1345</v>
      </c>
      <c r="P1022">
        <v>1173</v>
      </c>
      <c r="Q1022">
        <v>0</v>
      </c>
      <c r="R1022">
        <v>1173</v>
      </c>
    </row>
    <row r="1023" spans="1:18" x14ac:dyDescent="0.3">
      <c r="A1023" s="5">
        <v>45963</v>
      </c>
      <c r="B1023" t="s">
        <v>1469</v>
      </c>
      <c r="C1023">
        <v>3</v>
      </c>
      <c r="D1023">
        <v>36</v>
      </c>
      <c r="E1023" s="1">
        <v>1.9993055555555554</v>
      </c>
      <c r="F1023" t="s">
        <v>1470</v>
      </c>
      <c r="G1023">
        <v>0</v>
      </c>
      <c r="H1023">
        <v>1081.3371999999999</v>
      </c>
      <c r="I1023">
        <v>2.5</v>
      </c>
      <c r="J1023">
        <v>1163.79</v>
      </c>
      <c r="K1023">
        <v>1.9580666999707901</v>
      </c>
      <c r="L1023">
        <v>1120.69</v>
      </c>
      <c r="M1023" t="s">
        <v>27</v>
      </c>
      <c r="N1023">
        <v>1</v>
      </c>
      <c r="O1023">
        <v>1281</v>
      </c>
      <c r="P1023">
        <v>1108</v>
      </c>
      <c r="Q1023">
        <v>0</v>
      </c>
      <c r="R1023">
        <v>1108</v>
      </c>
    </row>
    <row r="1024" spans="1:18" x14ac:dyDescent="0.3">
      <c r="A1024" s="5">
        <v>45963</v>
      </c>
      <c r="B1024" t="s">
        <v>1471</v>
      </c>
      <c r="C1024">
        <v>30</v>
      </c>
      <c r="D1024">
        <v>36</v>
      </c>
      <c r="E1024" s="1">
        <v>1.9791666666666665</v>
      </c>
      <c r="F1024" t="s">
        <v>1472</v>
      </c>
      <c r="G1024">
        <v>0</v>
      </c>
      <c r="H1024">
        <v>1080.7191</v>
      </c>
      <c r="I1024">
        <v>2.5</v>
      </c>
      <c r="J1024">
        <v>1163.79</v>
      </c>
      <c r="K1024">
        <v>1.9580666999707901</v>
      </c>
      <c r="L1024">
        <v>1116.3800000000001</v>
      </c>
      <c r="M1024" t="s">
        <v>27</v>
      </c>
      <c r="N1024">
        <v>1</v>
      </c>
      <c r="O1024">
        <v>1281</v>
      </c>
      <c r="P1024">
        <v>1108</v>
      </c>
      <c r="Q1024">
        <v>0</v>
      </c>
      <c r="R1024">
        <v>1108</v>
      </c>
    </row>
    <row r="1025" spans="1:18" x14ac:dyDescent="0.3">
      <c r="A1025" s="5">
        <v>45963</v>
      </c>
      <c r="B1025" t="s">
        <v>1471</v>
      </c>
      <c r="C1025">
        <v>30</v>
      </c>
      <c r="D1025">
        <v>36</v>
      </c>
      <c r="E1025" s="1">
        <v>1.9791666666666665</v>
      </c>
      <c r="F1025" t="s">
        <v>1472</v>
      </c>
      <c r="G1025">
        <v>0</v>
      </c>
      <c r="H1025">
        <v>1080.7191</v>
      </c>
      <c r="I1025">
        <v>2.5</v>
      </c>
      <c r="J1025">
        <v>1163.79</v>
      </c>
      <c r="K1025">
        <v>1.9580666999707901</v>
      </c>
      <c r="L1025">
        <v>1116.3800000000001</v>
      </c>
      <c r="M1025" t="s">
        <v>27</v>
      </c>
      <c r="N1025">
        <v>1</v>
      </c>
      <c r="O1025">
        <v>1281</v>
      </c>
      <c r="P1025">
        <v>1108</v>
      </c>
      <c r="Q1025">
        <v>0</v>
      </c>
      <c r="R1025">
        <v>1108</v>
      </c>
    </row>
    <row r="1026" spans="1:18" x14ac:dyDescent="0.3">
      <c r="A1026" s="5">
        <v>45963</v>
      </c>
      <c r="B1026" t="s">
        <v>1471</v>
      </c>
      <c r="C1026">
        <v>30</v>
      </c>
      <c r="D1026">
        <v>36</v>
      </c>
      <c r="E1026" s="1">
        <v>1.9791666666666665</v>
      </c>
      <c r="F1026" t="s">
        <v>1472</v>
      </c>
      <c r="G1026">
        <v>0</v>
      </c>
      <c r="H1026">
        <v>1080.7191</v>
      </c>
      <c r="I1026">
        <v>2.5</v>
      </c>
      <c r="J1026">
        <v>1163.79</v>
      </c>
      <c r="K1026">
        <v>1.9580666999707901</v>
      </c>
      <c r="L1026">
        <v>1116.3800000000001</v>
      </c>
      <c r="M1026" t="s">
        <v>27</v>
      </c>
      <c r="N1026">
        <v>1</v>
      </c>
      <c r="O1026">
        <v>1281</v>
      </c>
      <c r="P1026">
        <v>1108</v>
      </c>
      <c r="Q1026">
        <v>0</v>
      </c>
      <c r="R1026">
        <v>1108</v>
      </c>
    </row>
    <row r="1027" spans="1:18" x14ac:dyDescent="0.3">
      <c r="A1027" s="5">
        <v>45963</v>
      </c>
      <c r="B1027" t="s">
        <v>1473</v>
      </c>
      <c r="C1027">
        <v>32</v>
      </c>
      <c r="D1027">
        <v>36</v>
      </c>
      <c r="E1027" s="1">
        <v>1.9791666666666665</v>
      </c>
      <c r="F1027" t="s">
        <v>1472</v>
      </c>
      <c r="G1027">
        <v>0</v>
      </c>
      <c r="H1027">
        <v>1080.6832999999999</v>
      </c>
      <c r="I1027">
        <v>2.5</v>
      </c>
      <c r="J1027">
        <v>1163.79</v>
      </c>
      <c r="K1027">
        <v>1.9580666999707901</v>
      </c>
      <c r="L1027">
        <v>609.91</v>
      </c>
      <c r="M1027" t="s">
        <v>20</v>
      </c>
      <c r="N1027">
        <v>1</v>
      </c>
      <c r="O1027">
        <v>1281</v>
      </c>
      <c r="P1027">
        <v>1108</v>
      </c>
      <c r="Q1027">
        <v>0.5</v>
      </c>
      <c r="R1027">
        <v>554</v>
      </c>
    </row>
    <row r="1028" spans="1:18" x14ac:dyDescent="0.3">
      <c r="A1028" s="5">
        <v>45963</v>
      </c>
      <c r="B1028" t="s">
        <v>1473</v>
      </c>
      <c r="C1028">
        <v>32</v>
      </c>
      <c r="D1028">
        <v>36</v>
      </c>
      <c r="E1028" s="1">
        <v>1.9791666666666665</v>
      </c>
      <c r="F1028" t="s">
        <v>1472</v>
      </c>
      <c r="G1028">
        <v>0</v>
      </c>
      <c r="H1028">
        <v>1080.6832999999999</v>
      </c>
      <c r="I1028">
        <v>2.5</v>
      </c>
      <c r="J1028">
        <v>1163.79</v>
      </c>
      <c r="K1028">
        <v>1.9580666999707901</v>
      </c>
      <c r="L1028">
        <v>609.91</v>
      </c>
      <c r="M1028" t="s">
        <v>20</v>
      </c>
      <c r="N1028">
        <v>1</v>
      </c>
      <c r="O1028">
        <v>1281</v>
      </c>
      <c r="P1028">
        <v>1108</v>
      </c>
      <c r="Q1028">
        <v>0.5</v>
      </c>
      <c r="R1028">
        <v>554</v>
      </c>
    </row>
    <row r="1029" spans="1:18" x14ac:dyDescent="0.3">
      <c r="A1029" s="5">
        <v>45963</v>
      </c>
      <c r="B1029" t="s">
        <v>1473</v>
      </c>
      <c r="C1029">
        <v>32</v>
      </c>
      <c r="D1029">
        <v>36</v>
      </c>
      <c r="E1029" s="1">
        <v>1.9791666666666665</v>
      </c>
      <c r="F1029" t="s">
        <v>1472</v>
      </c>
      <c r="G1029">
        <v>0</v>
      </c>
      <c r="H1029">
        <v>1080.6832999999999</v>
      </c>
      <c r="I1029">
        <v>2.5</v>
      </c>
      <c r="J1029">
        <v>1163.79</v>
      </c>
      <c r="K1029">
        <v>1.9580666999707901</v>
      </c>
      <c r="L1029">
        <v>609.91</v>
      </c>
      <c r="M1029" t="s">
        <v>20</v>
      </c>
      <c r="N1029">
        <v>1</v>
      </c>
      <c r="O1029">
        <v>1281</v>
      </c>
      <c r="P1029">
        <v>1108</v>
      </c>
      <c r="Q1029">
        <v>0.5</v>
      </c>
      <c r="R1029">
        <v>554</v>
      </c>
    </row>
    <row r="1030" spans="1:18" x14ac:dyDescent="0.3">
      <c r="A1030" s="5">
        <v>45963</v>
      </c>
      <c r="B1030" t="s">
        <v>1474</v>
      </c>
      <c r="C1030">
        <v>31</v>
      </c>
      <c r="D1030">
        <v>36</v>
      </c>
      <c r="E1030" s="1">
        <v>1.9791666666666665</v>
      </c>
      <c r="F1030" t="s">
        <v>1472</v>
      </c>
      <c r="G1030">
        <v>0</v>
      </c>
      <c r="H1030">
        <v>1080.7012</v>
      </c>
      <c r="I1030">
        <v>2.5</v>
      </c>
      <c r="J1030">
        <v>1163.79</v>
      </c>
      <c r="K1030">
        <v>1.9580666999707901</v>
      </c>
      <c r="L1030">
        <v>609.91</v>
      </c>
      <c r="M1030" t="s">
        <v>20</v>
      </c>
      <c r="N1030">
        <v>1</v>
      </c>
      <c r="O1030">
        <v>1281</v>
      </c>
      <c r="P1030">
        <v>1108</v>
      </c>
      <c r="Q1030">
        <v>0.5</v>
      </c>
      <c r="R1030">
        <v>554</v>
      </c>
    </row>
    <row r="1031" spans="1:18" x14ac:dyDescent="0.3">
      <c r="A1031" s="5">
        <v>45963</v>
      </c>
      <c r="B1031" t="s">
        <v>1474</v>
      </c>
      <c r="C1031">
        <v>31</v>
      </c>
      <c r="D1031">
        <v>36</v>
      </c>
      <c r="E1031" s="1">
        <v>1.9791666666666665</v>
      </c>
      <c r="F1031" t="s">
        <v>1472</v>
      </c>
      <c r="G1031">
        <v>0</v>
      </c>
      <c r="H1031">
        <v>1080.7012</v>
      </c>
      <c r="I1031">
        <v>2.5</v>
      </c>
      <c r="J1031">
        <v>1163.79</v>
      </c>
      <c r="K1031">
        <v>1.9580666999707901</v>
      </c>
      <c r="L1031">
        <v>609.91</v>
      </c>
      <c r="M1031" t="s">
        <v>20</v>
      </c>
      <c r="N1031">
        <v>1</v>
      </c>
      <c r="O1031">
        <v>1281</v>
      </c>
      <c r="P1031">
        <v>1108</v>
      </c>
      <c r="Q1031">
        <v>0.5</v>
      </c>
      <c r="R1031">
        <v>554</v>
      </c>
    </row>
    <row r="1032" spans="1:18" x14ac:dyDescent="0.3">
      <c r="A1032" s="5">
        <v>45963</v>
      </c>
      <c r="B1032" t="s">
        <v>1474</v>
      </c>
      <c r="C1032">
        <v>31</v>
      </c>
      <c r="D1032">
        <v>36</v>
      </c>
      <c r="E1032" s="1">
        <v>1.9791666666666665</v>
      </c>
      <c r="F1032" t="s">
        <v>1472</v>
      </c>
      <c r="G1032">
        <v>0</v>
      </c>
      <c r="H1032">
        <v>1080.7012</v>
      </c>
      <c r="I1032">
        <v>2.5</v>
      </c>
      <c r="J1032">
        <v>1163.79</v>
      </c>
      <c r="K1032">
        <v>1.9580666999707901</v>
      </c>
      <c r="L1032">
        <v>609.91</v>
      </c>
      <c r="M1032" t="s">
        <v>20</v>
      </c>
      <c r="N1032">
        <v>1</v>
      </c>
      <c r="O1032">
        <v>1281</v>
      </c>
      <c r="P1032">
        <v>1108</v>
      </c>
      <c r="Q1032">
        <v>0.5</v>
      </c>
      <c r="R1032">
        <v>554</v>
      </c>
    </row>
    <row r="1033" spans="1:18" x14ac:dyDescent="0.3">
      <c r="A1033" s="5">
        <v>45963</v>
      </c>
      <c r="B1033" t="s">
        <v>1475</v>
      </c>
      <c r="C1033">
        <v>27</v>
      </c>
      <c r="D1033">
        <v>36</v>
      </c>
      <c r="E1033" s="1">
        <v>1.0833333333333333</v>
      </c>
      <c r="F1033" t="s">
        <v>1476</v>
      </c>
      <c r="G1033">
        <v>4</v>
      </c>
      <c r="H1033">
        <v>1081.0582999999999</v>
      </c>
      <c r="I1033">
        <v>7</v>
      </c>
      <c r="J1033">
        <v>1163.79</v>
      </c>
      <c r="K1033">
        <v>5.4825867599182097</v>
      </c>
      <c r="L1033">
        <v>1237.07</v>
      </c>
      <c r="M1033" t="s">
        <v>27</v>
      </c>
      <c r="N1033">
        <v>1</v>
      </c>
      <c r="O1033">
        <v>1330</v>
      </c>
      <c r="P1033">
        <v>1157</v>
      </c>
      <c r="Q1033">
        <v>0</v>
      </c>
      <c r="R1033">
        <v>1157</v>
      </c>
    </row>
    <row r="1034" spans="1:18" x14ac:dyDescent="0.3">
      <c r="A1034" s="5">
        <v>45963</v>
      </c>
      <c r="B1034" t="s">
        <v>1477</v>
      </c>
      <c r="C1034">
        <v>9</v>
      </c>
      <c r="D1034">
        <v>36</v>
      </c>
      <c r="E1034" s="1">
        <v>1.0833333333333333</v>
      </c>
      <c r="F1034" t="s">
        <v>1478</v>
      </c>
      <c r="G1034">
        <v>4</v>
      </c>
      <c r="H1034">
        <v>1081.5144</v>
      </c>
      <c r="I1034">
        <v>7</v>
      </c>
      <c r="J1034">
        <v>1163.79</v>
      </c>
      <c r="K1034">
        <v>5.4825867599182097</v>
      </c>
      <c r="L1034">
        <v>1237.07</v>
      </c>
      <c r="M1034" t="s">
        <v>27</v>
      </c>
      <c r="N1034">
        <v>1</v>
      </c>
      <c r="O1034">
        <v>1330</v>
      </c>
      <c r="P1034">
        <v>1157</v>
      </c>
      <c r="Q1034">
        <v>0</v>
      </c>
      <c r="R1034">
        <v>1157</v>
      </c>
    </row>
    <row r="1035" spans="1:18" x14ac:dyDescent="0.3">
      <c r="A1035" s="5">
        <v>45964</v>
      </c>
      <c r="B1035" t="s">
        <v>1479</v>
      </c>
      <c r="C1035">
        <v>28</v>
      </c>
      <c r="D1035">
        <v>36</v>
      </c>
      <c r="E1035" s="1">
        <v>1.0833333333333333</v>
      </c>
      <c r="F1035" t="s">
        <v>1480</v>
      </c>
      <c r="G1035">
        <v>4</v>
      </c>
      <c r="H1035">
        <v>1081.0392999999999</v>
      </c>
      <c r="I1035">
        <v>7</v>
      </c>
      <c r="J1035">
        <v>1163.79</v>
      </c>
      <c r="K1035">
        <v>5.4825867599182097</v>
      </c>
      <c r="L1035">
        <v>1237.07</v>
      </c>
      <c r="M1035" t="s">
        <v>27</v>
      </c>
      <c r="N1035">
        <v>1</v>
      </c>
      <c r="O1035">
        <v>1330</v>
      </c>
      <c r="P1035">
        <v>1157</v>
      </c>
      <c r="Q1035">
        <v>0</v>
      </c>
      <c r="R1035">
        <v>1157</v>
      </c>
    </row>
    <row r="1036" spans="1:18" x14ac:dyDescent="0.3">
      <c r="A1036" s="5">
        <v>45964</v>
      </c>
      <c r="B1036" t="s">
        <v>1481</v>
      </c>
      <c r="C1036">
        <v>29</v>
      </c>
      <c r="D1036">
        <v>36</v>
      </c>
      <c r="E1036" s="1">
        <v>1.0833333333333333</v>
      </c>
      <c r="F1036" t="s">
        <v>1482</v>
      </c>
      <c r="G1036">
        <v>4</v>
      </c>
      <c r="H1036">
        <v>1081.0214000000001</v>
      </c>
      <c r="I1036">
        <v>7</v>
      </c>
      <c r="J1036">
        <v>1163.79</v>
      </c>
      <c r="K1036">
        <v>5.4825867599182097</v>
      </c>
      <c r="L1036">
        <v>1237.07</v>
      </c>
      <c r="M1036" t="s">
        <v>27</v>
      </c>
      <c r="N1036">
        <v>1</v>
      </c>
      <c r="O1036">
        <v>1330</v>
      </c>
      <c r="P1036">
        <v>1157</v>
      </c>
      <c r="Q1036">
        <v>0</v>
      </c>
      <c r="R1036">
        <v>1157</v>
      </c>
    </row>
    <row r="1037" spans="1:18" x14ac:dyDescent="0.3">
      <c r="A1037" s="5">
        <v>45964</v>
      </c>
      <c r="B1037" t="s">
        <v>1483</v>
      </c>
      <c r="C1037">
        <v>14</v>
      </c>
      <c r="D1037">
        <v>36</v>
      </c>
      <c r="E1037" s="1">
        <v>1.0833333333333333</v>
      </c>
      <c r="F1037" t="s">
        <v>1484</v>
      </c>
      <c r="G1037">
        <v>4</v>
      </c>
      <c r="H1037">
        <v>1081.4237000000001</v>
      </c>
      <c r="I1037">
        <v>7</v>
      </c>
      <c r="J1037">
        <v>1163.79</v>
      </c>
      <c r="K1037">
        <v>5.4825867599182097</v>
      </c>
      <c r="L1037">
        <v>1237.07</v>
      </c>
      <c r="M1037" t="s">
        <v>27</v>
      </c>
      <c r="N1037">
        <v>1</v>
      </c>
      <c r="O1037">
        <v>1330</v>
      </c>
      <c r="P1037">
        <v>1157</v>
      </c>
      <c r="Q1037">
        <v>0</v>
      </c>
      <c r="R1037">
        <v>1157</v>
      </c>
    </row>
    <row r="1038" spans="1:18" x14ac:dyDescent="0.3">
      <c r="A1038" s="5">
        <v>45964</v>
      </c>
      <c r="B1038" t="s">
        <v>1485</v>
      </c>
      <c r="C1038">
        <v>8</v>
      </c>
      <c r="D1038">
        <v>36</v>
      </c>
      <c r="E1038" s="1">
        <v>1.0833333333333333</v>
      </c>
      <c r="F1038" t="s">
        <v>1486</v>
      </c>
      <c r="G1038">
        <v>4</v>
      </c>
      <c r="H1038">
        <v>1081.5315000000001</v>
      </c>
      <c r="I1038">
        <v>7</v>
      </c>
      <c r="J1038">
        <v>1163.79</v>
      </c>
      <c r="K1038">
        <v>5.4825867599182097</v>
      </c>
      <c r="L1038">
        <v>1237.07</v>
      </c>
      <c r="M1038" t="s">
        <v>27</v>
      </c>
      <c r="N1038">
        <v>1</v>
      </c>
      <c r="O1038">
        <v>1330</v>
      </c>
      <c r="P1038">
        <v>1157</v>
      </c>
      <c r="Q1038">
        <v>0</v>
      </c>
      <c r="R1038">
        <v>1157</v>
      </c>
    </row>
    <row r="1039" spans="1:18" x14ac:dyDescent="0.3">
      <c r="A1039" s="5">
        <v>45964</v>
      </c>
      <c r="B1039" t="s">
        <v>1487</v>
      </c>
      <c r="C1039">
        <v>25</v>
      </c>
      <c r="D1039">
        <v>36</v>
      </c>
      <c r="E1039" s="1">
        <v>1.0833333333333333</v>
      </c>
      <c r="F1039" t="s">
        <v>1488</v>
      </c>
      <c r="G1039">
        <v>4</v>
      </c>
      <c r="H1039">
        <v>1081.0934999999999</v>
      </c>
      <c r="I1039">
        <v>7</v>
      </c>
      <c r="J1039">
        <v>1163.79</v>
      </c>
      <c r="K1039">
        <v>5.4825867599182097</v>
      </c>
      <c r="L1039">
        <v>1237.07</v>
      </c>
      <c r="M1039" t="s">
        <v>27</v>
      </c>
      <c r="N1039">
        <v>1</v>
      </c>
      <c r="O1039">
        <v>1330</v>
      </c>
      <c r="P1039">
        <v>1157</v>
      </c>
      <c r="Q1039">
        <v>0</v>
      </c>
      <c r="R1039">
        <v>1157</v>
      </c>
    </row>
    <row r="1040" spans="1:18" x14ac:dyDescent="0.3">
      <c r="A1040" s="5">
        <v>45964</v>
      </c>
      <c r="B1040" t="s">
        <v>1489</v>
      </c>
      <c r="C1040">
        <v>30</v>
      </c>
      <c r="D1040">
        <v>36</v>
      </c>
      <c r="E1040" s="1">
        <v>1.25</v>
      </c>
      <c r="F1040" t="s">
        <v>1490</v>
      </c>
      <c r="G1040">
        <v>4</v>
      </c>
      <c r="H1040">
        <v>1081.0006000000001</v>
      </c>
      <c r="I1040">
        <v>7</v>
      </c>
      <c r="J1040">
        <v>1163.79</v>
      </c>
      <c r="K1040">
        <v>5.4825867599182097</v>
      </c>
      <c r="L1040">
        <v>1237.07</v>
      </c>
      <c r="M1040" t="s">
        <v>27</v>
      </c>
      <c r="N1040">
        <v>1</v>
      </c>
      <c r="O1040">
        <v>1330</v>
      </c>
      <c r="P1040">
        <v>1157</v>
      </c>
      <c r="Q1040">
        <v>0</v>
      </c>
      <c r="R1040">
        <v>1157</v>
      </c>
    </row>
    <row r="1041" spans="1:18" x14ac:dyDescent="0.3">
      <c r="A1041" s="5">
        <v>45964</v>
      </c>
      <c r="B1041" t="s">
        <v>1491</v>
      </c>
      <c r="C1041">
        <v>31</v>
      </c>
      <c r="D1041">
        <v>36</v>
      </c>
      <c r="E1041" s="1">
        <v>1.25</v>
      </c>
      <c r="F1041" t="s">
        <v>1492</v>
      </c>
      <c r="G1041">
        <v>4</v>
      </c>
      <c r="H1041">
        <v>1080.9828</v>
      </c>
      <c r="I1041">
        <v>7</v>
      </c>
      <c r="J1041">
        <v>1163.79</v>
      </c>
      <c r="K1041">
        <v>5.4825867599182097</v>
      </c>
      <c r="L1041">
        <v>1237.07</v>
      </c>
      <c r="M1041" t="s">
        <v>27</v>
      </c>
      <c r="N1041">
        <v>1</v>
      </c>
      <c r="O1041">
        <v>1330</v>
      </c>
      <c r="P1041">
        <v>1157</v>
      </c>
      <c r="Q1041">
        <v>0</v>
      </c>
      <c r="R1041">
        <v>1157</v>
      </c>
    </row>
    <row r="1042" spans="1:18" x14ac:dyDescent="0.3">
      <c r="A1042" s="5">
        <v>45964</v>
      </c>
      <c r="B1042" t="s">
        <v>1493</v>
      </c>
      <c r="C1042">
        <v>23</v>
      </c>
      <c r="D1042">
        <v>36</v>
      </c>
      <c r="E1042" s="1">
        <v>1.0833333333333333</v>
      </c>
      <c r="F1042" t="s">
        <v>1494</v>
      </c>
      <c r="G1042">
        <v>5</v>
      </c>
      <c r="H1042">
        <v>1081.1418000000001</v>
      </c>
      <c r="I1042">
        <v>0</v>
      </c>
      <c r="J1042">
        <v>1163.79</v>
      </c>
      <c r="K1042">
        <v>0</v>
      </c>
      <c r="L1042">
        <v>1175.17</v>
      </c>
      <c r="M1042" t="s">
        <v>27</v>
      </c>
      <c r="N1042">
        <v>1</v>
      </c>
      <c r="O1042">
        <v>1254</v>
      </c>
      <c r="P1042">
        <v>1081</v>
      </c>
      <c r="Q1042">
        <v>0</v>
      </c>
      <c r="R1042">
        <v>1081</v>
      </c>
    </row>
    <row r="1043" spans="1:18" x14ac:dyDescent="0.3">
      <c r="A1043" s="5">
        <v>45964</v>
      </c>
      <c r="B1043" t="s">
        <v>1495</v>
      </c>
      <c r="C1043">
        <v>34</v>
      </c>
      <c r="D1043">
        <v>36</v>
      </c>
      <c r="E1043" s="1">
        <v>1.0833333333333333</v>
      </c>
      <c r="F1043" t="s">
        <v>1496</v>
      </c>
      <c r="G1043">
        <v>5</v>
      </c>
      <c r="H1043">
        <v>1080.9440999999999</v>
      </c>
      <c r="I1043">
        <v>0</v>
      </c>
      <c r="J1043">
        <v>1163.79</v>
      </c>
      <c r="K1043">
        <v>0</v>
      </c>
      <c r="L1043">
        <v>1175.17</v>
      </c>
      <c r="M1043" t="s">
        <v>27</v>
      </c>
      <c r="N1043">
        <v>1</v>
      </c>
      <c r="O1043">
        <v>1254</v>
      </c>
      <c r="P1043">
        <v>1081</v>
      </c>
      <c r="Q1043">
        <v>0</v>
      </c>
      <c r="R1043">
        <v>1081</v>
      </c>
    </row>
    <row r="1044" spans="1:18" x14ac:dyDescent="0.3">
      <c r="A1044" s="5">
        <v>45964</v>
      </c>
      <c r="B1044" t="s">
        <v>1497</v>
      </c>
      <c r="C1044">
        <v>31</v>
      </c>
      <c r="D1044">
        <v>36</v>
      </c>
      <c r="E1044" s="1">
        <v>1.0833333333333333</v>
      </c>
      <c r="F1044" t="s">
        <v>1496</v>
      </c>
      <c r="G1044">
        <v>5</v>
      </c>
      <c r="H1044">
        <v>1080.9979000000001</v>
      </c>
      <c r="I1044">
        <v>0</v>
      </c>
      <c r="J1044">
        <v>1163.79</v>
      </c>
      <c r="K1044">
        <v>0</v>
      </c>
      <c r="L1044">
        <v>1175.17</v>
      </c>
      <c r="M1044" t="s">
        <v>27</v>
      </c>
      <c r="N1044">
        <v>1</v>
      </c>
      <c r="O1044">
        <v>1254</v>
      </c>
      <c r="P1044">
        <v>1081</v>
      </c>
      <c r="Q1044">
        <v>0</v>
      </c>
      <c r="R1044">
        <v>1081</v>
      </c>
    </row>
    <row r="1045" spans="1:18" x14ac:dyDescent="0.3">
      <c r="A1045" s="5">
        <v>45964</v>
      </c>
      <c r="B1045" t="s">
        <v>1498</v>
      </c>
      <c r="C1045">
        <v>22</v>
      </c>
      <c r="D1045">
        <v>36</v>
      </c>
      <c r="E1045" s="1">
        <v>1.0833333333333333</v>
      </c>
      <c r="F1045" t="s">
        <v>1499</v>
      </c>
      <c r="G1045">
        <v>5</v>
      </c>
      <c r="H1045">
        <v>1081.1596999999999</v>
      </c>
      <c r="I1045">
        <v>0</v>
      </c>
      <c r="J1045">
        <v>1163.79</v>
      </c>
      <c r="K1045">
        <v>0</v>
      </c>
      <c r="L1045">
        <v>1175.17</v>
      </c>
      <c r="M1045" t="s">
        <v>27</v>
      </c>
      <c r="N1045">
        <v>1</v>
      </c>
      <c r="O1045">
        <v>1254</v>
      </c>
      <c r="P1045">
        <v>1081</v>
      </c>
      <c r="Q1045">
        <v>0</v>
      </c>
      <c r="R1045">
        <v>1081</v>
      </c>
    </row>
    <row r="1046" spans="1:18" x14ac:dyDescent="0.3">
      <c r="A1046" s="5">
        <v>45964</v>
      </c>
      <c r="B1046" t="s">
        <v>1500</v>
      </c>
      <c r="C1046">
        <v>13</v>
      </c>
      <c r="D1046">
        <v>36</v>
      </c>
      <c r="E1046" s="1">
        <v>1.25</v>
      </c>
      <c r="F1046" t="s">
        <v>1501</v>
      </c>
      <c r="G1046">
        <v>1</v>
      </c>
      <c r="H1046">
        <v>1081.4373000000001</v>
      </c>
      <c r="I1046">
        <v>8.5</v>
      </c>
      <c r="J1046">
        <v>1163.79</v>
      </c>
      <c r="K1046">
        <v>6.6574267799006801</v>
      </c>
      <c r="L1046">
        <v>1237.07</v>
      </c>
      <c r="M1046" t="s">
        <v>27</v>
      </c>
      <c r="N1046">
        <v>1</v>
      </c>
      <c r="O1046">
        <v>1346</v>
      </c>
      <c r="P1046">
        <v>1173</v>
      </c>
      <c r="Q1046">
        <v>0</v>
      </c>
      <c r="R1046">
        <v>1173</v>
      </c>
    </row>
    <row r="1047" spans="1:18" x14ac:dyDescent="0.3">
      <c r="A1047" s="5">
        <v>45964</v>
      </c>
      <c r="B1047" t="s">
        <v>1502</v>
      </c>
      <c r="C1047">
        <v>21</v>
      </c>
      <c r="D1047">
        <v>36</v>
      </c>
      <c r="E1047" s="1">
        <v>1.25</v>
      </c>
      <c r="F1047" t="s">
        <v>1503</v>
      </c>
      <c r="G1047">
        <v>5</v>
      </c>
      <c r="H1047">
        <v>1081.306</v>
      </c>
      <c r="I1047">
        <v>0</v>
      </c>
      <c r="J1047">
        <v>1163.79</v>
      </c>
      <c r="K1047">
        <v>0</v>
      </c>
      <c r="L1047">
        <v>1175.17</v>
      </c>
      <c r="M1047" t="s">
        <v>27</v>
      </c>
      <c r="N1047">
        <v>1</v>
      </c>
      <c r="O1047">
        <v>1254</v>
      </c>
      <c r="P1047">
        <v>1081</v>
      </c>
      <c r="Q1047">
        <v>0</v>
      </c>
      <c r="R1047">
        <v>1081</v>
      </c>
    </row>
    <row r="1048" spans="1:18" x14ac:dyDescent="0.3">
      <c r="A1048" s="5">
        <v>45964</v>
      </c>
      <c r="B1048" t="s">
        <v>1504</v>
      </c>
      <c r="C1048">
        <v>14</v>
      </c>
      <c r="D1048">
        <v>36</v>
      </c>
      <c r="E1048" s="1">
        <v>1.25</v>
      </c>
      <c r="F1048" t="s">
        <v>1505</v>
      </c>
      <c r="G1048">
        <v>1</v>
      </c>
      <c r="H1048">
        <v>1081.4194</v>
      </c>
      <c r="I1048">
        <v>8.5</v>
      </c>
      <c r="J1048">
        <v>1163.79</v>
      </c>
      <c r="K1048">
        <v>6.6574267799006801</v>
      </c>
      <c r="L1048">
        <v>1237.07</v>
      </c>
      <c r="M1048" t="s">
        <v>27</v>
      </c>
      <c r="N1048">
        <v>1</v>
      </c>
      <c r="O1048">
        <v>1346</v>
      </c>
      <c r="P1048">
        <v>1173</v>
      </c>
      <c r="Q1048">
        <v>0</v>
      </c>
      <c r="R1048">
        <v>1173</v>
      </c>
    </row>
    <row r="1049" spans="1:18" x14ac:dyDescent="0.3">
      <c r="A1049" s="5">
        <v>45964</v>
      </c>
      <c r="B1049" t="s">
        <v>1506</v>
      </c>
      <c r="C1049">
        <v>10</v>
      </c>
      <c r="D1049">
        <v>36</v>
      </c>
      <c r="E1049" s="1">
        <v>1.25</v>
      </c>
      <c r="F1049" t="s">
        <v>1507</v>
      </c>
      <c r="G1049">
        <v>1</v>
      </c>
      <c r="H1049">
        <v>1081.4903999999999</v>
      </c>
      <c r="I1049">
        <v>8.5</v>
      </c>
      <c r="J1049">
        <v>1163.79</v>
      </c>
      <c r="K1049">
        <v>6.6574267799006801</v>
      </c>
      <c r="L1049">
        <v>1237.07</v>
      </c>
      <c r="M1049" t="s">
        <v>27</v>
      </c>
      <c r="N1049">
        <v>1</v>
      </c>
      <c r="O1049">
        <v>1346</v>
      </c>
      <c r="P1049">
        <v>1173</v>
      </c>
      <c r="Q1049">
        <v>0</v>
      </c>
      <c r="R1049">
        <v>1173</v>
      </c>
    </row>
    <row r="1050" spans="1:18" x14ac:dyDescent="0.3">
      <c r="A1050" s="5">
        <v>45964</v>
      </c>
      <c r="B1050" t="s">
        <v>1508</v>
      </c>
      <c r="C1050">
        <v>32</v>
      </c>
      <c r="D1050">
        <v>36</v>
      </c>
      <c r="E1050" s="1">
        <v>1.25</v>
      </c>
      <c r="F1050" t="s">
        <v>1509</v>
      </c>
      <c r="G1050">
        <v>3</v>
      </c>
      <c r="H1050">
        <v>1080.9622999999999</v>
      </c>
      <c r="I1050">
        <v>10</v>
      </c>
      <c r="J1050">
        <v>1163.79</v>
      </c>
      <c r="K1050">
        <v>7.8322667998831603</v>
      </c>
      <c r="L1050">
        <v>618.53</v>
      </c>
      <c r="M1050" t="s">
        <v>20</v>
      </c>
      <c r="N1050">
        <v>1</v>
      </c>
      <c r="O1050">
        <v>1362</v>
      </c>
      <c r="P1050">
        <v>1189</v>
      </c>
      <c r="Q1050">
        <v>0.5</v>
      </c>
      <c r="R1050">
        <v>594.5</v>
      </c>
    </row>
    <row r="1051" spans="1:18" x14ac:dyDescent="0.3">
      <c r="A1051" s="5">
        <v>45964</v>
      </c>
      <c r="B1051" t="s">
        <v>1510</v>
      </c>
      <c r="C1051">
        <v>27</v>
      </c>
      <c r="D1051">
        <v>36</v>
      </c>
      <c r="E1051" s="1">
        <v>1.25</v>
      </c>
      <c r="F1051" t="s">
        <v>1511</v>
      </c>
      <c r="G1051">
        <v>3</v>
      </c>
      <c r="H1051">
        <v>1081.0522000000001</v>
      </c>
      <c r="I1051">
        <v>10</v>
      </c>
      <c r="J1051">
        <v>1163.79</v>
      </c>
      <c r="K1051">
        <v>7.8322667998831603</v>
      </c>
      <c r="L1051">
        <v>618.53</v>
      </c>
      <c r="M1051" t="s">
        <v>20</v>
      </c>
      <c r="N1051">
        <v>1</v>
      </c>
      <c r="O1051">
        <v>1362</v>
      </c>
      <c r="P1051">
        <v>1189</v>
      </c>
      <c r="Q1051">
        <v>0.5</v>
      </c>
      <c r="R1051">
        <v>594.5</v>
      </c>
    </row>
    <row r="1052" spans="1:18" x14ac:dyDescent="0.3">
      <c r="A1052" s="5">
        <v>45964</v>
      </c>
      <c r="B1052" t="s">
        <v>1512</v>
      </c>
      <c r="C1052">
        <v>36</v>
      </c>
      <c r="D1052">
        <v>36</v>
      </c>
      <c r="E1052" s="1">
        <v>1.25</v>
      </c>
      <c r="F1052" t="s">
        <v>1513</v>
      </c>
      <c r="G1052">
        <v>4</v>
      </c>
      <c r="H1052">
        <v>1080.8905</v>
      </c>
      <c r="I1052">
        <v>7</v>
      </c>
      <c r="J1052">
        <v>1163.79</v>
      </c>
      <c r="K1052">
        <v>5.4825867599182097</v>
      </c>
      <c r="L1052">
        <v>1237.07</v>
      </c>
      <c r="M1052" t="s">
        <v>27</v>
      </c>
      <c r="N1052">
        <v>1</v>
      </c>
      <c r="O1052">
        <v>1329</v>
      </c>
      <c r="P1052">
        <v>1157</v>
      </c>
      <c r="Q1052">
        <v>0</v>
      </c>
      <c r="R1052">
        <v>1157</v>
      </c>
    </row>
    <row r="1053" spans="1:18" x14ac:dyDescent="0.3">
      <c r="A1053" s="5">
        <v>45964</v>
      </c>
      <c r="B1053" t="s">
        <v>1514</v>
      </c>
      <c r="C1053">
        <v>17</v>
      </c>
      <c r="D1053">
        <v>36</v>
      </c>
      <c r="E1053" s="1">
        <v>1.25</v>
      </c>
      <c r="F1053" t="s">
        <v>1515</v>
      </c>
      <c r="G1053">
        <v>1</v>
      </c>
      <c r="H1053">
        <v>1081.3646000000001</v>
      </c>
      <c r="I1053">
        <v>8.5</v>
      </c>
      <c r="J1053">
        <v>1163.79</v>
      </c>
      <c r="K1053">
        <v>6.6574267799006801</v>
      </c>
      <c r="L1053">
        <v>1237.07</v>
      </c>
      <c r="M1053" t="s">
        <v>27</v>
      </c>
      <c r="N1053">
        <v>1</v>
      </c>
      <c r="O1053">
        <v>1346</v>
      </c>
      <c r="P1053">
        <v>1173</v>
      </c>
      <c r="Q1053">
        <v>0</v>
      </c>
      <c r="R1053">
        <v>1173</v>
      </c>
    </row>
    <row r="1054" spans="1:18" x14ac:dyDescent="0.3">
      <c r="A1054" s="5">
        <v>45964</v>
      </c>
      <c r="B1054" t="s">
        <v>1516</v>
      </c>
      <c r="C1054">
        <v>35</v>
      </c>
      <c r="D1054">
        <v>36</v>
      </c>
      <c r="E1054" s="1">
        <v>1.25</v>
      </c>
      <c r="F1054" t="s">
        <v>1517</v>
      </c>
      <c r="G1054">
        <v>5</v>
      </c>
      <c r="H1054">
        <v>1080.9078</v>
      </c>
      <c r="I1054">
        <v>0</v>
      </c>
      <c r="J1054">
        <v>1163.79</v>
      </c>
      <c r="K1054">
        <v>0</v>
      </c>
      <c r="L1054">
        <v>989.65</v>
      </c>
      <c r="M1054" t="s">
        <v>44</v>
      </c>
      <c r="N1054">
        <v>1</v>
      </c>
      <c r="O1054">
        <v>1254</v>
      </c>
      <c r="P1054">
        <v>1081</v>
      </c>
      <c r="Q1054">
        <v>0</v>
      </c>
      <c r="R1054">
        <v>1081</v>
      </c>
    </row>
    <row r="1055" spans="1:18" x14ac:dyDescent="0.3">
      <c r="A1055" s="5">
        <v>45964</v>
      </c>
      <c r="B1055" t="s">
        <v>1518</v>
      </c>
      <c r="C1055">
        <v>11</v>
      </c>
      <c r="D1055">
        <v>36</v>
      </c>
      <c r="E1055" s="1">
        <v>1.25</v>
      </c>
      <c r="F1055" t="s">
        <v>1519</v>
      </c>
      <c r="G1055">
        <v>1</v>
      </c>
      <c r="H1055">
        <v>1081.4717000000001</v>
      </c>
      <c r="I1055">
        <v>8.5</v>
      </c>
      <c r="J1055">
        <v>1163.79</v>
      </c>
      <c r="K1055">
        <v>6.6574267799006801</v>
      </c>
      <c r="L1055">
        <v>1237.07</v>
      </c>
      <c r="M1055" t="s">
        <v>27</v>
      </c>
      <c r="N1055">
        <v>1</v>
      </c>
      <c r="O1055">
        <v>1346</v>
      </c>
      <c r="P1055">
        <v>1173</v>
      </c>
      <c r="Q1055">
        <v>0</v>
      </c>
      <c r="R1055">
        <v>1173</v>
      </c>
    </row>
    <row r="1056" spans="1:18" x14ac:dyDescent="0.3">
      <c r="A1056" s="5">
        <v>45964</v>
      </c>
      <c r="B1056" t="s">
        <v>1520</v>
      </c>
      <c r="C1056">
        <v>26</v>
      </c>
      <c r="D1056">
        <v>36</v>
      </c>
      <c r="E1056" s="1">
        <v>1.25</v>
      </c>
      <c r="F1056" t="s">
        <v>1521</v>
      </c>
      <c r="G1056">
        <v>1</v>
      </c>
      <c r="H1056">
        <v>1081.0696</v>
      </c>
      <c r="I1056">
        <v>8.5</v>
      </c>
      <c r="J1056">
        <v>1163.79</v>
      </c>
      <c r="K1056">
        <v>6.6574267799006801</v>
      </c>
      <c r="L1056">
        <v>1237.07</v>
      </c>
      <c r="M1056" t="s">
        <v>27</v>
      </c>
      <c r="N1056">
        <v>1</v>
      </c>
      <c r="O1056">
        <v>1346</v>
      </c>
      <c r="P1056">
        <v>1173</v>
      </c>
      <c r="Q1056">
        <v>0</v>
      </c>
      <c r="R1056">
        <v>1173</v>
      </c>
    </row>
    <row r="1057" spans="1:18" x14ac:dyDescent="0.3">
      <c r="A1057" s="5">
        <v>45964</v>
      </c>
      <c r="B1057" t="s">
        <v>1522</v>
      </c>
      <c r="C1057">
        <v>28</v>
      </c>
      <c r="D1057">
        <v>36</v>
      </c>
      <c r="E1057" s="1">
        <v>1.25</v>
      </c>
      <c r="F1057" t="s">
        <v>1523</v>
      </c>
      <c r="G1057">
        <v>1</v>
      </c>
      <c r="H1057">
        <v>1081.0336</v>
      </c>
      <c r="I1057">
        <v>8.5</v>
      </c>
      <c r="J1057">
        <v>1163.79</v>
      </c>
      <c r="K1057">
        <v>6.6574267799006801</v>
      </c>
      <c r="L1057">
        <v>1237.07</v>
      </c>
      <c r="M1057" t="s">
        <v>27</v>
      </c>
      <c r="N1057">
        <v>1</v>
      </c>
      <c r="O1057">
        <v>1346</v>
      </c>
      <c r="P1057">
        <v>1173</v>
      </c>
      <c r="Q1057">
        <v>0</v>
      </c>
      <c r="R1057">
        <v>1173</v>
      </c>
    </row>
    <row r="1058" spans="1:18" x14ac:dyDescent="0.3">
      <c r="A1058" s="5">
        <v>45964</v>
      </c>
      <c r="B1058" t="s">
        <v>1524</v>
      </c>
      <c r="C1058">
        <v>33</v>
      </c>
      <c r="D1058">
        <v>36</v>
      </c>
      <c r="E1058" s="1">
        <v>1.25</v>
      </c>
      <c r="F1058" t="s">
        <v>1525</v>
      </c>
      <c r="G1058">
        <v>1</v>
      </c>
      <c r="H1058">
        <v>1080.9437</v>
      </c>
      <c r="I1058">
        <v>8.5</v>
      </c>
      <c r="J1058">
        <v>1163.79</v>
      </c>
      <c r="K1058">
        <v>6.6574267799006801</v>
      </c>
      <c r="L1058">
        <v>1237.07</v>
      </c>
      <c r="M1058" t="s">
        <v>27</v>
      </c>
      <c r="N1058">
        <v>1</v>
      </c>
      <c r="O1058">
        <v>1346</v>
      </c>
      <c r="P1058">
        <v>1173</v>
      </c>
      <c r="Q1058">
        <v>0</v>
      </c>
      <c r="R1058">
        <v>1173</v>
      </c>
    </row>
    <row r="1059" spans="1:18" x14ac:dyDescent="0.3">
      <c r="A1059" s="5">
        <v>45964</v>
      </c>
      <c r="B1059" t="s">
        <v>1526</v>
      </c>
      <c r="C1059">
        <v>27</v>
      </c>
      <c r="D1059">
        <v>36</v>
      </c>
      <c r="E1059" s="1">
        <v>1.0833333333333333</v>
      </c>
      <c r="F1059" t="s">
        <v>1527</v>
      </c>
      <c r="G1059">
        <v>0</v>
      </c>
      <c r="H1059">
        <v>1080.9991</v>
      </c>
      <c r="I1059">
        <v>2.5</v>
      </c>
      <c r="J1059">
        <v>1163.79</v>
      </c>
      <c r="K1059">
        <v>1.9580666999707901</v>
      </c>
      <c r="L1059">
        <v>1120.69</v>
      </c>
      <c r="M1059" t="s">
        <v>27</v>
      </c>
      <c r="N1059">
        <v>1</v>
      </c>
      <c r="O1059">
        <v>1281</v>
      </c>
      <c r="P1059">
        <v>1108</v>
      </c>
      <c r="Q1059">
        <v>0</v>
      </c>
      <c r="R1059">
        <v>1108</v>
      </c>
    </row>
    <row r="1060" spans="1:18" x14ac:dyDescent="0.3">
      <c r="A1060" s="5">
        <v>45964</v>
      </c>
      <c r="B1060" t="s">
        <v>1528</v>
      </c>
      <c r="C1060">
        <v>6</v>
      </c>
      <c r="D1060">
        <v>36</v>
      </c>
      <c r="E1060" s="1">
        <v>1.4583333333333333</v>
      </c>
      <c r="F1060" t="s">
        <v>1529</v>
      </c>
      <c r="G1060">
        <v>5</v>
      </c>
      <c r="H1060">
        <v>1081.5693000000001</v>
      </c>
      <c r="I1060">
        <v>0</v>
      </c>
      <c r="J1060">
        <v>1163.79</v>
      </c>
      <c r="K1060">
        <v>0</v>
      </c>
      <c r="L1060">
        <v>1175.17</v>
      </c>
      <c r="M1060" t="s">
        <v>27</v>
      </c>
      <c r="N1060">
        <v>1</v>
      </c>
      <c r="O1060">
        <v>1255</v>
      </c>
      <c r="P1060">
        <v>1082</v>
      </c>
      <c r="Q1060">
        <v>0</v>
      </c>
      <c r="R1060">
        <v>1082</v>
      </c>
    </row>
    <row r="1061" spans="1:18" x14ac:dyDescent="0.3">
      <c r="A1061" s="5">
        <v>45964</v>
      </c>
      <c r="B1061" t="s">
        <v>1530</v>
      </c>
      <c r="C1061">
        <v>4</v>
      </c>
      <c r="D1061">
        <v>36</v>
      </c>
      <c r="E1061" s="1">
        <v>1.9791666666666665</v>
      </c>
      <c r="F1061" t="s">
        <v>1531</v>
      </c>
      <c r="G1061">
        <v>2</v>
      </c>
      <c r="H1061">
        <v>1081.2943</v>
      </c>
      <c r="I1061">
        <v>5</v>
      </c>
      <c r="J1061">
        <v>1163.79</v>
      </c>
      <c r="K1061">
        <v>3.9161333999415802</v>
      </c>
      <c r="L1061">
        <v>609.91</v>
      </c>
      <c r="M1061" t="s">
        <v>60</v>
      </c>
      <c r="N1061">
        <v>1</v>
      </c>
      <c r="O1061">
        <v>1308</v>
      </c>
      <c r="P1061">
        <v>1135</v>
      </c>
      <c r="Q1061">
        <v>0.5</v>
      </c>
      <c r="R1061">
        <v>567.5</v>
      </c>
    </row>
    <row r="1062" spans="1:18" x14ac:dyDescent="0.3">
      <c r="A1062" s="5">
        <v>45964</v>
      </c>
      <c r="B1062" t="s">
        <v>1532</v>
      </c>
      <c r="C1062">
        <v>33</v>
      </c>
      <c r="D1062">
        <v>36</v>
      </c>
      <c r="E1062" s="1">
        <v>1.4583333333333333</v>
      </c>
      <c r="F1062" t="s">
        <v>1533</v>
      </c>
      <c r="G1062">
        <v>5</v>
      </c>
      <c r="H1062">
        <v>1080.9425000000001</v>
      </c>
      <c r="I1062">
        <v>0</v>
      </c>
      <c r="J1062">
        <v>1163.79</v>
      </c>
      <c r="K1062">
        <v>0</v>
      </c>
      <c r="L1062">
        <v>1219.83</v>
      </c>
      <c r="M1062" t="s">
        <v>27</v>
      </c>
      <c r="N1062">
        <v>1</v>
      </c>
      <c r="O1062">
        <v>1254</v>
      </c>
      <c r="P1062">
        <v>1081</v>
      </c>
      <c r="Q1062">
        <v>0</v>
      </c>
      <c r="R1062">
        <v>1081</v>
      </c>
    </row>
    <row r="1063" spans="1:18" x14ac:dyDescent="0.3">
      <c r="A1063" s="5">
        <v>45964</v>
      </c>
      <c r="B1063" t="s">
        <v>1534</v>
      </c>
      <c r="C1063">
        <v>19</v>
      </c>
      <c r="D1063">
        <v>36</v>
      </c>
      <c r="E1063" s="1">
        <v>1.9791666666666665</v>
      </c>
      <c r="F1063" t="s">
        <v>1535</v>
      </c>
      <c r="G1063">
        <v>3</v>
      </c>
      <c r="H1063">
        <v>1081.0952</v>
      </c>
      <c r="I1063">
        <v>10</v>
      </c>
      <c r="J1063">
        <v>1163.79</v>
      </c>
      <c r="K1063">
        <v>7.8322667998831603</v>
      </c>
      <c r="L1063">
        <v>618.53</v>
      </c>
      <c r="M1063" t="s">
        <v>20</v>
      </c>
      <c r="N1063">
        <v>1</v>
      </c>
      <c r="O1063">
        <v>1362</v>
      </c>
      <c r="P1063">
        <v>1189</v>
      </c>
      <c r="Q1063">
        <v>0.5</v>
      </c>
      <c r="R1063">
        <v>594.5</v>
      </c>
    </row>
    <row r="1064" spans="1:18" x14ac:dyDescent="0.3">
      <c r="A1064" s="5">
        <v>45964</v>
      </c>
      <c r="B1064" t="s">
        <v>1536</v>
      </c>
      <c r="C1064">
        <v>20</v>
      </c>
      <c r="D1064">
        <v>36</v>
      </c>
      <c r="E1064" s="1">
        <v>1.9791666666666665</v>
      </c>
      <c r="F1064" t="s">
        <v>1537</v>
      </c>
      <c r="G1064">
        <v>3</v>
      </c>
      <c r="H1064">
        <v>1081.0773999999999</v>
      </c>
      <c r="I1064">
        <v>10</v>
      </c>
      <c r="J1064">
        <v>1163.79</v>
      </c>
      <c r="K1064">
        <v>7.8322667998831603</v>
      </c>
      <c r="L1064">
        <v>618.53</v>
      </c>
      <c r="M1064" t="s">
        <v>20</v>
      </c>
      <c r="N1064">
        <v>1</v>
      </c>
      <c r="O1064">
        <v>1362</v>
      </c>
      <c r="P1064">
        <v>1189</v>
      </c>
      <c r="Q1064">
        <v>0.5</v>
      </c>
      <c r="R1064">
        <v>594.5</v>
      </c>
    </row>
    <row r="1065" spans="1:18" x14ac:dyDescent="0.3">
      <c r="A1065" s="5">
        <v>45964</v>
      </c>
      <c r="B1065" t="s">
        <v>1538</v>
      </c>
      <c r="C1065">
        <v>21</v>
      </c>
      <c r="D1065">
        <v>36</v>
      </c>
      <c r="E1065" s="1">
        <v>1.9791666666666665</v>
      </c>
      <c r="F1065" t="s">
        <v>1539</v>
      </c>
      <c r="G1065">
        <v>1</v>
      </c>
      <c r="H1065">
        <v>1081.0592999999999</v>
      </c>
      <c r="I1065">
        <v>8.5</v>
      </c>
      <c r="J1065">
        <v>1163.79</v>
      </c>
      <c r="K1065">
        <v>6.6574267799006801</v>
      </c>
      <c r="L1065">
        <v>1237.07</v>
      </c>
      <c r="M1065" t="s">
        <v>27</v>
      </c>
      <c r="N1065">
        <v>1</v>
      </c>
      <c r="O1065">
        <v>1346</v>
      </c>
      <c r="P1065">
        <v>1173</v>
      </c>
      <c r="Q1065">
        <v>0</v>
      </c>
      <c r="R1065">
        <v>1173</v>
      </c>
    </row>
    <row r="1066" spans="1:18" x14ac:dyDescent="0.3">
      <c r="A1066" s="5">
        <v>45964</v>
      </c>
      <c r="B1066" t="s">
        <v>1540</v>
      </c>
      <c r="C1066">
        <v>34</v>
      </c>
      <c r="D1066">
        <v>36</v>
      </c>
      <c r="E1066" s="1">
        <v>1.4583333333333333</v>
      </c>
      <c r="F1066" t="s">
        <v>1541</v>
      </c>
      <c r="G1066">
        <v>1</v>
      </c>
      <c r="H1066">
        <v>1080.9241999999999</v>
      </c>
      <c r="I1066">
        <v>8.5</v>
      </c>
      <c r="J1066">
        <v>1163.79</v>
      </c>
      <c r="K1066">
        <v>6.6574267799006801</v>
      </c>
      <c r="L1066">
        <v>1237.07</v>
      </c>
      <c r="M1066" t="s">
        <v>27</v>
      </c>
      <c r="N1066">
        <v>1</v>
      </c>
      <c r="O1066">
        <v>1346</v>
      </c>
      <c r="P1066">
        <v>1173</v>
      </c>
      <c r="Q1066">
        <v>0</v>
      </c>
      <c r="R1066">
        <v>1173</v>
      </c>
    </row>
    <row r="1067" spans="1:18" x14ac:dyDescent="0.3">
      <c r="A1067" s="5">
        <v>45964</v>
      </c>
      <c r="B1067" t="s">
        <v>1253</v>
      </c>
      <c r="C1067">
        <v>2</v>
      </c>
      <c r="D1067">
        <v>36</v>
      </c>
      <c r="E1067" s="1">
        <v>1.4583333333333333</v>
      </c>
      <c r="F1067" t="s">
        <v>1254</v>
      </c>
      <c r="G1067">
        <v>0</v>
      </c>
      <c r="H1067">
        <v>1081.5686000000001</v>
      </c>
      <c r="I1067">
        <v>2.5</v>
      </c>
      <c r="J1067">
        <v>1163.79</v>
      </c>
      <c r="K1067">
        <v>1.9580666999707901</v>
      </c>
      <c r="L1067">
        <v>609.91</v>
      </c>
      <c r="M1067" t="s">
        <v>60</v>
      </c>
      <c r="N1067">
        <v>1</v>
      </c>
      <c r="O1067">
        <v>1282</v>
      </c>
      <c r="P1067">
        <v>1109</v>
      </c>
      <c r="Q1067">
        <v>0.5</v>
      </c>
      <c r="R1067">
        <v>554.5</v>
      </c>
    </row>
    <row r="1068" spans="1:18" x14ac:dyDescent="0.3">
      <c r="A1068" s="5">
        <v>45964</v>
      </c>
      <c r="B1068" t="s">
        <v>1255</v>
      </c>
      <c r="C1068">
        <v>3</v>
      </c>
      <c r="D1068">
        <v>36</v>
      </c>
      <c r="E1068" s="1">
        <v>1.4583333333333333</v>
      </c>
      <c r="F1068" t="s">
        <v>1254</v>
      </c>
      <c r="G1068">
        <v>0</v>
      </c>
      <c r="H1068">
        <v>1081.5554999999999</v>
      </c>
      <c r="I1068">
        <v>2.5</v>
      </c>
      <c r="J1068">
        <v>1163.79</v>
      </c>
      <c r="K1068">
        <v>1.9580666999707901</v>
      </c>
      <c r="L1068">
        <v>1116.3800000000001</v>
      </c>
      <c r="M1068" t="s">
        <v>27</v>
      </c>
      <c r="N1068">
        <v>1</v>
      </c>
      <c r="O1068">
        <v>1282</v>
      </c>
      <c r="P1068">
        <v>1109</v>
      </c>
      <c r="Q1068">
        <v>0</v>
      </c>
      <c r="R1068">
        <v>1109</v>
      </c>
    </row>
    <row r="1069" spans="1:18" x14ac:dyDescent="0.3">
      <c r="A1069" s="5">
        <v>45964</v>
      </c>
      <c r="B1069" t="s">
        <v>1542</v>
      </c>
      <c r="C1069">
        <v>7</v>
      </c>
      <c r="D1069">
        <v>36</v>
      </c>
      <c r="E1069" s="1">
        <v>1.9652777777777777</v>
      </c>
      <c r="F1069" t="s">
        <v>1543</v>
      </c>
      <c r="G1069">
        <v>2</v>
      </c>
      <c r="H1069">
        <v>1081.2940000000001</v>
      </c>
      <c r="I1069">
        <v>5</v>
      </c>
      <c r="J1069">
        <v>1163.79</v>
      </c>
      <c r="K1069">
        <v>3.9161333999415802</v>
      </c>
      <c r="L1069">
        <v>609.91</v>
      </c>
      <c r="M1069" t="s">
        <v>60</v>
      </c>
      <c r="N1069">
        <v>1</v>
      </c>
      <c r="O1069">
        <v>1308</v>
      </c>
      <c r="P1069">
        <v>1135</v>
      </c>
      <c r="Q1069">
        <v>0.5</v>
      </c>
      <c r="R1069">
        <v>567.5</v>
      </c>
    </row>
    <row r="1070" spans="1:18" x14ac:dyDescent="0.3">
      <c r="A1070" s="5">
        <v>45964</v>
      </c>
      <c r="B1070" t="s">
        <v>1544</v>
      </c>
      <c r="C1070">
        <v>16</v>
      </c>
      <c r="D1070">
        <v>36</v>
      </c>
      <c r="E1070" s="1">
        <v>1.9791666666666665</v>
      </c>
      <c r="F1070" t="s">
        <v>1545</v>
      </c>
      <c r="G1070">
        <v>2</v>
      </c>
      <c r="H1070">
        <v>1081.0768</v>
      </c>
      <c r="I1070">
        <v>5</v>
      </c>
      <c r="J1070">
        <v>1163.79</v>
      </c>
      <c r="K1070">
        <v>3.9161333999415802</v>
      </c>
      <c r="L1070">
        <v>609.91</v>
      </c>
      <c r="M1070" t="s">
        <v>60</v>
      </c>
      <c r="N1070">
        <v>1</v>
      </c>
      <c r="O1070">
        <v>1308</v>
      </c>
      <c r="P1070">
        <v>1135</v>
      </c>
      <c r="Q1070">
        <v>0.5</v>
      </c>
      <c r="R1070">
        <v>567.5</v>
      </c>
    </row>
    <row r="1071" spans="1:18" x14ac:dyDescent="0.3">
      <c r="A1071" s="5">
        <v>45964</v>
      </c>
      <c r="B1071" t="s">
        <v>1546</v>
      </c>
      <c r="C1071">
        <v>24</v>
      </c>
      <c r="D1071">
        <v>36</v>
      </c>
      <c r="E1071" s="1">
        <v>1.9791666666666665</v>
      </c>
      <c r="F1071" t="s">
        <v>1547</v>
      </c>
      <c r="G1071">
        <v>5</v>
      </c>
      <c r="H1071">
        <v>1080.8839</v>
      </c>
      <c r="I1071">
        <v>0</v>
      </c>
      <c r="J1071">
        <v>1163.79</v>
      </c>
      <c r="K1071">
        <v>0</v>
      </c>
      <c r="L1071">
        <v>1175.17</v>
      </c>
      <c r="M1071" t="s">
        <v>27</v>
      </c>
      <c r="N1071">
        <v>1</v>
      </c>
      <c r="O1071">
        <v>1254</v>
      </c>
      <c r="P1071">
        <v>1081</v>
      </c>
      <c r="Q1071">
        <v>0</v>
      </c>
      <c r="R1071">
        <v>1081</v>
      </c>
    </row>
    <row r="1072" spans="1:18" x14ac:dyDescent="0.3">
      <c r="A1072" s="5">
        <v>45964</v>
      </c>
      <c r="B1072" t="s">
        <v>1255</v>
      </c>
      <c r="C1072">
        <v>3</v>
      </c>
      <c r="D1072">
        <v>36</v>
      </c>
      <c r="E1072" s="1">
        <v>1.4583333333333333</v>
      </c>
      <c r="F1072" t="s">
        <v>1254</v>
      </c>
      <c r="G1072">
        <v>0</v>
      </c>
      <c r="H1072">
        <v>1081.5491</v>
      </c>
      <c r="I1072">
        <v>2.5</v>
      </c>
      <c r="J1072">
        <v>1163.79</v>
      </c>
      <c r="K1072">
        <v>1.9580666999707901</v>
      </c>
      <c r="L1072">
        <v>1116.3800000000001</v>
      </c>
      <c r="M1072" t="s">
        <v>27</v>
      </c>
      <c r="N1072">
        <v>1</v>
      </c>
      <c r="O1072">
        <v>1282</v>
      </c>
      <c r="P1072">
        <v>1109</v>
      </c>
      <c r="Q1072">
        <v>0</v>
      </c>
      <c r="R1072">
        <v>1109</v>
      </c>
    </row>
    <row r="1073" spans="1:18" x14ac:dyDescent="0.3">
      <c r="A1073" s="5">
        <v>45964</v>
      </c>
      <c r="B1073" t="s">
        <v>1548</v>
      </c>
      <c r="C1073">
        <v>13</v>
      </c>
      <c r="D1073">
        <v>36</v>
      </c>
      <c r="E1073" s="1">
        <v>1.9993055555555554</v>
      </c>
      <c r="F1073" t="s">
        <v>1549</v>
      </c>
      <c r="G1073">
        <v>4</v>
      </c>
      <c r="H1073">
        <v>1081.1297999999999</v>
      </c>
      <c r="I1073">
        <v>7</v>
      </c>
      <c r="J1073">
        <v>1163.79</v>
      </c>
      <c r="K1073">
        <v>5.4825867599182097</v>
      </c>
      <c r="L1073">
        <v>1097.8399999999999</v>
      </c>
      <c r="M1073" t="s">
        <v>27</v>
      </c>
      <c r="N1073">
        <v>1</v>
      </c>
      <c r="O1073">
        <v>1330</v>
      </c>
      <c r="P1073">
        <v>1157</v>
      </c>
      <c r="Q1073">
        <v>0</v>
      </c>
      <c r="R1073">
        <v>1157</v>
      </c>
    </row>
    <row r="1074" spans="1:18" x14ac:dyDescent="0.3">
      <c r="A1074" s="5">
        <v>45964</v>
      </c>
      <c r="B1074" t="s">
        <v>1550</v>
      </c>
      <c r="C1074">
        <v>1</v>
      </c>
      <c r="D1074">
        <v>36</v>
      </c>
      <c r="E1074" s="1">
        <v>1.25</v>
      </c>
      <c r="F1074" t="s">
        <v>1551</v>
      </c>
      <c r="G1074">
        <v>2</v>
      </c>
      <c r="H1074">
        <v>1081.5922</v>
      </c>
      <c r="I1074">
        <v>5</v>
      </c>
      <c r="J1074">
        <v>1163.79</v>
      </c>
      <c r="K1074">
        <v>3.9161333999415802</v>
      </c>
      <c r="L1074">
        <v>609.91</v>
      </c>
      <c r="M1074" t="s">
        <v>60</v>
      </c>
      <c r="N1074">
        <v>1</v>
      </c>
      <c r="O1074">
        <v>1309</v>
      </c>
      <c r="P1074">
        <v>1136</v>
      </c>
      <c r="Q1074">
        <v>0.5</v>
      </c>
      <c r="R1074">
        <v>568</v>
      </c>
    </row>
    <row r="1075" spans="1:18" x14ac:dyDescent="0.3">
      <c r="A1075" s="5">
        <v>45964</v>
      </c>
      <c r="B1075" t="s">
        <v>1552</v>
      </c>
      <c r="C1075">
        <v>1</v>
      </c>
      <c r="D1075">
        <v>36</v>
      </c>
      <c r="E1075" s="1">
        <v>1.0833333333333333</v>
      </c>
      <c r="F1075" t="s">
        <v>1553</v>
      </c>
      <c r="G1075">
        <v>0</v>
      </c>
      <c r="H1075">
        <v>1081.5894000000001</v>
      </c>
      <c r="I1075">
        <v>2.5</v>
      </c>
      <c r="J1075">
        <v>1163.79</v>
      </c>
      <c r="K1075">
        <v>1.9580666999707901</v>
      </c>
      <c r="L1075">
        <v>1116.3800000000001</v>
      </c>
      <c r="M1075" t="s">
        <v>27</v>
      </c>
      <c r="N1075">
        <v>1</v>
      </c>
      <c r="O1075">
        <v>1282</v>
      </c>
      <c r="P1075">
        <v>1109</v>
      </c>
      <c r="Q1075">
        <v>0</v>
      </c>
      <c r="R1075">
        <v>1109</v>
      </c>
    </row>
    <row r="1076" spans="1:18" x14ac:dyDescent="0.3">
      <c r="A1076" s="5">
        <v>45964</v>
      </c>
      <c r="B1076" t="s">
        <v>1554</v>
      </c>
      <c r="C1076">
        <v>17</v>
      </c>
      <c r="D1076">
        <v>36</v>
      </c>
      <c r="E1076" s="1">
        <v>1.0833333333333333</v>
      </c>
      <c r="F1076" t="s">
        <v>1555</v>
      </c>
      <c r="G1076">
        <v>0</v>
      </c>
      <c r="H1076">
        <v>1081.3058000000001</v>
      </c>
      <c r="I1076">
        <v>2.5</v>
      </c>
      <c r="J1076">
        <v>1163.79</v>
      </c>
      <c r="K1076">
        <v>1.9580666999707901</v>
      </c>
      <c r="L1076">
        <v>1158.8800000000001</v>
      </c>
      <c r="M1076" t="s">
        <v>27</v>
      </c>
      <c r="N1076">
        <v>1</v>
      </c>
      <c r="O1076">
        <v>1281</v>
      </c>
      <c r="P1076">
        <v>1108</v>
      </c>
      <c r="Q1076">
        <v>0</v>
      </c>
      <c r="R1076">
        <v>1108</v>
      </c>
    </row>
    <row r="1077" spans="1:18" x14ac:dyDescent="0.3">
      <c r="A1077" s="5">
        <v>45964</v>
      </c>
      <c r="B1077" t="s">
        <v>1556</v>
      </c>
      <c r="C1077">
        <v>7</v>
      </c>
      <c r="D1077">
        <v>36</v>
      </c>
      <c r="E1077" s="1">
        <v>1.9993055555555554</v>
      </c>
      <c r="F1077" t="s">
        <v>1557</v>
      </c>
      <c r="G1077">
        <v>0</v>
      </c>
      <c r="H1077">
        <v>1081.3206</v>
      </c>
      <c r="I1077">
        <v>2.5</v>
      </c>
      <c r="J1077">
        <v>1163.79</v>
      </c>
      <c r="K1077">
        <v>1.9580666999707901</v>
      </c>
      <c r="L1077">
        <v>1175.17</v>
      </c>
      <c r="M1077" t="s">
        <v>27</v>
      </c>
      <c r="N1077">
        <v>1</v>
      </c>
      <c r="O1077">
        <v>1281</v>
      </c>
      <c r="P1077">
        <v>1108</v>
      </c>
      <c r="Q1077">
        <v>0</v>
      </c>
      <c r="R1077">
        <v>1108</v>
      </c>
    </row>
    <row r="1078" spans="1:18" x14ac:dyDescent="0.3">
      <c r="A1078" s="5">
        <v>45964</v>
      </c>
      <c r="B1078" t="s">
        <v>1558</v>
      </c>
      <c r="C1078">
        <v>35</v>
      </c>
      <c r="D1078">
        <v>36</v>
      </c>
      <c r="E1078" s="1">
        <v>1.9993055555555554</v>
      </c>
      <c r="F1078" t="s">
        <v>1559</v>
      </c>
      <c r="G1078">
        <v>2</v>
      </c>
      <c r="H1078">
        <v>1080.7503999999999</v>
      </c>
      <c r="I1078">
        <v>5</v>
      </c>
      <c r="J1078">
        <v>1163.79</v>
      </c>
      <c r="K1078">
        <v>3.9161333999415802</v>
      </c>
      <c r="L1078">
        <v>601.29</v>
      </c>
      <c r="M1078" t="s">
        <v>60</v>
      </c>
      <c r="N1078">
        <v>1</v>
      </c>
      <c r="O1078">
        <v>1308</v>
      </c>
      <c r="P1078">
        <v>1135</v>
      </c>
      <c r="Q1078">
        <v>0.5</v>
      </c>
      <c r="R1078">
        <v>567.5</v>
      </c>
    </row>
    <row r="1079" spans="1:18" x14ac:dyDescent="0.3">
      <c r="A1079" s="5">
        <v>45964</v>
      </c>
      <c r="B1079" t="s">
        <v>1560</v>
      </c>
      <c r="C1079">
        <v>4</v>
      </c>
      <c r="D1079">
        <v>36</v>
      </c>
      <c r="E1079" s="1">
        <v>1.4583333333333333</v>
      </c>
      <c r="F1079" t="s">
        <v>1561</v>
      </c>
      <c r="G1079">
        <v>1</v>
      </c>
      <c r="H1079">
        <v>1081.3834999999999</v>
      </c>
      <c r="I1079">
        <v>8.5</v>
      </c>
      <c r="J1079">
        <v>1163.79</v>
      </c>
      <c r="K1079">
        <v>6.6574267799006801</v>
      </c>
      <c r="L1079">
        <v>1097.8399999999999</v>
      </c>
      <c r="M1079" t="s">
        <v>27</v>
      </c>
      <c r="N1079">
        <v>1</v>
      </c>
      <c r="O1079">
        <v>1346</v>
      </c>
      <c r="P1079">
        <v>1173</v>
      </c>
      <c r="Q1079">
        <v>0</v>
      </c>
      <c r="R1079">
        <v>1173</v>
      </c>
    </row>
    <row r="1080" spans="1:18" x14ac:dyDescent="0.3">
      <c r="A1080" s="5">
        <v>45964</v>
      </c>
      <c r="B1080" t="s">
        <v>1562</v>
      </c>
      <c r="C1080">
        <v>34</v>
      </c>
      <c r="D1080">
        <v>36</v>
      </c>
      <c r="E1080" s="1">
        <v>1.9993055555555554</v>
      </c>
      <c r="F1080" t="s">
        <v>1563</v>
      </c>
      <c r="G1080">
        <v>2</v>
      </c>
      <c r="H1080">
        <v>1080.6360999999999</v>
      </c>
      <c r="I1080">
        <v>5</v>
      </c>
      <c r="J1080">
        <v>1163.79</v>
      </c>
      <c r="K1080">
        <v>3.9161333999415802</v>
      </c>
      <c r="L1080">
        <v>609.91</v>
      </c>
      <c r="M1080" t="s">
        <v>60</v>
      </c>
      <c r="N1080">
        <v>1</v>
      </c>
      <c r="O1080">
        <v>1308</v>
      </c>
      <c r="P1080">
        <v>1135</v>
      </c>
      <c r="Q1080">
        <v>0.5</v>
      </c>
      <c r="R1080">
        <v>567.5</v>
      </c>
    </row>
    <row r="1081" spans="1:18" x14ac:dyDescent="0.3">
      <c r="A1081" s="5">
        <v>45964</v>
      </c>
      <c r="B1081" t="s">
        <v>1564</v>
      </c>
      <c r="C1081">
        <v>15</v>
      </c>
      <c r="D1081">
        <v>36</v>
      </c>
      <c r="E1081" s="1">
        <v>1.9791666666666665</v>
      </c>
      <c r="F1081" t="s">
        <v>1565</v>
      </c>
      <c r="G1081">
        <v>3</v>
      </c>
      <c r="H1081">
        <v>1081.0924</v>
      </c>
      <c r="I1081">
        <v>10</v>
      </c>
      <c r="J1081">
        <v>1163.79</v>
      </c>
      <c r="K1081">
        <v>7.8322667998831603</v>
      </c>
      <c r="L1081">
        <v>609.91</v>
      </c>
      <c r="M1081" t="s">
        <v>20</v>
      </c>
      <c r="N1081">
        <v>1</v>
      </c>
      <c r="O1081">
        <v>1362</v>
      </c>
      <c r="P1081">
        <v>1189</v>
      </c>
      <c r="Q1081">
        <v>0.5</v>
      </c>
      <c r="R1081">
        <v>594.5</v>
      </c>
    </row>
    <row r="1082" spans="1:18" x14ac:dyDescent="0.3">
      <c r="A1082" s="5">
        <v>45964</v>
      </c>
      <c r="B1082" t="s">
        <v>1566</v>
      </c>
      <c r="C1082">
        <v>14</v>
      </c>
      <c r="D1082">
        <v>36</v>
      </c>
      <c r="E1082" s="1">
        <v>1.9791666666666665</v>
      </c>
      <c r="F1082" t="s">
        <v>1567</v>
      </c>
      <c r="G1082">
        <v>3</v>
      </c>
      <c r="H1082">
        <v>1081.1102000000001</v>
      </c>
      <c r="I1082">
        <v>10</v>
      </c>
      <c r="J1082">
        <v>1163.79</v>
      </c>
      <c r="K1082">
        <v>7.8322667998831603</v>
      </c>
      <c r="L1082">
        <v>609.91</v>
      </c>
      <c r="M1082" t="s">
        <v>20</v>
      </c>
      <c r="N1082">
        <v>1</v>
      </c>
      <c r="O1082">
        <v>1362</v>
      </c>
      <c r="P1082">
        <v>1189</v>
      </c>
      <c r="Q1082">
        <v>0.5</v>
      </c>
      <c r="R1082">
        <v>594.5</v>
      </c>
    </row>
    <row r="1083" spans="1:18" x14ac:dyDescent="0.3">
      <c r="A1083" s="5">
        <v>45964</v>
      </c>
      <c r="B1083" t="s">
        <v>1568</v>
      </c>
      <c r="C1083">
        <v>13</v>
      </c>
      <c r="D1083">
        <v>36</v>
      </c>
      <c r="E1083" s="1">
        <v>1.9791666666666665</v>
      </c>
      <c r="F1083" t="s">
        <v>1569</v>
      </c>
      <c r="G1083">
        <v>5</v>
      </c>
      <c r="H1083">
        <v>1081.2118</v>
      </c>
      <c r="I1083">
        <v>0</v>
      </c>
      <c r="J1083">
        <v>1163.79</v>
      </c>
      <c r="K1083">
        <v>0</v>
      </c>
      <c r="L1083">
        <v>1175.17</v>
      </c>
      <c r="M1083" t="s">
        <v>27</v>
      </c>
      <c r="N1083">
        <v>1</v>
      </c>
      <c r="O1083">
        <v>1254</v>
      </c>
      <c r="P1083">
        <v>1081</v>
      </c>
      <c r="Q1083">
        <v>0</v>
      </c>
      <c r="R1083">
        <v>1081</v>
      </c>
    </row>
    <row r="1084" spans="1:18" x14ac:dyDescent="0.3">
      <c r="A1084" s="5">
        <v>45964</v>
      </c>
      <c r="B1084" t="s">
        <v>1570</v>
      </c>
      <c r="C1084">
        <v>24</v>
      </c>
      <c r="D1084">
        <v>36</v>
      </c>
      <c r="E1084" s="1">
        <v>1.9993055555555554</v>
      </c>
      <c r="F1084" t="s">
        <v>1571</v>
      </c>
      <c r="G1084">
        <v>5</v>
      </c>
      <c r="H1084">
        <v>1080.8813</v>
      </c>
      <c r="I1084">
        <v>0</v>
      </c>
      <c r="J1084">
        <v>1163.79</v>
      </c>
      <c r="K1084">
        <v>0</v>
      </c>
      <c r="L1084">
        <v>1097.8399999999999</v>
      </c>
      <c r="M1084" t="s">
        <v>27</v>
      </c>
      <c r="N1084">
        <v>1</v>
      </c>
      <c r="O1084">
        <v>1254</v>
      </c>
      <c r="P1084">
        <v>1081</v>
      </c>
      <c r="Q1084">
        <v>0</v>
      </c>
      <c r="R1084">
        <v>1081</v>
      </c>
    </row>
    <row r="1085" spans="1:18" x14ac:dyDescent="0.3">
      <c r="A1085" s="5">
        <v>45964</v>
      </c>
      <c r="B1085" t="s">
        <v>1570</v>
      </c>
      <c r="C1085">
        <v>24</v>
      </c>
      <c r="D1085">
        <v>36</v>
      </c>
      <c r="E1085" s="1">
        <v>1.9993055555555554</v>
      </c>
      <c r="F1085" t="s">
        <v>1571</v>
      </c>
      <c r="G1085">
        <v>5</v>
      </c>
      <c r="H1085">
        <v>1080.8813</v>
      </c>
      <c r="I1085">
        <v>0</v>
      </c>
      <c r="J1085">
        <v>1163.79</v>
      </c>
      <c r="K1085">
        <v>0</v>
      </c>
      <c r="L1085">
        <v>1097.8399999999999</v>
      </c>
      <c r="M1085" t="s">
        <v>27</v>
      </c>
      <c r="N1085">
        <v>1</v>
      </c>
      <c r="O1085">
        <v>1254</v>
      </c>
      <c r="P1085">
        <v>1081</v>
      </c>
      <c r="Q1085">
        <v>0</v>
      </c>
      <c r="R1085">
        <v>1081</v>
      </c>
    </row>
    <row r="1086" spans="1:18" x14ac:dyDescent="0.3">
      <c r="A1086" s="5">
        <v>45964</v>
      </c>
      <c r="B1086" t="s">
        <v>1572</v>
      </c>
      <c r="C1086">
        <v>21</v>
      </c>
      <c r="D1086">
        <v>36</v>
      </c>
      <c r="E1086" s="1">
        <v>1.9993055555555554</v>
      </c>
      <c r="F1086" t="s">
        <v>1571</v>
      </c>
      <c r="G1086">
        <v>5</v>
      </c>
      <c r="H1086">
        <v>1081.0679</v>
      </c>
      <c r="I1086">
        <v>0</v>
      </c>
      <c r="J1086">
        <v>1163.79</v>
      </c>
      <c r="K1086">
        <v>0</v>
      </c>
      <c r="L1086">
        <v>1097.8399999999999</v>
      </c>
      <c r="M1086" t="s">
        <v>27</v>
      </c>
      <c r="N1086">
        <v>1</v>
      </c>
      <c r="O1086">
        <v>1254</v>
      </c>
      <c r="P1086">
        <v>1081</v>
      </c>
      <c r="Q1086">
        <v>0</v>
      </c>
      <c r="R1086">
        <v>1081</v>
      </c>
    </row>
    <row r="1087" spans="1:18" x14ac:dyDescent="0.3">
      <c r="A1087" s="5">
        <v>45964</v>
      </c>
      <c r="B1087" t="s">
        <v>1572</v>
      </c>
      <c r="C1087">
        <v>21</v>
      </c>
      <c r="D1087">
        <v>36</v>
      </c>
      <c r="E1087" s="1">
        <v>1.9993055555555554</v>
      </c>
      <c r="F1087" t="s">
        <v>1571</v>
      </c>
      <c r="G1087">
        <v>5</v>
      </c>
      <c r="H1087">
        <v>1081.0679</v>
      </c>
      <c r="I1087">
        <v>0</v>
      </c>
      <c r="J1087">
        <v>1163.79</v>
      </c>
      <c r="K1087">
        <v>0</v>
      </c>
      <c r="L1087">
        <v>1097.8399999999999</v>
      </c>
      <c r="M1087" t="s">
        <v>27</v>
      </c>
      <c r="N1087">
        <v>1</v>
      </c>
      <c r="O1087">
        <v>1254</v>
      </c>
      <c r="P1087">
        <v>1081</v>
      </c>
      <c r="Q1087">
        <v>0</v>
      </c>
      <c r="R1087">
        <v>1081</v>
      </c>
    </row>
    <row r="1088" spans="1:18" x14ac:dyDescent="0.3">
      <c r="A1088" s="5">
        <v>45964</v>
      </c>
      <c r="B1088" t="s">
        <v>1573</v>
      </c>
      <c r="C1088">
        <v>7</v>
      </c>
      <c r="D1088">
        <v>36</v>
      </c>
      <c r="E1088" s="1">
        <v>1.25</v>
      </c>
      <c r="F1088" t="s">
        <v>1533</v>
      </c>
      <c r="G1088">
        <v>5</v>
      </c>
      <c r="H1088">
        <v>1081.4829</v>
      </c>
      <c r="I1088">
        <v>0</v>
      </c>
      <c r="J1088">
        <v>1163.79</v>
      </c>
      <c r="K1088">
        <v>0</v>
      </c>
      <c r="L1088">
        <v>1219.83</v>
      </c>
      <c r="M1088" t="s">
        <v>27</v>
      </c>
      <c r="N1088">
        <v>1</v>
      </c>
      <c r="O1088">
        <v>1255</v>
      </c>
      <c r="P1088">
        <v>1081</v>
      </c>
      <c r="Q1088">
        <v>0</v>
      </c>
      <c r="R1088">
        <v>1081</v>
      </c>
    </row>
    <row r="1089" spans="1:18" x14ac:dyDescent="0.3">
      <c r="A1089" s="5">
        <v>45964</v>
      </c>
      <c r="B1089" t="s">
        <v>1574</v>
      </c>
      <c r="C1089">
        <v>23</v>
      </c>
      <c r="D1089">
        <v>36</v>
      </c>
      <c r="E1089" s="1">
        <v>1.25</v>
      </c>
      <c r="F1089" t="s">
        <v>1575</v>
      </c>
      <c r="G1089">
        <v>0</v>
      </c>
      <c r="H1089">
        <v>1081.0626999999999</v>
      </c>
      <c r="I1089">
        <v>2.5</v>
      </c>
      <c r="J1089">
        <v>1163.79</v>
      </c>
      <c r="K1089">
        <v>1.9580666999707901</v>
      </c>
      <c r="L1089">
        <v>1158.8800000000001</v>
      </c>
      <c r="M1089" t="s">
        <v>27</v>
      </c>
      <c r="N1089">
        <v>1</v>
      </c>
      <c r="O1089">
        <v>1281</v>
      </c>
      <c r="P1089">
        <v>1108</v>
      </c>
      <c r="Q1089">
        <v>0</v>
      </c>
      <c r="R1089">
        <v>1108</v>
      </c>
    </row>
    <row r="1090" spans="1:18" x14ac:dyDescent="0.3">
      <c r="A1090" s="5">
        <v>45964</v>
      </c>
      <c r="B1090" t="s">
        <v>1576</v>
      </c>
      <c r="C1090">
        <v>22</v>
      </c>
      <c r="D1090">
        <v>36</v>
      </c>
      <c r="E1090" s="1">
        <v>1.25</v>
      </c>
      <c r="F1090" t="s">
        <v>1577</v>
      </c>
      <c r="G1090">
        <v>0</v>
      </c>
      <c r="H1090">
        <v>1081.0807</v>
      </c>
      <c r="I1090">
        <v>2.5</v>
      </c>
      <c r="J1090">
        <v>1163.79</v>
      </c>
      <c r="K1090">
        <v>1.9580666999707901</v>
      </c>
      <c r="L1090">
        <v>1158.8800000000001</v>
      </c>
      <c r="M1090" t="s">
        <v>27</v>
      </c>
      <c r="N1090">
        <v>1</v>
      </c>
      <c r="O1090">
        <v>1281</v>
      </c>
      <c r="P1090">
        <v>1108</v>
      </c>
      <c r="Q1090">
        <v>0</v>
      </c>
      <c r="R1090">
        <v>1108</v>
      </c>
    </row>
    <row r="1091" spans="1:18" x14ac:dyDescent="0.3">
      <c r="A1091" s="5">
        <v>45964</v>
      </c>
      <c r="B1091" t="s">
        <v>1578</v>
      </c>
      <c r="C1091">
        <v>27</v>
      </c>
      <c r="D1091">
        <v>36</v>
      </c>
      <c r="E1091" s="1">
        <v>1.9993055555555554</v>
      </c>
      <c r="F1091" t="s">
        <v>416</v>
      </c>
      <c r="G1091">
        <v>5</v>
      </c>
      <c r="H1091">
        <v>1080.8276000000001</v>
      </c>
      <c r="I1091">
        <v>0</v>
      </c>
      <c r="J1091">
        <v>1163.79</v>
      </c>
      <c r="K1091">
        <v>0</v>
      </c>
      <c r="L1091">
        <v>1175.17</v>
      </c>
      <c r="M1091" t="s">
        <v>27</v>
      </c>
      <c r="N1091">
        <v>1</v>
      </c>
      <c r="O1091">
        <v>1254</v>
      </c>
      <c r="P1091">
        <v>1081</v>
      </c>
      <c r="Q1091">
        <v>0</v>
      </c>
      <c r="R1091">
        <v>1081</v>
      </c>
    </row>
    <row r="1092" spans="1:18" x14ac:dyDescent="0.3">
      <c r="A1092" s="5">
        <v>45964</v>
      </c>
      <c r="B1092" t="s">
        <v>1579</v>
      </c>
      <c r="C1092">
        <v>13</v>
      </c>
      <c r="D1092">
        <v>36</v>
      </c>
      <c r="E1092" s="1">
        <v>1.4583333333333333</v>
      </c>
      <c r="F1092" t="s">
        <v>1580</v>
      </c>
      <c r="G1092">
        <v>4</v>
      </c>
      <c r="H1092">
        <v>1081.5045</v>
      </c>
      <c r="I1092">
        <v>7</v>
      </c>
      <c r="J1092">
        <v>1163.79</v>
      </c>
      <c r="K1092">
        <v>5.4825867599182097</v>
      </c>
      <c r="L1092">
        <v>609.91</v>
      </c>
      <c r="M1092" t="s">
        <v>60</v>
      </c>
      <c r="N1092">
        <v>1</v>
      </c>
      <c r="O1092">
        <v>1330</v>
      </c>
      <c r="P1092">
        <v>1157</v>
      </c>
      <c r="Q1092">
        <v>0.5</v>
      </c>
      <c r="R1092">
        <v>578.5</v>
      </c>
    </row>
    <row r="1093" spans="1:18" x14ac:dyDescent="0.3">
      <c r="A1093" s="5">
        <v>45964</v>
      </c>
      <c r="B1093" t="s">
        <v>1581</v>
      </c>
      <c r="C1093">
        <v>12</v>
      </c>
      <c r="D1093">
        <v>36</v>
      </c>
      <c r="E1093" s="1">
        <v>1.9993055555555554</v>
      </c>
      <c r="F1093" t="s">
        <v>1582</v>
      </c>
      <c r="G1093">
        <v>5</v>
      </c>
      <c r="H1093">
        <v>1081.2289000000001</v>
      </c>
      <c r="I1093">
        <v>0</v>
      </c>
      <c r="J1093">
        <v>1163.79</v>
      </c>
      <c r="K1093">
        <v>0</v>
      </c>
      <c r="L1093">
        <v>1175.17</v>
      </c>
      <c r="M1093" t="s">
        <v>27</v>
      </c>
      <c r="N1093">
        <v>1</v>
      </c>
      <c r="O1093">
        <v>1254</v>
      </c>
      <c r="P1093">
        <v>1081</v>
      </c>
      <c r="Q1093">
        <v>0</v>
      </c>
      <c r="R1093">
        <v>1081</v>
      </c>
    </row>
    <row r="1094" spans="1:18" x14ac:dyDescent="0.3">
      <c r="A1094" s="5">
        <v>45964</v>
      </c>
      <c r="B1094" t="s">
        <v>1583</v>
      </c>
      <c r="C1094">
        <v>13</v>
      </c>
      <c r="D1094">
        <v>36</v>
      </c>
      <c r="E1094" s="1">
        <v>1.9652777777777777</v>
      </c>
      <c r="F1094" t="s">
        <v>1584</v>
      </c>
      <c r="G1094">
        <v>3</v>
      </c>
      <c r="H1094">
        <v>1081.1274000000001</v>
      </c>
      <c r="I1094">
        <v>10</v>
      </c>
      <c r="J1094">
        <v>1163.79</v>
      </c>
      <c r="K1094">
        <v>7.8322667998831603</v>
      </c>
      <c r="L1094">
        <v>609.91</v>
      </c>
      <c r="M1094" t="s">
        <v>20</v>
      </c>
      <c r="N1094">
        <v>1</v>
      </c>
      <c r="O1094">
        <v>1362</v>
      </c>
      <c r="P1094">
        <v>1189</v>
      </c>
      <c r="Q1094">
        <v>0.5</v>
      </c>
      <c r="R1094">
        <v>594.5</v>
      </c>
    </row>
    <row r="1095" spans="1:18" x14ac:dyDescent="0.3">
      <c r="A1095" s="5">
        <v>45964</v>
      </c>
      <c r="B1095" t="s">
        <v>1585</v>
      </c>
      <c r="C1095">
        <v>32</v>
      </c>
      <c r="D1095">
        <v>36</v>
      </c>
      <c r="E1095" s="1">
        <v>1.9791666666666665</v>
      </c>
      <c r="F1095" t="s">
        <v>1586</v>
      </c>
      <c r="G1095">
        <v>2</v>
      </c>
      <c r="H1095">
        <v>1080.6392000000001</v>
      </c>
      <c r="I1095">
        <v>5</v>
      </c>
      <c r="J1095">
        <v>1163.79</v>
      </c>
      <c r="K1095">
        <v>3.9161333999415802</v>
      </c>
      <c r="L1095">
        <v>609.91</v>
      </c>
      <c r="M1095" t="s">
        <v>60</v>
      </c>
      <c r="N1095">
        <v>1</v>
      </c>
      <c r="O1095">
        <v>1308</v>
      </c>
      <c r="P1095">
        <v>1135</v>
      </c>
      <c r="Q1095">
        <v>0.5</v>
      </c>
      <c r="R1095">
        <v>567.5</v>
      </c>
    </row>
    <row r="1096" spans="1:18" x14ac:dyDescent="0.3">
      <c r="A1096" s="5">
        <v>45964</v>
      </c>
      <c r="B1096" t="s">
        <v>1587</v>
      </c>
      <c r="C1096">
        <v>17</v>
      </c>
      <c r="D1096">
        <v>36</v>
      </c>
      <c r="E1096" s="1">
        <v>1.4583333333333333</v>
      </c>
      <c r="F1096" t="s">
        <v>1588</v>
      </c>
      <c r="G1096">
        <v>2</v>
      </c>
      <c r="H1096">
        <v>1081.432</v>
      </c>
      <c r="I1096">
        <v>5</v>
      </c>
      <c r="J1096">
        <v>1163.79</v>
      </c>
      <c r="K1096">
        <v>3.9161333999415802</v>
      </c>
      <c r="L1096">
        <v>609.91</v>
      </c>
      <c r="M1096" t="s">
        <v>60</v>
      </c>
      <c r="N1096">
        <v>1</v>
      </c>
      <c r="O1096">
        <v>1309</v>
      </c>
      <c r="P1096">
        <v>1136</v>
      </c>
      <c r="Q1096">
        <v>0.5</v>
      </c>
      <c r="R1096">
        <v>568</v>
      </c>
    </row>
    <row r="1097" spans="1:18" x14ac:dyDescent="0.3">
      <c r="A1097" s="5">
        <v>45964</v>
      </c>
      <c r="B1097" t="s">
        <v>1589</v>
      </c>
      <c r="C1097">
        <v>23</v>
      </c>
      <c r="D1097">
        <v>36</v>
      </c>
      <c r="E1097" s="1">
        <v>1.9993055555555554</v>
      </c>
      <c r="F1097" t="s">
        <v>1590</v>
      </c>
      <c r="G1097">
        <v>4</v>
      </c>
      <c r="H1097">
        <v>1080.8981000000001</v>
      </c>
      <c r="I1097">
        <v>7</v>
      </c>
      <c r="J1097">
        <v>1163.79</v>
      </c>
      <c r="K1097">
        <v>5.4825867599182097</v>
      </c>
      <c r="L1097">
        <v>1175.17</v>
      </c>
      <c r="M1097" t="s">
        <v>27</v>
      </c>
      <c r="N1097">
        <v>1</v>
      </c>
      <c r="O1097">
        <v>1330</v>
      </c>
      <c r="P1097">
        <v>1157</v>
      </c>
      <c r="Q1097">
        <v>0</v>
      </c>
      <c r="R1097">
        <v>1157</v>
      </c>
    </row>
    <row r="1098" spans="1:18" x14ac:dyDescent="0.3">
      <c r="A1098" s="5">
        <v>45964</v>
      </c>
      <c r="B1098" t="s">
        <v>1591</v>
      </c>
      <c r="C1098">
        <v>22</v>
      </c>
      <c r="D1098">
        <v>36</v>
      </c>
      <c r="E1098" s="1">
        <v>1.9993055555555554</v>
      </c>
      <c r="F1098" t="s">
        <v>1592</v>
      </c>
      <c r="G1098">
        <v>5</v>
      </c>
      <c r="H1098">
        <v>1080.9159</v>
      </c>
      <c r="I1098">
        <v>0</v>
      </c>
      <c r="J1098">
        <v>1163.79</v>
      </c>
      <c r="K1098">
        <v>0</v>
      </c>
      <c r="L1098">
        <v>1175.17</v>
      </c>
      <c r="M1098" t="s">
        <v>27</v>
      </c>
      <c r="N1098">
        <v>1</v>
      </c>
      <c r="O1098">
        <v>1254</v>
      </c>
      <c r="P1098">
        <v>1081</v>
      </c>
      <c r="Q1098">
        <v>0</v>
      </c>
      <c r="R1098">
        <v>1081</v>
      </c>
    </row>
    <row r="1099" spans="1:18" x14ac:dyDescent="0.3">
      <c r="A1099" s="5">
        <v>45964</v>
      </c>
      <c r="B1099" t="s">
        <v>1593</v>
      </c>
      <c r="C1099">
        <v>32</v>
      </c>
      <c r="D1099">
        <v>36</v>
      </c>
      <c r="E1099" s="1">
        <v>1.9791666666666665</v>
      </c>
      <c r="F1099" t="s">
        <v>1594</v>
      </c>
      <c r="G1099">
        <v>5</v>
      </c>
      <c r="H1099">
        <v>1080.7360000000001</v>
      </c>
      <c r="I1099">
        <v>0</v>
      </c>
      <c r="J1099">
        <v>1163.79</v>
      </c>
      <c r="K1099">
        <v>0</v>
      </c>
      <c r="L1099">
        <v>1175.17</v>
      </c>
      <c r="M1099" t="s">
        <v>27</v>
      </c>
      <c r="N1099">
        <v>1</v>
      </c>
      <c r="O1099">
        <v>1254</v>
      </c>
      <c r="P1099">
        <v>1081</v>
      </c>
      <c r="Q1099">
        <v>0</v>
      </c>
      <c r="R1099">
        <v>1081</v>
      </c>
    </row>
    <row r="1100" spans="1:18" x14ac:dyDescent="0.3">
      <c r="A1100" s="5">
        <v>45964</v>
      </c>
      <c r="B1100" t="s">
        <v>1595</v>
      </c>
      <c r="C1100">
        <v>17</v>
      </c>
      <c r="D1100">
        <v>35</v>
      </c>
      <c r="E1100" s="1">
        <v>1.25</v>
      </c>
      <c r="F1100" t="s">
        <v>1596</v>
      </c>
      <c r="G1100">
        <v>3</v>
      </c>
      <c r="H1100">
        <v>1081.1515999999999</v>
      </c>
      <c r="I1100">
        <v>10</v>
      </c>
      <c r="J1100">
        <v>1163.79</v>
      </c>
      <c r="K1100">
        <v>7.8322667998831603</v>
      </c>
      <c r="L1100">
        <v>609.91</v>
      </c>
      <c r="M1100" t="s">
        <v>20</v>
      </c>
      <c r="N1100">
        <v>1</v>
      </c>
      <c r="O1100">
        <v>1362</v>
      </c>
      <c r="P1100">
        <v>1189</v>
      </c>
      <c r="Q1100">
        <v>0.5</v>
      </c>
      <c r="R1100">
        <v>594.5</v>
      </c>
    </row>
    <row r="1101" spans="1:18" x14ac:dyDescent="0.3">
      <c r="A1101" s="5">
        <v>45964</v>
      </c>
      <c r="B1101" t="s">
        <v>1597</v>
      </c>
      <c r="C1101">
        <v>36</v>
      </c>
      <c r="D1101">
        <v>36</v>
      </c>
      <c r="E1101" s="1">
        <v>1.9993055555555554</v>
      </c>
      <c r="F1101" t="s">
        <v>1598</v>
      </c>
      <c r="G1101">
        <v>5</v>
      </c>
      <c r="H1101">
        <v>1080.6642999999999</v>
      </c>
      <c r="I1101">
        <v>0</v>
      </c>
      <c r="J1101">
        <v>1163.79</v>
      </c>
      <c r="K1101">
        <v>0</v>
      </c>
      <c r="L1101">
        <v>1175.17</v>
      </c>
      <c r="M1101" t="s">
        <v>27</v>
      </c>
      <c r="N1101">
        <v>1</v>
      </c>
      <c r="O1101">
        <v>1254</v>
      </c>
      <c r="P1101">
        <v>1081</v>
      </c>
      <c r="Q1101">
        <v>0</v>
      </c>
      <c r="R1101">
        <v>1081</v>
      </c>
    </row>
    <row r="1102" spans="1:18" x14ac:dyDescent="0.3">
      <c r="A1102" s="5">
        <v>45964</v>
      </c>
      <c r="B1102" t="s">
        <v>1599</v>
      </c>
      <c r="C1102">
        <v>18</v>
      </c>
      <c r="D1102">
        <v>36</v>
      </c>
      <c r="E1102" s="1">
        <v>1.9993055555555554</v>
      </c>
      <c r="F1102" t="s">
        <v>1598</v>
      </c>
      <c r="G1102">
        <v>5</v>
      </c>
      <c r="H1102">
        <v>1081.1205</v>
      </c>
      <c r="I1102">
        <v>0</v>
      </c>
      <c r="J1102">
        <v>1163.79</v>
      </c>
      <c r="K1102">
        <v>0</v>
      </c>
      <c r="L1102">
        <v>1175.17</v>
      </c>
      <c r="M1102" t="s">
        <v>27</v>
      </c>
      <c r="N1102">
        <v>1</v>
      </c>
      <c r="O1102">
        <v>1254</v>
      </c>
      <c r="P1102">
        <v>1081</v>
      </c>
      <c r="Q1102">
        <v>0</v>
      </c>
      <c r="R1102">
        <v>1081</v>
      </c>
    </row>
    <row r="1103" spans="1:18" x14ac:dyDescent="0.3">
      <c r="A1103" s="5">
        <v>45964</v>
      </c>
      <c r="B1103" t="s">
        <v>1600</v>
      </c>
      <c r="C1103">
        <v>27</v>
      </c>
      <c r="D1103">
        <v>36</v>
      </c>
      <c r="E1103" s="1">
        <v>1.9791666666666665</v>
      </c>
      <c r="F1103" t="s">
        <v>1601</v>
      </c>
      <c r="G1103">
        <v>5</v>
      </c>
      <c r="H1103">
        <v>1080.826</v>
      </c>
      <c r="I1103">
        <v>0</v>
      </c>
      <c r="J1103">
        <v>1163.79</v>
      </c>
      <c r="K1103">
        <v>0</v>
      </c>
      <c r="L1103">
        <v>1175.17</v>
      </c>
      <c r="M1103" t="s">
        <v>27</v>
      </c>
      <c r="N1103">
        <v>1</v>
      </c>
      <c r="O1103">
        <v>1254</v>
      </c>
      <c r="P1103">
        <v>1081</v>
      </c>
      <c r="Q1103">
        <v>0</v>
      </c>
      <c r="R1103">
        <v>1081</v>
      </c>
    </row>
    <row r="1104" spans="1:18" x14ac:dyDescent="0.3">
      <c r="A1104" s="5">
        <v>45964</v>
      </c>
      <c r="B1104" t="s">
        <v>1602</v>
      </c>
      <c r="C1104">
        <v>20</v>
      </c>
      <c r="D1104">
        <v>36</v>
      </c>
      <c r="E1104" s="1">
        <v>1.9993055555555554</v>
      </c>
      <c r="F1104" t="s">
        <v>1603</v>
      </c>
      <c r="G1104">
        <v>5</v>
      </c>
      <c r="H1104">
        <v>1081.0836999999999</v>
      </c>
      <c r="I1104">
        <v>0</v>
      </c>
      <c r="J1104">
        <v>1163.79</v>
      </c>
      <c r="K1104">
        <v>0</v>
      </c>
      <c r="L1104">
        <v>1175.17</v>
      </c>
      <c r="M1104" t="s">
        <v>27</v>
      </c>
      <c r="N1104">
        <v>1</v>
      </c>
      <c r="O1104">
        <v>1254</v>
      </c>
      <c r="P1104">
        <v>1081</v>
      </c>
      <c r="Q1104">
        <v>0</v>
      </c>
      <c r="R1104">
        <v>1081</v>
      </c>
    </row>
    <row r="1105" spans="1:18" x14ac:dyDescent="0.3">
      <c r="A1105" s="5">
        <v>45964</v>
      </c>
      <c r="B1105" t="s">
        <v>1602</v>
      </c>
      <c r="C1105">
        <v>20</v>
      </c>
      <c r="D1105">
        <v>36</v>
      </c>
      <c r="E1105" s="1">
        <v>1.9993055555555554</v>
      </c>
      <c r="F1105" t="s">
        <v>1603</v>
      </c>
      <c r="G1105">
        <v>5</v>
      </c>
      <c r="H1105">
        <v>1081.0836999999999</v>
      </c>
      <c r="I1105">
        <v>0</v>
      </c>
      <c r="J1105">
        <v>1163.79</v>
      </c>
      <c r="K1105">
        <v>0</v>
      </c>
      <c r="L1105">
        <v>1175.17</v>
      </c>
      <c r="M1105" t="s">
        <v>27</v>
      </c>
      <c r="N1105">
        <v>1</v>
      </c>
      <c r="O1105">
        <v>1254</v>
      </c>
      <c r="P1105">
        <v>1081</v>
      </c>
      <c r="Q1105">
        <v>0</v>
      </c>
      <c r="R1105">
        <v>1081</v>
      </c>
    </row>
    <row r="1106" spans="1:18" x14ac:dyDescent="0.3">
      <c r="A1106" s="5">
        <v>45964</v>
      </c>
      <c r="B1106" t="s">
        <v>1602</v>
      </c>
      <c r="C1106">
        <v>20</v>
      </c>
      <c r="D1106">
        <v>36</v>
      </c>
      <c r="E1106" s="1">
        <v>1.9993055555555554</v>
      </c>
      <c r="F1106" t="s">
        <v>1603</v>
      </c>
      <c r="G1106">
        <v>5</v>
      </c>
      <c r="H1106">
        <v>1081.0836999999999</v>
      </c>
      <c r="I1106">
        <v>0</v>
      </c>
      <c r="J1106">
        <v>1163.79</v>
      </c>
      <c r="K1106">
        <v>0</v>
      </c>
      <c r="L1106">
        <v>1175.17</v>
      </c>
      <c r="M1106" t="s">
        <v>27</v>
      </c>
      <c r="N1106">
        <v>1</v>
      </c>
      <c r="O1106">
        <v>1254</v>
      </c>
      <c r="P1106">
        <v>1081</v>
      </c>
      <c r="Q1106">
        <v>0</v>
      </c>
      <c r="R1106">
        <v>1081</v>
      </c>
    </row>
    <row r="1107" spans="1:18" x14ac:dyDescent="0.3">
      <c r="A1107" s="5">
        <v>45964</v>
      </c>
      <c r="B1107" t="s">
        <v>1604</v>
      </c>
      <c r="C1107">
        <v>15</v>
      </c>
      <c r="D1107">
        <v>36</v>
      </c>
      <c r="E1107" s="1">
        <v>1.9993055555555554</v>
      </c>
      <c r="F1107" t="s">
        <v>1603</v>
      </c>
      <c r="G1107">
        <v>5</v>
      </c>
      <c r="H1107">
        <v>1081.1736000000001</v>
      </c>
      <c r="I1107">
        <v>0</v>
      </c>
      <c r="J1107">
        <v>1163.79</v>
      </c>
      <c r="K1107">
        <v>0</v>
      </c>
      <c r="L1107">
        <v>1175.17</v>
      </c>
      <c r="M1107" t="s">
        <v>27</v>
      </c>
      <c r="N1107">
        <v>1</v>
      </c>
      <c r="O1107">
        <v>1254</v>
      </c>
      <c r="P1107">
        <v>1081</v>
      </c>
      <c r="Q1107">
        <v>0</v>
      </c>
      <c r="R1107">
        <v>1081</v>
      </c>
    </row>
    <row r="1108" spans="1:18" x14ac:dyDescent="0.3">
      <c r="A1108" s="5">
        <v>45964</v>
      </c>
      <c r="B1108" t="s">
        <v>1604</v>
      </c>
      <c r="C1108">
        <v>15</v>
      </c>
      <c r="D1108">
        <v>36</v>
      </c>
      <c r="E1108" s="1">
        <v>1.9993055555555554</v>
      </c>
      <c r="F1108" t="s">
        <v>1603</v>
      </c>
      <c r="G1108">
        <v>5</v>
      </c>
      <c r="H1108">
        <v>1081.1736000000001</v>
      </c>
      <c r="I1108">
        <v>0</v>
      </c>
      <c r="J1108">
        <v>1163.79</v>
      </c>
      <c r="K1108">
        <v>0</v>
      </c>
      <c r="L1108">
        <v>1175.17</v>
      </c>
      <c r="M1108" t="s">
        <v>27</v>
      </c>
      <c r="N1108">
        <v>1</v>
      </c>
      <c r="O1108">
        <v>1254</v>
      </c>
      <c r="P1108">
        <v>1081</v>
      </c>
      <c r="Q1108">
        <v>0</v>
      </c>
      <c r="R1108">
        <v>1081</v>
      </c>
    </row>
    <row r="1109" spans="1:18" x14ac:dyDescent="0.3">
      <c r="A1109" s="5">
        <v>45964</v>
      </c>
      <c r="B1109" t="s">
        <v>1604</v>
      </c>
      <c r="C1109">
        <v>15</v>
      </c>
      <c r="D1109">
        <v>36</v>
      </c>
      <c r="E1109" s="1">
        <v>1.9993055555555554</v>
      </c>
      <c r="F1109" t="s">
        <v>1603</v>
      </c>
      <c r="G1109">
        <v>5</v>
      </c>
      <c r="H1109">
        <v>1081.1736000000001</v>
      </c>
      <c r="I1109">
        <v>0</v>
      </c>
      <c r="J1109">
        <v>1163.79</v>
      </c>
      <c r="K1109">
        <v>0</v>
      </c>
      <c r="L1109">
        <v>1175.17</v>
      </c>
      <c r="M1109" t="s">
        <v>27</v>
      </c>
      <c r="N1109">
        <v>1</v>
      </c>
      <c r="O1109">
        <v>1254</v>
      </c>
      <c r="P1109">
        <v>1081</v>
      </c>
      <c r="Q1109">
        <v>0</v>
      </c>
      <c r="R1109">
        <v>1081</v>
      </c>
    </row>
    <row r="1110" spans="1:18" x14ac:dyDescent="0.3">
      <c r="A1110" s="5">
        <v>45964</v>
      </c>
      <c r="B1110" t="s">
        <v>1605</v>
      </c>
      <c r="C1110">
        <v>19</v>
      </c>
      <c r="D1110">
        <v>36</v>
      </c>
      <c r="E1110" s="1">
        <v>1.9993055555555554</v>
      </c>
      <c r="F1110" t="s">
        <v>1603</v>
      </c>
      <c r="G1110">
        <v>5</v>
      </c>
      <c r="H1110">
        <v>1081.1016</v>
      </c>
      <c r="I1110">
        <v>0</v>
      </c>
      <c r="J1110">
        <v>1163.79</v>
      </c>
      <c r="K1110">
        <v>0</v>
      </c>
      <c r="L1110">
        <v>1175.17</v>
      </c>
      <c r="M1110" t="s">
        <v>27</v>
      </c>
      <c r="N1110">
        <v>1</v>
      </c>
      <c r="O1110">
        <v>1254</v>
      </c>
      <c r="P1110">
        <v>1081</v>
      </c>
      <c r="Q1110">
        <v>0</v>
      </c>
      <c r="R1110">
        <v>1081</v>
      </c>
    </row>
    <row r="1111" spans="1:18" x14ac:dyDescent="0.3">
      <c r="A1111" s="5">
        <v>45964</v>
      </c>
      <c r="B1111" t="s">
        <v>1605</v>
      </c>
      <c r="C1111">
        <v>19</v>
      </c>
      <c r="D1111">
        <v>36</v>
      </c>
      <c r="E1111" s="1">
        <v>1.9993055555555554</v>
      </c>
      <c r="F1111" t="s">
        <v>1603</v>
      </c>
      <c r="G1111">
        <v>5</v>
      </c>
      <c r="H1111">
        <v>1081.1016</v>
      </c>
      <c r="I1111">
        <v>0</v>
      </c>
      <c r="J1111">
        <v>1163.79</v>
      </c>
      <c r="K1111">
        <v>0</v>
      </c>
      <c r="L1111">
        <v>1175.17</v>
      </c>
      <c r="M1111" t="s">
        <v>27</v>
      </c>
      <c r="N1111">
        <v>1</v>
      </c>
      <c r="O1111">
        <v>1254</v>
      </c>
      <c r="P1111">
        <v>1081</v>
      </c>
      <c r="Q1111">
        <v>0</v>
      </c>
      <c r="R1111">
        <v>1081</v>
      </c>
    </row>
    <row r="1112" spans="1:18" x14ac:dyDescent="0.3">
      <c r="A1112" s="5">
        <v>45964</v>
      </c>
      <c r="B1112" t="s">
        <v>1605</v>
      </c>
      <c r="C1112">
        <v>19</v>
      </c>
      <c r="D1112">
        <v>36</v>
      </c>
      <c r="E1112" s="1">
        <v>1.9993055555555554</v>
      </c>
      <c r="F1112" t="s">
        <v>1603</v>
      </c>
      <c r="G1112">
        <v>5</v>
      </c>
      <c r="H1112">
        <v>1081.1016</v>
      </c>
      <c r="I1112">
        <v>0</v>
      </c>
      <c r="J1112">
        <v>1163.79</v>
      </c>
      <c r="K1112">
        <v>0</v>
      </c>
      <c r="L1112">
        <v>1175.17</v>
      </c>
      <c r="M1112" t="s">
        <v>27</v>
      </c>
      <c r="N1112">
        <v>1</v>
      </c>
      <c r="O1112">
        <v>1254</v>
      </c>
      <c r="P1112">
        <v>1081</v>
      </c>
      <c r="Q1112">
        <v>0</v>
      </c>
      <c r="R1112">
        <v>1081</v>
      </c>
    </row>
    <row r="1113" spans="1:18" x14ac:dyDescent="0.3">
      <c r="A1113" s="5">
        <v>45964</v>
      </c>
      <c r="B1113" t="s">
        <v>1606</v>
      </c>
      <c r="C1113">
        <v>10</v>
      </c>
      <c r="D1113">
        <v>36</v>
      </c>
      <c r="E1113" s="1">
        <v>1.0833333333333333</v>
      </c>
      <c r="F1113" t="s">
        <v>1607</v>
      </c>
      <c r="G1113">
        <v>0</v>
      </c>
      <c r="H1113">
        <v>1081.4283</v>
      </c>
      <c r="I1113">
        <v>2.5</v>
      </c>
      <c r="J1113">
        <v>1163.79</v>
      </c>
      <c r="K1113">
        <v>1.9580666999707901</v>
      </c>
      <c r="L1113">
        <v>1158.8800000000001</v>
      </c>
      <c r="M1113" t="s">
        <v>27</v>
      </c>
      <c r="N1113">
        <v>1</v>
      </c>
      <c r="O1113">
        <v>1281</v>
      </c>
      <c r="P1113">
        <v>1108</v>
      </c>
      <c r="Q1113">
        <v>0</v>
      </c>
      <c r="R1113">
        <v>1108</v>
      </c>
    </row>
    <row r="1114" spans="1:18" x14ac:dyDescent="0.3">
      <c r="A1114" s="5">
        <v>45964</v>
      </c>
      <c r="B1114" t="s">
        <v>1608</v>
      </c>
      <c r="C1114">
        <v>18</v>
      </c>
      <c r="D1114">
        <v>36</v>
      </c>
      <c r="E1114" s="1">
        <v>1.9993055555555554</v>
      </c>
      <c r="F1114" t="s">
        <v>1609</v>
      </c>
      <c r="G1114">
        <v>5</v>
      </c>
      <c r="H1114">
        <v>1081.0533</v>
      </c>
      <c r="I1114">
        <v>0</v>
      </c>
      <c r="J1114">
        <v>1163.79</v>
      </c>
      <c r="K1114">
        <v>0</v>
      </c>
      <c r="L1114">
        <v>1158.8800000000001</v>
      </c>
      <c r="M1114" t="s">
        <v>27</v>
      </c>
      <c r="N1114">
        <v>1</v>
      </c>
      <c r="O1114">
        <v>1254</v>
      </c>
      <c r="P1114">
        <v>1081</v>
      </c>
      <c r="Q1114">
        <v>0</v>
      </c>
      <c r="R1114">
        <v>1081</v>
      </c>
    </row>
    <row r="1115" spans="1:18" x14ac:dyDescent="0.3">
      <c r="A1115" s="5">
        <v>45964</v>
      </c>
      <c r="B1115" t="s">
        <v>1610</v>
      </c>
      <c r="C1115">
        <v>21</v>
      </c>
      <c r="D1115">
        <v>36</v>
      </c>
      <c r="E1115" s="1">
        <v>1.9993055555555554</v>
      </c>
      <c r="F1115" t="s">
        <v>1609</v>
      </c>
      <c r="G1115">
        <v>5</v>
      </c>
      <c r="H1115">
        <v>1080.9994999999999</v>
      </c>
      <c r="I1115">
        <v>0</v>
      </c>
      <c r="J1115">
        <v>1163.79</v>
      </c>
      <c r="K1115">
        <v>0</v>
      </c>
      <c r="L1115">
        <v>1158.8800000000001</v>
      </c>
      <c r="M1115" t="s">
        <v>27</v>
      </c>
      <c r="N1115">
        <v>1</v>
      </c>
      <c r="O1115">
        <v>1254</v>
      </c>
      <c r="P1115">
        <v>1081</v>
      </c>
      <c r="Q1115">
        <v>0</v>
      </c>
      <c r="R1115">
        <v>1081</v>
      </c>
    </row>
    <row r="1116" spans="1:18" x14ac:dyDescent="0.3">
      <c r="A1116" s="5">
        <v>45964</v>
      </c>
      <c r="B1116" t="s">
        <v>1611</v>
      </c>
      <c r="C1116">
        <v>10</v>
      </c>
      <c r="D1116">
        <v>36</v>
      </c>
      <c r="E1116" s="1">
        <v>1.9993055555555554</v>
      </c>
      <c r="F1116" t="s">
        <v>1612</v>
      </c>
      <c r="G1116">
        <v>4</v>
      </c>
      <c r="H1116">
        <v>1081.1971000000001</v>
      </c>
      <c r="I1116">
        <v>7</v>
      </c>
      <c r="J1116">
        <v>1163.79</v>
      </c>
      <c r="K1116">
        <v>5.4825867599182097</v>
      </c>
      <c r="L1116">
        <v>1158.8800000000001</v>
      </c>
      <c r="M1116" t="s">
        <v>27</v>
      </c>
      <c r="N1116">
        <v>1</v>
      </c>
      <c r="O1116">
        <v>1330</v>
      </c>
      <c r="P1116">
        <v>1157</v>
      </c>
      <c r="Q1116">
        <v>0</v>
      </c>
      <c r="R1116">
        <v>1157</v>
      </c>
    </row>
    <row r="1117" spans="1:18" x14ac:dyDescent="0.3">
      <c r="A1117" s="5">
        <v>45964</v>
      </c>
      <c r="B1117" t="s">
        <v>1613</v>
      </c>
      <c r="C1117">
        <v>1</v>
      </c>
      <c r="D1117">
        <v>36</v>
      </c>
      <c r="E1117" s="1">
        <v>1.9791666666666665</v>
      </c>
      <c r="F1117" t="s">
        <v>1614</v>
      </c>
      <c r="G1117">
        <v>5</v>
      </c>
      <c r="H1117">
        <v>1081.4251999999999</v>
      </c>
      <c r="I1117">
        <v>0</v>
      </c>
      <c r="J1117">
        <v>1163.79</v>
      </c>
      <c r="K1117">
        <v>0</v>
      </c>
      <c r="L1117">
        <v>1175.17</v>
      </c>
      <c r="M1117" t="s">
        <v>27</v>
      </c>
      <c r="N1117">
        <v>1</v>
      </c>
      <c r="O1117">
        <v>1254</v>
      </c>
      <c r="P1117">
        <v>1081</v>
      </c>
      <c r="Q1117">
        <v>0</v>
      </c>
      <c r="R1117">
        <v>1081</v>
      </c>
    </row>
    <row r="1118" spans="1:18" x14ac:dyDescent="0.3">
      <c r="A1118" s="5">
        <v>45964</v>
      </c>
      <c r="B1118" t="s">
        <v>1615</v>
      </c>
      <c r="C1118">
        <v>4</v>
      </c>
      <c r="D1118">
        <v>36</v>
      </c>
      <c r="E1118" s="1">
        <v>1.9791666666666665</v>
      </c>
      <c r="F1118" t="s">
        <v>1533</v>
      </c>
      <c r="G1118">
        <v>5</v>
      </c>
      <c r="H1118">
        <v>1081.2379000000001</v>
      </c>
      <c r="I1118">
        <v>0</v>
      </c>
      <c r="J1118">
        <v>1163.79</v>
      </c>
      <c r="K1118">
        <v>0</v>
      </c>
      <c r="L1118">
        <v>1219.83</v>
      </c>
      <c r="M1118" t="s">
        <v>27</v>
      </c>
      <c r="N1118">
        <v>1</v>
      </c>
      <c r="O1118">
        <v>1254</v>
      </c>
      <c r="P1118">
        <v>1081</v>
      </c>
      <c r="Q1118">
        <v>0</v>
      </c>
      <c r="R1118">
        <v>1081</v>
      </c>
    </row>
    <row r="1119" spans="1:18" x14ac:dyDescent="0.3">
      <c r="A1119" s="5">
        <v>45964</v>
      </c>
      <c r="B1119" t="s">
        <v>1616</v>
      </c>
      <c r="C1119">
        <v>35</v>
      </c>
      <c r="D1119">
        <v>36</v>
      </c>
      <c r="E1119" s="1">
        <v>1.25</v>
      </c>
      <c r="F1119" t="s">
        <v>1617</v>
      </c>
      <c r="G1119">
        <v>4</v>
      </c>
      <c r="H1119">
        <v>1080.1383000000001</v>
      </c>
      <c r="I1119">
        <v>7</v>
      </c>
      <c r="J1119">
        <v>1163.79</v>
      </c>
      <c r="K1119">
        <v>5.4825867599182097</v>
      </c>
      <c r="L1119">
        <v>1219.83</v>
      </c>
      <c r="M1119" t="s">
        <v>27</v>
      </c>
      <c r="N1119">
        <v>1</v>
      </c>
      <c r="O1119">
        <v>1329</v>
      </c>
      <c r="P1119">
        <v>1156</v>
      </c>
      <c r="Q1119">
        <v>0</v>
      </c>
      <c r="R1119">
        <v>1156</v>
      </c>
    </row>
    <row r="1120" spans="1:18" x14ac:dyDescent="0.3">
      <c r="A1120" s="5">
        <v>45964</v>
      </c>
      <c r="B1120" t="s">
        <v>1618</v>
      </c>
      <c r="C1120">
        <v>17</v>
      </c>
      <c r="D1120">
        <v>36</v>
      </c>
      <c r="E1120" s="1">
        <v>1.9791666666666665</v>
      </c>
      <c r="F1120" t="s">
        <v>1619</v>
      </c>
      <c r="G1120">
        <v>5</v>
      </c>
      <c r="H1120">
        <v>1081.1359</v>
      </c>
      <c r="I1120">
        <v>0</v>
      </c>
      <c r="J1120">
        <v>1163.79</v>
      </c>
      <c r="K1120">
        <v>0</v>
      </c>
      <c r="L1120">
        <v>1175.17</v>
      </c>
      <c r="M1120" t="s">
        <v>27</v>
      </c>
      <c r="N1120">
        <v>1</v>
      </c>
      <c r="O1120">
        <v>1254</v>
      </c>
      <c r="P1120">
        <v>1081</v>
      </c>
      <c r="Q1120">
        <v>0</v>
      </c>
      <c r="R1120">
        <v>1081</v>
      </c>
    </row>
    <row r="1121" spans="1:18" x14ac:dyDescent="0.3">
      <c r="A1121" s="5">
        <v>45964</v>
      </c>
      <c r="B1121" t="s">
        <v>1620</v>
      </c>
      <c r="C1121">
        <v>6</v>
      </c>
      <c r="D1121">
        <v>36</v>
      </c>
      <c r="E1121" s="1">
        <v>1.4583333333333333</v>
      </c>
      <c r="F1121" t="s">
        <v>1621</v>
      </c>
      <c r="G1121">
        <v>0</v>
      </c>
      <c r="H1121">
        <v>1081.4897000000001</v>
      </c>
      <c r="I1121">
        <v>2.5</v>
      </c>
      <c r="J1121">
        <v>1163.79</v>
      </c>
      <c r="K1121">
        <v>1.9580666999707901</v>
      </c>
      <c r="L1121">
        <v>1116.3800000000001</v>
      </c>
      <c r="M1121" t="s">
        <v>27</v>
      </c>
      <c r="N1121">
        <v>1</v>
      </c>
      <c r="O1121">
        <v>1282</v>
      </c>
      <c r="P1121">
        <v>1109</v>
      </c>
      <c r="Q1121">
        <v>0</v>
      </c>
      <c r="R1121">
        <v>1109</v>
      </c>
    </row>
    <row r="1122" spans="1:18" x14ac:dyDescent="0.3">
      <c r="A1122" s="5">
        <v>45964</v>
      </c>
      <c r="B1122" t="s">
        <v>1620</v>
      </c>
      <c r="C1122">
        <v>6</v>
      </c>
      <c r="D1122">
        <v>36</v>
      </c>
      <c r="E1122" s="1">
        <v>1.4583333333333333</v>
      </c>
      <c r="F1122" t="s">
        <v>1621</v>
      </c>
      <c r="G1122">
        <v>0</v>
      </c>
      <c r="H1122">
        <v>1081.4897000000001</v>
      </c>
      <c r="I1122">
        <v>2.5</v>
      </c>
      <c r="J1122">
        <v>1163.79</v>
      </c>
      <c r="K1122">
        <v>1.9580666999707901</v>
      </c>
      <c r="L1122">
        <v>1116.3800000000001</v>
      </c>
      <c r="M1122" t="s">
        <v>27</v>
      </c>
      <c r="N1122">
        <v>1</v>
      </c>
      <c r="O1122">
        <v>1282</v>
      </c>
      <c r="P1122">
        <v>1109</v>
      </c>
      <c r="Q1122">
        <v>0</v>
      </c>
      <c r="R1122">
        <v>1109</v>
      </c>
    </row>
    <row r="1123" spans="1:18" x14ac:dyDescent="0.3">
      <c r="A1123" s="5">
        <v>45964</v>
      </c>
      <c r="B1123" t="s">
        <v>1622</v>
      </c>
      <c r="C1123">
        <v>5</v>
      </c>
      <c r="D1123">
        <v>36</v>
      </c>
      <c r="E1123" s="1">
        <v>1.4583333333333333</v>
      </c>
      <c r="F1123" t="s">
        <v>1621</v>
      </c>
      <c r="G1123">
        <v>0</v>
      </c>
      <c r="H1123">
        <v>1081.5077000000001</v>
      </c>
      <c r="I1123">
        <v>2.5</v>
      </c>
      <c r="J1123">
        <v>1163.79</v>
      </c>
      <c r="K1123">
        <v>1.9580666999707901</v>
      </c>
      <c r="L1123">
        <v>1158.8800000000001</v>
      </c>
      <c r="M1123" t="s">
        <v>27</v>
      </c>
      <c r="N1123">
        <v>1</v>
      </c>
      <c r="O1123">
        <v>1282</v>
      </c>
      <c r="P1123">
        <v>1109</v>
      </c>
      <c r="Q1123">
        <v>0</v>
      </c>
      <c r="R1123">
        <v>1109</v>
      </c>
    </row>
    <row r="1124" spans="1:18" x14ac:dyDescent="0.3">
      <c r="A1124" s="5">
        <v>45964</v>
      </c>
      <c r="B1124" t="s">
        <v>1622</v>
      </c>
      <c r="C1124">
        <v>5</v>
      </c>
      <c r="D1124">
        <v>36</v>
      </c>
      <c r="E1124" s="1">
        <v>1.4583333333333333</v>
      </c>
      <c r="F1124" t="s">
        <v>1621</v>
      </c>
      <c r="G1124">
        <v>0</v>
      </c>
      <c r="H1124">
        <v>1081.5077000000001</v>
      </c>
      <c r="I1124">
        <v>2.5</v>
      </c>
      <c r="J1124">
        <v>1163.79</v>
      </c>
      <c r="K1124">
        <v>1.9580666999707901</v>
      </c>
      <c r="L1124">
        <v>1158.8800000000001</v>
      </c>
      <c r="M1124" t="s">
        <v>27</v>
      </c>
      <c r="N1124">
        <v>1</v>
      </c>
      <c r="O1124">
        <v>1282</v>
      </c>
      <c r="P1124">
        <v>1109</v>
      </c>
      <c r="Q1124">
        <v>0</v>
      </c>
      <c r="R1124">
        <v>1109</v>
      </c>
    </row>
    <row r="1125" spans="1:18" x14ac:dyDescent="0.3">
      <c r="A1125" s="5">
        <v>45964</v>
      </c>
      <c r="B1125" t="s">
        <v>1623</v>
      </c>
      <c r="C1125">
        <v>35</v>
      </c>
      <c r="D1125">
        <v>36</v>
      </c>
      <c r="E1125" s="1">
        <v>1.9791666666666665</v>
      </c>
      <c r="F1125" t="s">
        <v>1624</v>
      </c>
      <c r="G1125">
        <v>5</v>
      </c>
      <c r="H1125">
        <v>1080.6797999999999</v>
      </c>
      <c r="I1125">
        <v>0</v>
      </c>
      <c r="J1125">
        <v>1163.79</v>
      </c>
      <c r="K1125">
        <v>0</v>
      </c>
      <c r="L1125">
        <v>1175.17</v>
      </c>
      <c r="M1125" t="s">
        <v>27</v>
      </c>
      <c r="N1125">
        <v>1</v>
      </c>
      <c r="O1125">
        <v>1254</v>
      </c>
      <c r="P1125">
        <v>1081</v>
      </c>
      <c r="Q1125">
        <v>0</v>
      </c>
      <c r="R1125">
        <v>1081</v>
      </c>
    </row>
    <row r="1126" spans="1:18" x14ac:dyDescent="0.3">
      <c r="A1126" s="5">
        <v>45964</v>
      </c>
      <c r="B1126" t="s">
        <v>1625</v>
      </c>
      <c r="C1126">
        <v>27</v>
      </c>
      <c r="D1126">
        <v>36</v>
      </c>
      <c r="E1126" s="1">
        <v>1.4583333333333333</v>
      </c>
      <c r="F1126" t="s">
        <v>1626</v>
      </c>
      <c r="G1126">
        <v>0</v>
      </c>
      <c r="H1126">
        <v>1080.9844000000001</v>
      </c>
      <c r="I1126">
        <v>2.5</v>
      </c>
      <c r="J1126">
        <v>1163.79</v>
      </c>
      <c r="K1126">
        <v>1.9580666999707901</v>
      </c>
      <c r="L1126">
        <v>1158.8800000000001</v>
      </c>
      <c r="M1126" t="s">
        <v>27</v>
      </c>
      <c r="N1126">
        <v>1</v>
      </c>
      <c r="O1126">
        <v>1281</v>
      </c>
      <c r="P1126">
        <v>1108</v>
      </c>
      <c r="Q1126">
        <v>0</v>
      </c>
      <c r="R1126">
        <v>1108</v>
      </c>
    </row>
    <row r="1127" spans="1:18" x14ac:dyDescent="0.3">
      <c r="A1127" s="5">
        <v>45964</v>
      </c>
      <c r="B1127" t="s">
        <v>1627</v>
      </c>
      <c r="C1127">
        <v>3</v>
      </c>
      <c r="D1127">
        <v>36</v>
      </c>
      <c r="E1127" s="1">
        <v>1.0833333333333333</v>
      </c>
      <c r="F1127" t="s">
        <v>1628</v>
      </c>
      <c r="G1127">
        <v>0</v>
      </c>
      <c r="H1127">
        <v>1081.5527</v>
      </c>
      <c r="I1127">
        <v>2.5</v>
      </c>
      <c r="J1127">
        <v>1163.79</v>
      </c>
      <c r="K1127">
        <v>1.9580666999707901</v>
      </c>
      <c r="L1127">
        <v>1158.8800000000001</v>
      </c>
      <c r="M1127" t="s">
        <v>27</v>
      </c>
      <c r="N1127">
        <v>1</v>
      </c>
      <c r="O1127">
        <v>1282</v>
      </c>
      <c r="P1127">
        <v>1109</v>
      </c>
      <c r="Q1127">
        <v>0</v>
      </c>
      <c r="R1127">
        <v>1109</v>
      </c>
    </row>
    <row r="1128" spans="1:18" x14ac:dyDescent="0.3">
      <c r="A1128" s="5">
        <v>45964</v>
      </c>
      <c r="B1128" t="s">
        <v>1629</v>
      </c>
      <c r="C1128">
        <v>10</v>
      </c>
      <c r="D1128">
        <v>36</v>
      </c>
      <c r="E1128" s="1">
        <v>1.25</v>
      </c>
      <c r="F1128" t="s">
        <v>1630</v>
      </c>
      <c r="G1128">
        <v>4</v>
      </c>
      <c r="H1128">
        <v>1081.425</v>
      </c>
      <c r="I1128">
        <v>7</v>
      </c>
      <c r="J1128">
        <v>1163.79</v>
      </c>
      <c r="K1128">
        <v>5.4825867599182097</v>
      </c>
      <c r="L1128">
        <v>1158.8800000000001</v>
      </c>
      <c r="M1128" t="s">
        <v>27</v>
      </c>
      <c r="N1128">
        <v>1</v>
      </c>
      <c r="O1128">
        <v>1330</v>
      </c>
      <c r="P1128">
        <v>1157</v>
      </c>
      <c r="Q1128">
        <v>0</v>
      </c>
      <c r="R1128">
        <v>1157</v>
      </c>
    </row>
    <row r="1129" spans="1:18" x14ac:dyDescent="0.3">
      <c r="A1129" s="5">
        <v>45964</v>
      </c>
      <c r="B1129" t="s">
        <v>1631</v>
      </c>
      <c r="C1129">
        <v>16</v>
      </c>
      <c r="D1129">
        <v>36</v>
      </c>
      <c r="E1129" s="1">
        <v>1.9791666666666665</v>
      </c>
      <c r="F1129" t="s">
        <v>1632</v>
      </c>
      <c r="G1129">
        <v>5</v>
      </c>
      <c r="H1129">
        <v>1081.1531</v>
      </c>
      <c r="I1129">
        <v>0</v>
      </c>
      <c r="J1129">
        <v>1163.79</v>
      </c>
      <c r="K1129">
        <v>0</v>
      </c>
      <c r="L1129">
        <v>1175.17</v>
      </c>
      <c r="M1129" t="s">
        <v>27</v>
      </c>
      <c r="N1129">
        <v>1</v>
      </c>
      <c r="O1129">
        <v>1254</v>
      </c>
      <c r="P1129">
        <v>1081</v>
      </c>
      <c r="Q1129">
        <v>0</v>
      </c>
      <c r="R1129">
        <v>1081</v>
      </c>
    </row>
    <row r="1130" spans="1:18" x14ac:dyDescent="0.3">
      <c r="A1130" s="5">
        <v>45964</v>
      </c>
      <c r="B1130" t="s">
        <v>1633</v>
      </c>
      <c r="C1130">
        <v>30</v>
      </c>
      <c r="D1130">
        <v>36</v>
      </c>
      <c r="E1130" s="1">
        <v>1.4583333333333333</v>
      </c>
      <c r="F1130" t="s">
        <v>1634</v>
      </c>
      <c r="G1130">
        <v>0</v>
      </c>
      <c r="H1130">
        <v>1080.9295999999999</v>
      </c>
      <c r="I1130">
        <v>2.5</v>
      </c>
      <c r="J1130">
        <v>1163.79</v>
      </c>
      <c r="K1130">
        <v>1.9580666999707901</v>
      </c>
      <c r="L1130">
        <v>1158.8800000000001</v>
      </c>
      <c r="M1130" t="s">
        <v>27</v>
      </c>
      <c r="N1130">
        <v>1</v>
      </c>
      <c r="O1130">
        <v>1281</v>
      </c>
      <c r="P1130">
        <v>1108</v>
      </c>
      <c r="Q1130">
        <v>0</v>
      </c>
      <c r="R1130">
        <v>1108</v>
      </c>
    </row>
    <row r="1131" spans="1:18" x14ac:dyDescent="0.3">
      <c r="A1131" s="5">
        <v>45964</v>
      </c>
      <c r="B1131" t="s">
        <v>1635</v>
      </c>
      <c r="C1131">
        <v>31</v>
      </c>
      <c r="D1131">
        <v>36</v>
      </c>
      <c r="E1131" s="1">
        <v>1.4583333333333333</v>
      </c>
      <c r="F1131" t="s">
        <v>1634</v>
      </c>
      <c r="G1131">
        <v>0</v>
      </c>
      <c r="H1131">
        <v>1080.9119000000001</v>
      </c>
      <c r="I1131">
        <v>2.5</v>
      </c>
      <c r="J1131">
        <v>1163.79</v>
      </c>
      <c r="K1131">
        <v>1.9580666999707901</v>
      </c>
      <c r="L1131">
        <v>609.91</v>
      </c>
      <c r="M1131" t="s">
        <v>20</v>
      </c>
      <c r="N1131">
        <v>1</v>
      </c>
      <c r="O1131">
        <v>1281</v>
      </c>
      <c r="P1131">
        <v>1108</v>
      </c>
      <c r="Q1131">
        <v>0.5</v>
      </c>
      <c r="R1131">
        <v>554</v>
      </c>
    </row>
    <row r="1132" spans="1:18" x14ac:dyDescent="0.3">
      <c r="A1132" s="5">
        <v>45964</v>
      </c>
      <c r="B1132" t="s">
        <v>1636</v>
      </c>
      <c r="C1132">
        <v>16</v>
      </c>
      <c r="D1132">
        <v>36</v>
      </c>
      <c r="E1132" s="1">
        <v>1.9993055555555554</v>
      </c>
      <c r="F1132" t="s">
        <v>1637</v>
      </c>
      <c r="G1132">
        <v>0</v>
      </c>
      <c r="H1132">
        <v>1081.0820000000001</v>
      </c>
      <c r="I1132">
        <v>2.5</v>
      </c>
      <c r="J1132">
        <v>1163.79</v>
      </c>
      <c r="K1132">
        <v>1.9580666999707901</v>
      </c>
      <c r="L1132">
        <v>609.91</v>
      </c>
      <c r="M1132" t="s">
        <v>60</v>
      </c>
      <c r="N1132">
        <v>1</v>
      </c>
      <c r="O1132">
        <v>1281</v>
      </c>
      <c r="P1132">
        <v>1108</v>
      </c>
      <c r="Q1132">
        <v>0.5</v>
      </c>
      <c r="R1132">
        <v>554</v>
      </c>
    </row>
    <row r="1133" spans="1:18" x14ac:dyDescent="0.3">
      <c r="A1133" s="5">
        <v>45964</v>
      </c>
      <c r="B1133" t="s">
        <v>1638</v>
      </c>
      <c r="C1133">
        <v>8</v>
      </c>
      <c r="D1133">
        <v>36</v>
      </c>
      <c r="E1133" s="1">
        <v>1.9993055555555554</v>
      </c>
      <c r="F1133" t="s">
        <v>1639</v>
      </c>
      <c r="G1133">
        <v>3</v>
      </c>
      <c r="H1133">
        <v>1081.2844</v>
      </c>
      <c r="I1133">
        <v>10</v>
      </c>
      <c r="J1133">
        <v>1163.79</v>
      </c>
      <c r="K1133">
        <v>7.8322667998831603</v>
      </c>
      <c r="L1133">
        <v>618.53</v>
      </c>
      <c r="M1133" t="s">
        <v>20</v>
      </c>
      <c r="N1133">
        <v>1</v>
      </c>
      <c r="O1133">
        <v>1362</v>
      </c>
      <c r="P1133">
        <v>1189</v>
      </c>
      <c r="Q1133">
        <v>0.5</v>
      </c>
      <c r="R1133">
        <v>594.5</v>
      </c>
    </row>
    <row r="1134" spans="1:18" x14ac:dyDescent="0.3">
      <c r="A1134" s="5">
        <v>45964</v>
      </c>
      <c r="B1134" t="s">
        <v>1640</v>
      </c>
      <c r="C1134">
        <v>9</v>
      </c>
      <c r="D1134">
        <v>36</v>
      </c>
      <c r="E1134" s="1">
        <v>1.9993055555555554</v>
      </c>
      <c r="F1134" t="s">
        <v>1641</v>
      </c>
      <c r="G1134">
        <v>1</v>
      </c>
      <c r="H1134">
        <v>1081.2665999999999</v>
      </c>
      <c r="I1134">
        <v>8.5</v>
      </c>
      <c r="J1134">
        <v>1163.79</v>
      </c>
      <c r="K1134">
        <v>6.6574267799006801</v>
      </c>
      <c r="L1134">
        <v>1237.07</v>
      </c>
      <c r="M1134" t="s">
        <v>27</v>
      </c>
      <c r="N1134">
        <v>1</v>
      </c>
      <c r="O1134">
        <v>1346</v>
      </c>
      <c r="P1134">
        <v>1173</v>
      </c>
      <c r="Q1134">
        <v>0</v>
      </c>
      <c r="R1134">
        <v>1173</v>
      </c>
    </row>
    <row r="1135" spans="1:18" x14ac:dyDescent="0.3">
      <c r="A1135" s="5">
        <v>45964</v>
      </c>
      <c r="B1135" t="s">
        <v>1642</v>
      </c>
      <c r="C1135">
        <v>18</v>
      </c>
      <c r="D1135">
        <v>36</v>
      </c>
      <c r="E1135" s="1">
        <v>1.9791666666666665</v>
      </c>
      <c r="F1135" t="s">
        <v>1643</v>
      </c>
      <c r="G1135">
        <v>5</v>
      </c>
      <c r="H1135">
        <v>1081.1166000000001</v>
      </c>
      <c r="I1135">
        <v>0</v>
      </c>
      <c r="J1135">
        <v>1163.79</v>
      </c>
      <c r="K1135">
        <v>0</v>
      </c>
      <c r="L1135">
        <v>1175.17</v>
      </c>
      <c r="M1135" t="s">
        <v>27</v>
      </c>
      <c r="N1135">
        <v>1</v>
      </c>
      <c r="O1135">
        <v>1254</v>
      </c>
      <c r="P1135">
        <v>1081</v>
      </c>
      <c r="Q1135">
        <v>0</v>
      </c>
      <c r="R1135">
        <v>1081</v>
      </c>
    </row>
    <row r="1136" spans="1:18" x14ac:dyDescent="0.3">
      <c r="A1136" s="5">
        <v>45964</v>
      </c>
      <c r="B1136" t="s">
        <v>1644</v>
      </c>
      <c r="C1136">
        <v>17</v>
      </c>
      <c r="D1136">
        <v>36</v>
      </c>
      <c r="E1136" s="1">
        <v>1.9652777777777777</v>
      </c>
      <c r="F1136" t="s">
        <v>1645</v>
      </c>
      <c r="G1136">
        <v>1</v>
      </c>
      <c r="H1136">
        <v>1081.0634</v>
      </c>
      <c r="I1136">
        <v>8.5</v>
      </c>
      <c r="J1136">
        <v>1163.79</v>
      </c>
      <c r="K1136">
        <v>6.6574267799006801</v>
      </c>
      <c r="L1136">
        <v>1097.8399999999999</v>
      </c>
      <c r="M1136" t="s">
        <v>27</v>
      </c>
      <c r="N1136">
        <v>1</v>
      </c>
      <c r="O1136">
        <v>1346</v>
      </c>
      <c r="P1136">
        <v>1173</v>
      </c>
      <c r="Q1136">
        <v>0</v>
      </c>
      <c r="R1136">
        <v>1173</v>
      </c>
    </row>
    <row r="1137" spans="1:18" x14ac:dyDescent="0.3">
      <c r="A1137" s="5">
        <v>45964</v>
      </c>
      <c r="B1137" t="s">
        <v>1646</v>
      </c>
      <c r="C1137">
        <v>2</v>
      </c>
      <c r="D1137">
        <v>36</v>
      </c>
      <c r="E1137" s="1">
        <v>1.0833333333333333</v>
      </c>
      <c r="F1137" t="s">
        <v>1647</v>
      </c>
      <c r="G1137">
        <v>4</v>
      </c>
      <c r="H1137">
        <v>1080.855</v>
      </c>
      <c r="I1137">
        <v>7</v>
      </c>
      <c r="J1137">
        <v>1163.79</v>
      </c>
      <c r="K1137">
        <v>5.4825867599182097</v>
      </c>
      <c r="L1137">
        <v>1219.83</v>
      </c>
      <c r="M1137" t="s">
        <v>27</v>
      </c>
      <c r="N1137">
        <v>1</v>
      </c>
      <c r="O1137">
        <v>1329</v>
      </c>
      <c r="P1137">
        <v>1157</v>
      </c>
      <c r="Q1137">
        <v>0</v>
      </c>
      <c r="R1137">
        <v>1157</v>
      </c>
    </row>
    <row r="1138" spans="1:18" x14ac:dyDescent="0.3">
      <c r="A1138" s="5">
        <v>45964</v>
      </c>
      <c r="B1138" t="s">
        <v>1648</v>
      </c>
      <c r="C1138">
        <v>3</v>
      </c>
      <c r="D1138">
        <v>36</v>
      </c>
      <c r="E1138" s="1">
        <v>1.0833333333333333</v>
      </c>
      <c r="F1138" t="s">
        <v>1649</v>
      </c>
      <c r="G1138">
        <v>4</v>
      </c>
      <c r="H1138">
        <v>1080.837</v>
      </c>
      <c r="I1138">
        <v>7</v>
      </c>
      <c r="J1138">
        <v>1163.79</v>
      </c>
      <c r="K1138">
        <v>5.4825867599182097</v>
      </c>
      <c r="L1138">
        <v>1219.83</v>
      </c>
      <c r="M1138" t="s">
        <v>27</v>
      </c>
      <c r="N1138">
        <v>1</v>
      </c>
      <c r="O1138">
        <v>1329</v>
      </c>
      <c r="P1138">
        <v>1156</v>
      </c>
      <c r="Q1138">
        <v>0</v>
      </c>
      <c r="R1138">
        <v>1156</v>
      </c>
    </row>
    <row r="1139" spans="1:18" x14ac:dyDescent="0.3">
      <c r="A1139" s="5">
        <v>45964</v>
      </c>
      <c r="B1139" t="s">
        <v>1650</v>
      </c>
      <c r="C1139">
        <v>22</v>
      </c>
      <c r="D1139">
        <v>36</v>
      </c>
      <c r="E1139" s="1">
        <v>1.9791666666666665</v>
      </c>
      <c r="F1139" t="s">
        <v>1651</v>
      </c>
      <c r="G1139">
        <v>1</v>
      </c>
      <c r="H1139">
        <v>1080.9132999999999</v>
      </c>
      <c r="I1139">
        <v>8.5</v>
      </c>
      <c r="J1139">
        <v>1163.79</v>
      </c>
      <c r="K1139">
        <v>6.6574267799006801</v>
      </c>
      <c r="L1139">
        <v>1237.07</v>
      </c>
      <c r="M1139" t="s">
        <v>27</v>
      </c>
      <c r="N1139">
        <v>1</v>
      </c>
      <c r="O1139">
        <v>1346</v>
      </c>
      <c r="P1139">
        <v>1173</v>
      </c>
      <c r="Q1139">
        <v>0</v>
      </c>
      <c r="R1139">
        <v>1173</v>
      </c>
    </row>
    <row r="1140" spans="1:18" x14ac:dyDescent="0.3">
      <c r="A1140" s="5">
        <v>45964</v>
      </c>
      <c r="B1140" t="s">
        <v>1652</v>
      </c>
      <c r="C1140">
        <v>23</v>
      </c>
      <c r="D1140">
        <v>36</v>
      </c>
      <c r="E1140" s="1">
        <v>1.9791666666666665</v>
      </c>
      <c r="F1140" t="s">
        <v>1653</v>
      </c>
      <c r="G1140">
        <v>1</v>
      </c>
      <c r="H1140">
        <v>1080.8952999999999</v>
      </c>
      <c r="I1140">
        <v>8.5</v>
      </c>
      <c r="J1140">
        <v>1163.79</v>
      </c>
      <c r="K1140">
        <v>6.6574267799006801</v>
      </c>
      <c r="L1140">
        <v>1237.07</v>
      </c>
      <c r="M1140" t="s">
        <v>27</v>
      </c>
      <c r="N1140">
        <v>1</v>
      </c>
      <c r="O1140">
        <v>1346</v>
      </c>
      <c r="P1140">
        <v>1173</v>
      </c>
      <c r="Q1140">
        <v>0</v>
      </c>
      <c r="R1140">
        <v>1173</v>
      </c>
    </row>
    <row r="1141" spans="1:18" x14ac:dyDescent="0.3">
      <c r="A1141" s="5">
        <v>45964</v>
      </c>
      <c r="B1141" t="s">
        <v>1654</v>
      </c>
      <c r="C1141">
        <v>30</v>
      </c>
      <c r="D1141">
        <v>36</v>
      </c>
      <c r="E1141" s="1">
        <v>1.9993055555555554</v>
      </c>
      <c r="F1141" t="s">
        <v>1655</v>
      </c>
      <c r="G1141">
        <v>2</v>
      </c>
      <c r="H1141">
        <v>1080.6921</v>
      </c>
      <c r="I1141">
        <v>5</v>
      </c>
      <c r="J1141">
        <v>1163.79</v>
      </c>
      <c r="K1141">
        <v>3.9161333999415802</v>
      </c>
      <c r="L1141">
        <v>609.91</v>
      </c>
      <c r="M1141" t="s">
        <v>60</v>
      </c>
      <c r="N1141">
        <v>1</v>
      </c>
      <c r="O1141">
        <v>1308</v>
      </c>
      <c r="P1141">
        <v>1135</v>
      </c>
      <c r="Q1141">
        <v>0.5</v>
      </c>
      <c r="R1141">
        <v>567.5</v>
      </c>
    </row>
    <row r="1142" spans="1:18" x14ac:dyDescent="0.3">
      <c r="A1142" s="5">
        <v>45964</v>
      </c>
      <c r="B1142" t="s">
        <v>1656</v>
      </c>
      <c r="C1142">
        <v>17</v>
      </c>
      <c r="D1142">
        <v>36</v>
      </c>
      <c r="E1142" s="1">
        <v>1.9993055555555554</v>
      </c>
      <c r="F1142" t="s">
        <v>1657</v>
      </c>
      <c r="G1142">
        <v>5</v>
      </c>
      <c r="H1142">
        <v>1081.0681999999999</v>
      </c>
      <c r="I1142">
        <v>0</v>
      </c>
      <c r="J1142">
        <v>1163.79</v>
      </c>
      <c r="K1142">
        <v>0</v>
      </c>
      <c r="L1142">
        <v>1158.8800000000001</v>
      </c>
      <c r="M1142" t="s">
        <v>27</v>
      </c>
      <c r="N1142">
        <v>1</v>
      </c>
      <c r="O1142">
        <v>1254</v>
      </c>
      <c r="P1142">
        <v>1081</v>
      </c>
      <c r="Q1142">
        <v>0</v>
      </c>
      <c r="R1142">
        <v>1081</v>
      </c>
    </row>
    <row r="1143" spans="1:18" x14ac:dyDescent="0.3">
      <c r="A1143" s="5">
        <v>45964</v>
      </c>
      <c r="B1143" t="s">
        <v>1658</v>
      </c>
      <c r="C1143">
        <v>31</v>
      </c>
      <c r="D1143">
        <v>36</v>
      </c>
      <c r="E1143" s="1">
        <v>1.0833333333333333</v>
      </c>
      <c r="F1143" t="s">
        <v>1659</v>
      </c>
      <c r="G1143">
        <v>0</v>
      </c>
      <c r="H1143">
        <v>1080.9154000000001</v>
      </c>
      <c r="I1143">
        <v>2.5</v>
      </c>
      <c r="J1143">
        <v>1163.79</v>
      </c>
      <c r="K1143">
        <v>1.9580666999707901</v>
      </c>
      <c r="L1143">
        <v>1158.8800000000001</v>
      </c>
      <c r="M1143" t="s">
        <v>27</v>
      </c>
      <c r="N1143">
        <v>1</v>
      </c>
      <c r="O1143">
        <v>1281</v>
      </c>
      <c r="P1143">
        <v>1108</v>
      </c>
      <c r="Q1143">
        <v>0</v>
      </c>
      <c r="R1143">
        <v>1108</v>
      </c>
    </row>
    <row r="1144" spans="1:18" x14ac:dyDescent="0.3">
      <c r="A1144" s="5">
        <v>45964</v>
      </c>
      <c r="B1144" t="s">
        <v>1660</v>
      </c>
      <c r="C1144">
        <v>24</v>
      </c>
      <c r="D1144">
        <v>36</v>
      </c>
      <c r="E1144" s="1">
        <v>1.9993055555555554</v>
      </c>
      <c r="F1144" t="s">
        <v>1661</v>
      </c>
      <c r="G1144">
        <v>4</v>
      </c>
      <c r="H1144">
        <v>1080.809</v>
      </c>
      <c r="I1144">
        <v>7</v>
      </c>
      <c r="J1144">
        <v>1163.79</v>
      </c>
      <c r="K1144">
        <v>5.4825867599182097</v>
      </c>
      <c r="L1144">
        <v>1158.8800000000001</v>
      </c>
      <c r="M1144" t="s">
        <v>27</v>
      </c>
      <c r="N1144">
        <v>1</v>
      </c>
      <c r="O1144">
        <v>1329</v>
      </c>
      <c r="P1144">
        <v>1156</v>
      </c>
      <c r="Q1144">
        <v>0</v>
      </c>
      <c r="R1144">
        <v>1156</v>
      </c>
    </row>
    <row r="1145" spans="1:18" x14ac:dyDescent="0.3">
      <c r="A1145" s="5">
        <v>45964</v>
      </c>
      <c r="B1145" t="s">
        <v>1660</v>
      </c>
      <c r="C1145">
        <v>24</v>
      </c>
      <c r="D1145">
        <v>36</v>
      </c>
      <c r="E1145" s="1">
        <v>1.9993055555555554</v>
      </c>
      <c r="F1145" t="s">
        <v>1661</v>
      </c>
      <c r="G1145">
        <v>4</v>
      </c>
      <c r="H1145">
        <v>1080.809</v>
      </c>
      <c r="I1145">
        <v>7</v>
      </c>
      <c r="J1145">
        <v>1163.79</v>
      </c>
      <c r="K1145">
        <v>5.4825867599182097</v>
      </c>
      <c r="L1145">
        <v>1158.8800000000001</v>
      </c>
      <c r="M1145" t="s">
        <v>27</v>
      </c>
      <c r="N1145">
        <v>1</v>
      </c>
      <c r="O1145">
        <v>1329</v>
      </c>
      <c r="P1145">
        <v>1156</v>
      </c>
      <c r="Q1145">
        <v>0</v>
      </c>
      <c r="R1145">
        <v>1156</v>
      </c>
    </row>
    <row r="1146" spans="1:18" x14ac:dyDescent="0.3">
      <c r="A1146" s="5">
        <v>45964</v>
      </c>
      <c r="B1146" t="s">
        <v>1662</v>
      </c>
      <c r="C1146">
        <v>27</v>
      </c>
      <c r="D1146">
        <v>36</v>
      </c>
      <c r="E1146" s="1">
        <v>1.9993055555555554</v>
      </c>
      <c r="F1146" t="s">
        <v>1661</v>
      </c>
      <c r="G1146">
        <v>4</v>
      </c>
      <c r="H1146">
        <v>1080.7551000000001</v>
      </c>
      <c r="I1146">
        <v>7</v>
      </c>
      <c r="J1146">
        <v>1163.79</v>
      </c>
      <c r="K1146">
        <v>5.4825867599182097</v>
      </c>
      <c r="L1146">
        <v>1158.8800000000001</v>
      </c>
      <c r="M1146" t="s">
        <v>27</v>
      </c>
      <c r="N1146">
        <v>1</v>
      </c>
      <c r="O1146">
        <v>1329</v>
      </c>
      <c r="P1146">
        <v>1156</v>
      </c>
      <c r="Q1146">
        <v>0</v>
      </c>
      <c r="R1146">
        <v>1156</v>
      </c>
    </row>
    <row r="1147" spans="1:18" x14ac:dyDescent="0.3">
      <c r="A1147" s="5">
        <v>45964</v>
      </c>
      <c r="B1147" t="s">
        <v>1662</v>
      </c>
      <c r="C1147">
        <v>27</v>
      </c>
      <c r="D1147">
        <v>36</v>
      </c>
      <c r="E1147" s="1">
        <v>1.9993055555555554</v>
      </c>
      <c r="F1147" t="s">
        <v>1661</v>
      </c>
      <c r="G1147">
        <v>4</v>
      </c>
      <c r="H1147">
        <v>1080.7551000000001</v>
      </c>
      <c r="I1147">
        <v>7</v>
      </c>
      <c r="J1147">
        <v>1163.79</v>
      </c>
      <c r="K1147">
        <v>5.4825867599182097</v>
      </c>
      <c r="L1147">
        <v>1158.8800000000001</v>
      </c>
      <c r="M1147" t="s">
        <v>27</v>
      </c>
      <c r="N1147">
        <v>1</v>
      </c>
      <c r="O1147">
        <v>1329</v>
      </c>
      <c r="P1147">
        <v>1156</v>
      </c>
      <c r="Q1147">
        <v>0</v>
      </c>
      <c r="R1147">
        <v>1156</v>
      </c>
    </row>
    <row r="1148" spans="1:18" x14ac:dyDescent="0.3">
      <c r="A1148" s="5">
        <v>45964</v>
      </c>
      <c r="B1148" t="s">
        <v>1663</v>
      </c>
      <c r="C1148">
        <v>10</v>
      </c>
      <c r="D1148">
        <v>36</v>
      </c>
      <c r="E1148" s="1">
        <v>1.9791666666666665</v>
      </c>
      <c r="F1148" t="s">
        <v>1664</v>
      </c>
      <c r="G1148">
        <v>5</v>
      </c>
      <c r="H1148">
        <v>1081.2592999999999</v>
      </c>
      <c r="I1148">
        <v>0</v>
      </c>
      <c r="J1148">
        <v>1163.79</v>
      </c>
      <c r="K1148">
        <v>0</v>
      </c>
      <c r="L1148">
        <v>1175.17</v>
      </c>
      <c r="M1148" t="s">
        <v>27</v>
      </c>
      <c r="N1148">
        <v>1</v>
      </c>
      <c r="O1148">
        <v>1254</v>
      </c>
      <c r="P1148">
        <v>1081</v>
      </c>
      <c r="Q1148">
        <v>0</v>
      </c>
      <c r="R1148">
        <v>1081</v>
      </c>
    </row>
    <row r="1149" spans="1:18" x14ac:dyDescent="0.3">
      <c r="A1149" s="5">
        <v>45964</v>
      </c>
      <c r="B1149" t="s">
        <v>1665</v>
      </c>
      <c r="C1149">
        <v>5</v>
      </c>
      <c r="D1149">
        <v>36</v>
      </c>
      <c r="E1149" s="1">
        <v>1.9993055555555554</v>
      </c>
      <c r="F1149" t="s">
        <v>1666</v>
      </c>
      <c r="G1149">
        <v>5</v>
      </c>
      <c r="H1149">
        <v>1081.3494000000001</v>
      </c>
      <c r="I1149">
        <v>0</v>
      </c>
      <c r="J1149">
        <v>1163.79</v>
      </c>
      <c r="K1149">
        <v>0</v>
      </c>
      <c r="L1149">
        <v>1175.17</v>
      </c>
      <c r="M1149" t="s">
        <v>27</v>
      </c>
      <c r="N1149">
        <v>1</v>
      </c>
      <c r="O1149">
        <v>1254</v>
      </c>
      <c r="P1149">
        <v>1081</v>
      </c>
      <c r="Q1149">
        <v>0</v>
      </c>
      <c r="R1149">
        <v>1081</v>
      </c>
    </row>
    <row r="1150" spans="1:18" x14ac:dyDescent="0.3">
      <c r="A1150" s="5">
        <v>45964</v>
      </c>
      <c r="B1150" t="s">
        <v>1667</v>
      </c>
      <c r="C1150">
        <v>2</v>
      </c>
      <c r="D1150">
        <v>36</v>
      </c>
      <c r="E1150" s="1">
        <v>1.9993055555555554</v>
      </c>
      <c r="F1150" t="s">
        <v>1666</v>
      </c>
      <c r="G1150">
        <v>5</v>
      </c>
      <c r="H1150">
        <v>1081.4032</v>
      </c>
      <c r="I1150">
        <v>0</v>
      </c>
      <c r="J1150">
        <v>1163.79</v>
      </c>
      <c r="K1150">
        <v>0</v>
      </c>
      <c r="L1150">
        <v>1175.17</v>
      </c>
      <c r="M1150" t="s">
        <v>27</v>
      </c>
      <c r="N1150">
        <v>1</v>
      </c>
      <c r="O1150">
        <v>1254</v>
      </c>
      <c r="P1150">
        <v>1081</v>
      </c>
      <c r="Q1150">
        <v>0</v>
      </c>
      <c r="R1150">
        <v>1081</v>
      </c>
    </row>
    <row r="1151" spans="1:18" x14ac:dyDescent="0.3">
      <c r="A1151" s="5">
        <v>45964</v>
      </c>
      <c r="B1151" t="s">
        <v>1668</v>
      </c>
      <c r="C1151">
        <v>9</v>
      </c>
      <c r="D1151">
        <v>36</v>
      </c>
      <c r="E1151" s="1">
        <v>1.4583333333333333</v>
      </c>
      <c r="F1151" t="s">
        <v>1669</v>
      </c>
      <c r="G1151">
        <v>0</v>
      </c>
      <c r="H1151">
        <v>1081.4286</v>
      </c>
      <c r="I1151">
        <v>2.5</v>
      </c>
      <c r="J1151">
        <v>1163.79</v>
      </c>
      <c r="K1151">
        <v>1.9580666999707901</v>
      </c>
      <c r="L1151">
        <v>1158.8800000000001</v>
      </c>
      <c r="M1151" t="s">
        <v>27</v>
      </c>
      <c r="N1151">
        <v>1</v>
      </c>
      <c r="O1151">
        <v>1281</v>
      </c>
      <c r="P1151">
        <v>1108</v>
      </c>
      <c r="Q1151">
        <v>0</v>
      </c>
      <c r="R1151">
        <v>1108</v>
      </c>
    </row>
    <row r="1152" spans="1:18" x14ac:dyDescent="0.3">
      <c r="A1152" s="5">
        <v>45964</v>
      </c>
      <c r="B1152" t="s">
        <v>1668</v>
      </c>
      <c r="C1152">
        <v>9</v>
      </c>
      <c r="D1152">
        <v>36</v>
      </c>
      <c r="E1152" s="1">
        <v>1.4583333333333333</v>
      </c>
      <c r="F1152" t="s">
        <v>1669</v>
      </c>
      <c r="G1152">
        <v>0</v>
      </c>
      <c r="H1152">
        <v>1081.4286</v>
      </c>
      <c r="I1152">
        <v>2.5</v>
      </c>
      <c r="J1152">
        <v>1163.79</v>
      </c>
      <c r="K1152">
        <v>1.9580666999707901</v>
      </c>
      <c r="L1152">
        <v>1158.8800000000001</v>
      </c>
      <c r="M1152" t="s">
        <v>27</v>
      </c>
      <c r="N1152">
        <v>1</v>
      </c>
      <c r="O1152">
        <v>1281</v>
      </c>
      <c r="P1152">
        <v>1108</v>
      </c>
      <c r="Q1152">
        <v>0</v>
      </c>
      <c r="R1152">
        <v>1108</v>
      </c>
    </row>
    <row r="1153" spans="1:18" x14ac:dyDescent="0.3">
      <c r="A1153" s="5">
        <v>45964</v>
      </c>
      <c r="B1153" t="s">
        <v>1670</v>
      </c>
      <c r="C1153">
        <v>8</v>
      </c>
      <c r="D1153">
        <v>36</v>
      </c>
      <c r="E1153" s="1">
        <v>1.4583333333333333</v>
      </c>
      <c r="F1153" t="s">
        <v>1669</v>
      </c>
      <c r="G1153">
        <v>0</v>
      </c>
      <c r="H1153">
        <v>1081.4467</v>
      </c>
      <c r="I1153">
        <v>2.5</v>
      </c>
      <c r="J1153">
        <v>1163.79</v>
      </c>
      <c r="K1153">
        <v>1.9580666999707901</v>
      </c>
      <c r="L1153">
        <v>1158.8800000000001</v>
      </c>
      <c r="M1153" t="s">
        <v>27</v>
      </c>
      <c r="N1153">
        <v>1</v>
      </c>
      <c r="O1153">
        <v>1282</v>
      </c>
      <c r="P1153">
        <v>1108</v>
      </c>
      <c r="Q1153">
        <v>0</v>
      </c>
      <c r="R1153">
        <v>1108</v>
      </c>
    </row>
    <row r="1154" spans="1:18" x14ac:dyDescent="0.3">
      <c r="A1154" s="5">
        <v>45964</v>
      </c>
      <c r="B1154" t="s">
        <v>1670</v>
      </c>
      <c r="C1154">
        <v>8</v>
      </c>
      <c r="D1154">
        <v>36</v>
      </c>
      <c r="E1154" s="1">
        <v>1.4583333333333333</v>
      </c>
      <c r="F1154" t="s">
        <v>1669</v>
      </c>
      <c r="G1154">
        <v>0</v>
      </c>
      <c r="H1154">
        <v>1081.4467</v>
      </c>
      <c r="I1154">
        <v>2.5</v>
      </c>
      <c r="J1154">
        <v>1163.79</v>
      </c>
      <c r="K1154">
        <v>1.9580666999707901</v>
      </c>
      <c r="L1154">
        <v>1158.8800000000001</v>
      </c>
      <c r="M1154" t="s">
        <v>27</v>
      </c>
      <c r="N1154">
        <v>1</v>
      </c>
      <c r="O1154">
        <v>1282</v>
      </c>
      <c r="P1154">
        <v>1108</v>
      </c>
      <c r="Q1154">
        <v>0</v>
      </c>
      <c r="R1154">
        <v>1108</v>
      </c>
    </row>
    <row r="1155" spans="1:18" x14ac:dyDescent="0.3">
      <c r="A1155" s="5">
        <v>45964</v>
      </c>
      <c r="B1155" t="s">
        <v>1671</v>
      </c>
      <c r="C1155">
        <v>12</v>
      </c>
      <c r="D1155">
        <v>36</v>
      </c>
      <c r="E1155" s="1">
        <v>1.9791666666666665</v>
      </c>
      <c r="F1155" t="s">
        <v>1672</v>
      </c>
      <c r="G1155">
        <v>1</v>
      </c>
      <c r="H1155">
        <v>1081.2112999999999</v>
      </c>
      <c r="I1155">
        <v>8.5</v>
      </c>
      <c r="J1155">
        <v>1163.79</v>
      </c>
      <c r="K1155">
        <v>6.6574267799006801</v>
      </c>
      <c r="L1155">
        <v>1237.07</v>
      </c>
      <c r="M1155" t="s">
        <v>27</v>
      </c>
      <c r="N1155">
        <v>1</v>
      </c>
      <c r="O1155">
        <v>1346</v>
      </c>
      <c r="P1155">
        <v>1173</v>
      </c>
      <c r="Q1155">
        <v>0</v>
      </c>
      <c r="R1155">
        <v>1173</v>
      </c>
    </row>
    <row r="1156" spans="1:18" x14ac:dyDescent="0.3">
      <c r="A1156" s="5">
        <v>45964</v>
      </c>
      <c r="B1156" t="s">
        <v>1673</v>
      </c>
      <c r="C1156">
        <v>36</v>
      </c>
      <c r="D1156">
        <v>36</v>
      </c>
      <c r="E1156" s="1">
        <v>1.9791666666666665</v>
      </c>
      <c r="F1156" t="s">
        <v>1674</v>
      </c>
      <c r="G1156">
        <v>5</v>
      </c>
      <c r="H1156">
        <v>1080.6609000000001</v>
      </c>
      <c r="I1156">
        <v>0</v>
      </c>
      <c r="J1156">
        <v>1163.79</v>
      </c>
      <c r="K1156">
        <v>0</v>
      </c>
      <c r="L1156">
        <v>989.65</v>
      </c>
      <c r="M1156" t="s">
        <v>44</v>
      </c>
      <c r="N1156">
        <v>1</v>
      </c>
      <c r="O1156">
        <v>1254</v>
      </c>
      <c r="P1156">
        <v>1081</v>
      </c>
      <c r="Q1156">
        <v>0</v>
      </c>
      <c r="R1156">
        <v>1081</v>
      </c>
    </row>
    <row r="1157" spans="1:18" x14ac:dyDescent="0.3">
      <c r="A1157" s="5">
        <v>45964</v>
      </c>
      <c r="B1157" t="s">
        <v>1675</v>
      </c>
      <c r="C1157">
        <v>6</v>
      </c>
      <c r="D1157">
        <v>36</v>
      </c>
      <c r="E1157" s="1">
        <v>1.9791666666666665</v>
      </c>
      <c r="F1157" t="s">
        <v>1676</v>
      </c>
      <c r="G1157">
        <v>1</v>
      </c>
      <c r="H1157">
        <v>1081.3190999999999</v>
      </c>
      <c r="I1157">
        <v>8.5</v>
      </c>
      <c r="J1157">
        <v>1163.79</v>
      </c>
      <c r="K1157">
        <v>6.6574267799006801</v>
      </c>
      <c r="L1157">
        <v>1237.07</v>
      </c>
      <c r="M1157" t="s">
        <v>27</v>
      </c>
      <c r="N1157">
        <v>1</v>
      </c>
      <c r="O1157">
        <v>1346</v>
      </c>
      <c r="P1157">
        <v>1173</v>
      </c>
      <c r="Q1157">
        <v>0</v>
      </c>
      <c r="R1157">
        <v>1173</v>
      </c>
    </row>
    <row r="1158" spans="1:18" x14ac:dyDescent="0.3">
      <c r="A1158" s="5">
        <v>45964</v>
      </c>
      <c r="B1158" t="s">
        <v>1677</v>
      </c>
      <c r="C1158">
        <v>35</v>
      </c>
      <c r="D1158">
        <v>36</v>
      </c>
      <c r="E1158" s="1">
        <v>1.25</v>
      </c>
      <c r="F1158" t="s">
        <v>1678</v>
      </c>
      <c r="G1158">
        <v>0</v>
      </c>
      <c r="H1158">
        <v>1080.8779999999999</v>
      </c>
      <c r="I1158">
        <v>2.5</v>
      </c>
      <c r="J1158">
        <v>1163.79</v>
      </c>
      <c r="K1158">
        <v>1.9580666999707901</v>
      </c>
      <c r="L1158">
        <v>1158.8800000000001</v>
      </c>
      <c r="M1158" t="s">
        <v>27</v>
      </c>
      <c r="N1158">
        <v>1</v>
      </c>
      <c r="O1158">
        <v>1281</v>
      </c>
      <c r="P1158">
        <v>1108</v>
      </c>
      <c r="Q1158">
        <v>0</v>
      </c>
      <c r="R1158">
        <v>1108</v>
      </c>
    </row>
    <row r="1159" spans="1:18" x14ac:dyDescent="0.3">
      <c r="A1159" s="5">
        <v>45964</v>
      </c>
      <c r="B1159" t="s">
        <v>1679</v>
      </c>
      <c r="C1159">
        <v>29</v>
      </c>
      <c r="D1159">
        <v>36</v>
      </c>
      <c r="E1159" s="1">
        <v>1.9791666666666665</v>
      </c>
      <c r="F1159" t="s">
        <v>1680</v>
      </c>
      <c r="G1159">
        <v>5</v>
      </c>
      <c r="H1159">
        <v>1080.7869000000001</v>
      </c>
      <c r="I1159">
        <v>0</v>
      </c>
      <c r="J1159">
        <v>1163.79</v>
      </c>
      <c r="K1159">
        <v>0</v>
      </c>
      <c r="L1159">
        <v>989.65</v>
      </c>
      <c r="M1159" t="s">
        <v>44</v>
      </c>
      <c r="N1159">
        <v>1</v>
      </c>
      <c r="O1159">
        <v>1254</v>
      </c>
      <c r="P1159">
        <v>1081</v>
      </c>
      <c r="Q1159">
        <v>0</v>
      </c>
      <c r="R1159">
        <v>1081</v>
      </c>
    </row>
    <row r="1160" spans="1:18" x14ac:dyDescent="0.3">
      <c r="A1160" s="5">
        <v>45964</v>
      </c>
      <c r="B1160" t="s">
        <v>1681</v>
      </c>
      <c r="C1160">
        <v>14</v>
      </c>
      <c r="D1160">
        <v>36</v>
      </c>
      <c r="E1160" s="1">
        <v>1.9791666666666665</v>
      </c>
      <c r="F1160" t="s">
        <v>1682</v>
      </c>
      <c r="G1160">
        <v>5</v>
      </c>
      <c r="H1160">
        <v>1081.1749</v>
      </c>
      <c r="I1160">
        <v>0</v>
      </c>
      <c r="J1160">
        <v>1163.79</v>
      </c>
      <c r="K1160">
        <v>0</v>
      </c>
      <c r="L1160">
        <v>989.65</v>
      </c>
      <c r="M1160" t="s">
        <v>44</v>
      </c>
      <c r="N1160">
        <v>1</v>
      </c>
      <c r="O1160">
        <v>1254</v>
      </c>
      <c r="P1160">
        <v>1081</v>
      </c>
      <c r="Q1160">
        <v>0</v>
      </c>
      <c r="R1160">
        <v>1081</v>
      </c>
    </row>
    <row r="1161" spans="1:18" x14ac:dyDescent="0.3">
      <c r="A1161" s="5">
        <v>45964</v>
      </c>
      <c r="B1161" t="s">
        <v>1683</v>
      </c>
      <c r="C1161">
        <v>4</v>
      </c>
      <c r="D1161">
        <v>36</v>
      </c>
      <c r="E1161" s="1">
        <v>1.9993055555555554</v>
      </c>
      <c r="F1161" t="s">
        <v>1684</v>
      </c>
      <c r="G1161">
        <v>0</v>
      </c>
      <c r="H1161">
        <v>1081.1638</v>
      </c>
      <c r="I1161">
        <v>2.5</v>
      </c>
      <c r="J1161">
        <v>1163.79</v>
      </c>
      <c r="K1161">
        <v>1.9580666999707901</v>
      </c>
      <c r="L1161">
        <v>1116.3800000000001</v>
      </c>
      <c r="M1161" t="s">
        <v>27</v>
      </c>
      <c r="N1161">
        <v>1</v>
      </c>
      <c r="O1161">
        <v>1281</v>
      </c>
      <c r="P1161">
        <v>1108</v>
      </c>
      <c r="Q1161">
        <v>0</v>
      </c>
      <c r="R1161">
        <v>1108</v>
      </c>
    </row>
    <row r="1162" spans="1:18" x14ac:dyDescent="0.3">
      <c r="A1162" s="5">
        <v>45964</v>
      </c>
      <c r="B1162" t="s">
        <v>1685</v>
      </c>
      <c r="C1162">
        <v>36</v>
      </c>
      <c r="D1162">
        <v>36</v>
      </c>
      <c r="E1162" s="1">
        <v>1.4583333333333333</v>
      </c>
      <c r="F1162" t="s">
        <v>1686</v>
      </c>
      <c r="G1162">
        <v>0</v>
      </c>
      <c r="H1162">
        <v>1080.8202000000001</v>
      </c>
      <c r="I1162">
        <v>2.5</v>
      </c>
      <c r="J1162">
        <v>1163.79</v>
      </c>
      <c r="K1162">
        <v>1.9580666999707901</v>
      </c>
      <c r="L1162">
        <v>1158.8800000000001</v>
      </c>
      <c r="M1162" t="s">
        <v>27</v>
      </c>
      <c r="N1162">
        <v>1</v>
      </c>
      <c r="O1162">
        <v>1281</v>
      </c>
      <c r="P1162">
        <v>1108</v>
      </c>
      <c r="Q1162">
        <v>0</v>
      </c>
      <c r="R1162">
        <v>1108</v>
      </c>
    </row>
    <row r="1163" spans="1:18" x14ac:dyDescent="0.3">
      <c r="A1163" s="5">
        <v>45964</v>
      </c>
      <c r="B1163" t="s">
        <v>1687</v>
      </c>
      <c r="C1163">
        <v>11</v>
      </c>
      <c r="D1163">
        <v>36</v>
      </c>
      <c r="E1163" s="1">
        <v>1.9791666666666665</v>
      </c>
      <c r="F1163" t="s">
        <v>1688</v>
      </c>
      <c r="G1163">
        <v>1</v>
      </c>
      <c r="H1163">
        <v>1081.229</v>
      </c>
      <c r="I1163">
        <v>8.5</v>
      </c>
      <c r="J1163">
        <v>1163.79</v>
      </c>
      <c r="K1163">
        <v>6.6574267799006801</v>
      </c>
      <c r="L1163">
        <v>1237.07</v>
      </c>
      <c r="M1163" t="s">
        <v>27</v>
      </c>
      <c r="N1163">
        <v>1</v>
      </c>
      <c r="O1163">
        <v>1346</v>
      </c>
      <c r="P1163">
        <v>1173</v>
      </c>
      <c r="Q1163">
        <v>0</v>
      </c>
      <c r="R1163">
        <v>1173</v>
      </c>
    </row>
    <row r="1164" spans="1:18" x14ac:dyDescent="0.3">
      <c r="A1164" s="5">
        <v>45964</v>
      </c>
      <c r="B1164" t="s">
        <v>1689</v>
      </c>
      <c r="C1164">
        <v>19</v>
      </c>
      <c r="D1164">
        <v>35</v>
      </c>
      <c r="E1164" s="1">
        <v>1.25</v>
      </c>
      <c r="F1164" t="s">
        <v>1690</v>
      </c>
      <c r="G1164">
        <v>4</v>
      </c>
      <c r="H1164">
        <v>1081.2560000000001</v>
      </c>
      <c r="I1164">
        <v>7</v>
      </c>
      <c r="J1164">
        <v>1163.79</v>
      </c>
      <c r="K1164">
        <v>5.4825867599182097</v>
      </c>
      <c r="L1164">
        <v>1158.8800000000001</v>
      </c>
      <c r="M1164" t="s">
        <v>27</v>
      </c>
      <c r="N1164">
        <v>1</v>
      </c>
      <c r="O1164">
        <v>1330</v>
      </c>
      <c r="P1164">
        <v>1157</v>
      </c>
      <c r="Q1164">
        <v>0</v>
      </c>
      <c r="R1164">
        <v>1157</v>
      </c>
    </row>
    <row r="1165" spans="1:18" x14ac:dyDescent="0.3">
      <c r="A1165" s="5">
        <v>45964</v>
      </c>
      <c r="B1165" t="s">
        <v>1689</v>
      </c>
      <c r="C1165">
        <v>19</v>
      </c>
      <c r="D1165">
        <v>35</v>
      </c>
      <c r="E1165" s="1">
        <v>1.25</v>
      </c>
      <c r="F1165" t="s">
        <v>1690</v>
      </c>
      <c r="G1165">
        <v>4</v>
      </c>
      <c r="H1165">
        <v>1081.2560000000001</v>
      </c>
      <c r="I1165">
        <v>7</v>
      </c>
      <c r="J1165">
        <v>1163.79</v>
      </c>
      <c r="K1165">
        <v>5.4825867599182097</v>
      </c>
      <c r="L1165">
        <v>1158.8800000000001</v>
      </c>
      <c r="M1165" t="s">
        <v>27</v>
      </c>
      <c r="N1165">
        <v>1</v>
      </c>
      <c r="O1165">
        <v>1330</v>
      </c>
      <c r="P1165">
        <v>1157</v>
      </c>
      <c r="Q1165">
        <v>0</v>
      </c>
      <c r="R1165">
        <v>1157</v>
      </c>
    </row>
    <row r="1166" spans="1:18" x14ac:dyDescent="0.3">
      <c r="A1166" s="5">
        <v>45964</v>
      </c>
      <c r="B1166" t="s">
        <v>1691</v>
      </c>
      <c r="C1166">
        <v>20</v>
      </c>
      <c r="D1166">
        <v>35</v>
      </c>
      <c r="E1166" s="1">
        <v>1.25</v>
      </c>
      <c r="F1166" t="s">
        <v>1690</v>
      </c>
      <c r="G1166">
        <v>4</v>
      </c>
      <c r="H1166">
        <v>1081.2380000000001</v>
      </c>
      <c r="I1166">
        <v>7</v>
      </c>
      <c r="J1166">
        <v>1163.79</v>
      </c>
      <c r="K1166">
        <v>5.4825867599182097</v>
      </c>
      <c r="L1166">
        <v>1158.8800000000001</v>
      </c>
      <c r="M1166" t="s">
        <v>27</v>
      </c>
      <c r="N1166">
        <v>1</v>
      </c>
      <c r="O1166">
        <v>1330</v>
      </c>
      <c r="P1166">
        <v>1157</v>
      </c>
      <c r="Q1166">
        <v>0</v>
      </c>
      <c r="R1166">
        <v>1157</v>
      </c>
    </row>
    <row r="1167" spans="1:18" x14ac:dyDescent="0.3">
      <c r="A1167" s="5">
        <v>45964</v>
      </c>
      <c r="B1167" t="s">
        <v>1691</v>
      </c>
      <c r="C1167">
        <v>20</v>
      </c>
      <c r="D1167">
        <v>35</v>
      </c>
      <c r="E1167" s="1">
        <v>1.25</v>
      </c>
      <c r="F1167" t="s">
        <v>1690</v>
      </c>
      <c r="G1167">
        <v>4</v>
      </c>
      <c r="H1167">
        <v>1081.2380000000001</v>
      </c>
      <c r="I1167">
        <v>7</v>
      </c>
      <c r="J1167">
        <v>1163.79</v>
      </c>
      <c r="K1167">
        <v>5.4825867599182097</v>
      </c>
      <c r="L1167">
        <v>1158.8800000000001</v>
      </c>
      <c r="M1167" t="s">
        <v>27</v>
      </c>
      <c r="N1167">
        <v>1</v>
      </c>
      <c r="O1167">
        <v>1330</v>
      </c>
      <c r="P1167">
        <v>1157</v>
      </c>
      <c r="Q1167">
        <v>0</v>
      </c>
      <c r="R1167">
        <v>1157</v>
      </c>
    </row>
    <row r="1168" spans="1:18" x14ac:dyDescent="0.3">
      <c r="A1168" s="5">
        <v>45964</v>
      </c>
      <c r="B1168" t="s">
        <v>1692</v>
      </c>
      <c r="C1168">
        <v>5</v>
      </c>
      <c r="D1168">
        <v>36</v>
      </c>
      <c r="E1168" s="1">
        <v>1.9791666666666665</v>
      </c>
      <c r="F1168" t="s">
        <v>1533</v>
      </c>
      <c r="G1168">
        <v>5</v>
      </c>
      <c r="H1168">
        <v>1081.3363999999999</v>
      </c>
      <c r="I1168">
        <v>0</v>
      </c>
      <c r="J1168">
        <v>1163.79</v>
      </c>
      <c r="K1168">
        <v>0</v>
      </c>
      <c r="L1168">
        <v>1219.83</v>
      </c>
      <c r="M1168" t="s">
        <v>27</v>
      </c>
      <c r="N1168">
        <v>1</v>
      </c>
      <c r="O1168">
        <v>1254</v>
      </c>
      <c r="P1168">
        <v>1081</v>
      </c>
      <c r="Q1168">
        <v>0</v>
      </c>
      <c r="R1168">
        <v>1081</v>
      </c>
    </row>
    <row r="1169" spans="1:18" x14ac:dyDescent="0.3">
      <c r="A1169" s="5">
        <v>45964</v>
      </c>
      <c r="B1169" t="s">
        <v>1693</v>
      </c>
      <c r="C1169">
        <v>11</v>
      </c>
      <c r="D1169">
        <v>36</v>
      </c>
      <c r="E1169" s="1">
        <v>1.9993055555555554</v>
      </c>
      <c r="F1169" t="s">
        <v>1694</v>
      </c>
      <c r="G1169">
        <v>1</v>
      </c>
      <c r="H1169">
        <v>1081.2288000000001</v>
      </c>
      <c r="I1169">
        <v>8.5</v>
      </c>
      <c r="J1169">
        <v>1163.79</v>
      </c>
      <c r="K1169">
        <v>6.6574267799006801</v>
      </c>
      <c r="L1169">
        <v>1237.07</v>
      </c>
      <c r="M1169" t="s">
        <v>27</v>
      </c>
      <c r="N1169">
        <v>1</v>
      </c>
      <c r="O1169">
        <v>1346</v>
      </c>
      <c r="P1169">
        <v>1173</v>
      </c>
      <c r="Q1169">
        <v>0</v>
      </c>
      <c r="R1169">
        <v>1173</v>
      </c>
    </row>
    <row r="1170" spans="1:18" x14ac:dyDescent="0.3">
      <c r="A1170" s="5">
        <v>45964</v>
      </c>
      <c r="B1170" t="s">
        <v>1695</v>
      </c>
      <c r="C1170">
        <v>25</v>
      </c>
      <c r="D1170">
        <v>36</v>
      </c>
      <c r="E1170" s="1">
        <v>1.9993055555555554</v>
      </c>
      <c r="F1170" t="s">
        <v>1696</v>
      </c>
      <c r="G1170">
        <v>5</v>
      </c>
      <c r="H1170">
        <v>1080.8583000000001</v>
      </c>
      <c r="I1170">
        <v>0</v>
      </c>
      <c r="J1170">
        <v>1163.79</v>
      </c>
      <c r="K1170">
        <v>0</v>
      </c>
      <c r="L1170">
        <v>989.66</v>
      </c>
      <c r="M1170" t="s">
        <v>44</v>
      </c>
      <c r="N1170">
        <v>1</v>
      </c>
      <c r="O1170">
        <v>1254</v>
      </c>
      <c r="P1170">
        <v>1081</v>
      </c>
      <c r="Q1170">
        <v>0</v>
      </c>
      <c r="R1170">
        <v>1081</v>
      </c>
    </row>
    <row r="1171" spans="1:18" x14ac:dyDescent="0.3">
      <c r="A1171" s="5">
        <v>45964</v>
      </c>
      <c r="B1171" t="s">
        <v>1697</v>
      </c>
      <c r="C1171">
        <v>26</v>
      </c>
      <c r="D1171">
        <v>36</v>
      </c>
      <c r="E1171" s="1">
        <v>1.9993055555555554</v>
      </c>
      <c r="F1171" t="s">
        <v>1698</v>
      </c>
      <c r="G1171">
        <v>5</v>
      </c>
      <c r="H1171">
        <v>1080.8405</v>
      </c>
      <c r="I1171">
        <v>0</v>
      </c>
      <c r="J1171">
        <v>1163.79</v>
      </c>
      <c r="K1171">
        <v>0</v>
      </c>
      <c r="L1171">
        <v>989.66</v>
      </c>
      <c r="M1171" t="s">
        <v>44</v>
      </c>
      <c r="N1171">
        <v>1</v>
      </c>
      <c r="O1171">
        <v>1254</v>
      </c>
      <c r="P1171">
        <v>1081</v>
      </c>
      <c r="Q1171">
        <v>0</v>
      </c>
      <c r="R1171">
        <v>1081</v>
      </c>
    </row>
    <row r="1172" spans="1:18" x14ac:dyDescent="0.3">
      <c r="A1172" s="5">
        <v>45964</v>
      </c>
      <c r="B1172" t="s">
        <v>1699</v>
      </c>
      <c r="C1172">
        <v>29</v>
      </c>
      <c r="D1172">
        <v>36</v>
      </c>
      <c r="E1172" s="1">
        <v>1.9993055555555554</v>
      </c>
      <c r="F1172" t="s">
        <v>1700</v>
      </c>
      <c r="G1172">
        <v>1</v>
      </c>
      <c r="H1172">
        <v>1078.7405000000001</v>
      </c>
      <c r="I1172">
        <v>8.5</v>
      </c>
      <c r="J1172">
        <v>1163.79</v>
      </c>
      <c r="K1172">
        <v>6.6574267799006801</v>
      </c>
      <c r="L1172">
        <v>1219.83</v>
      </c>
      <c r="M1172" t="s">
        <v>27</v>
      </c>
      <c r="N1172">
        <v>1</v>
      </c>
      <c r="O1172">
        <v>1343</v>
      </c>
      <c r="P1172">
        <v>1170</v>
      </c>
      <c r="Q1172">
        <v>0</v>
      </c>
      <c r="R1172">
        <v>1170</v>
      </c>
    </row>
    <row r="1173" spans="1:18" x14ac:dyDescent="0.3">
      <c r="A1173" s="5">
        <v>45964</v>
      </c>
      <c r="B1173" t="s">
        <v>1701</v>
      </c>
      <c r="C1173">
        <v>28</v>
      </c>
      <c r="D1173">
        <v>36</v>
      </c>
      <c r="E1173" s="1">
        <v>1.9993055555555554</v>
      </c>
      <c r="F1173" t="s">
        <v>1702</v>
      </c>
      <c r="G1173">
        <v>1</v>
      </c>
      <c r="H1173">
        <v>1080.8043</v>
      </c>
      <c r="I1173">
        <v>8.5</v>
      </c>
      <c r="J1173">
        <v>1163.79</v>
      </c>
      <c r="K1173">
        <v>6.6574267799006801</v>
      </c>
      <c r="L1173">
        <v>1237.07</v>
      </c>
      <c r="M1173" t="s">
        <v>27</v>
      </c>
      <c r="N1173">
        <v>1</v>
      </c>
      <c r="O1173">
        <v>1346</v>
      </c>
      <c r="P1173">
        <v>1173</v>
      </c>
      <c r="Q1173">
        <v>0</v>
      </c>
      <c r="R1173">
        <v>1173</v>
      </c>
    </row>
    <row r="1174" spans="1:18" x14ac:dyDescent="0.3">
      <c r="A1174" s="5">
        <v>45964</v>
      </c>
      <c r="B1174" t="s">
        <v>1703</v>
      </c>
      <c r="C1174">
        <v>36</v>
      </c>
      <c r="D1174">
        <v>36</v>
      </c>
      <c r="E1174" s="1">
        <v>1.0833333333333333</v>
      </c>
      <c r="F1174" t="s">
        <v>1704</v>
      </c>
      <c r="G1174">
        <v>4</v>
      </c>
      <c r="H1174">
        <v>1080.8112000000001</v>
      </c>
      <c r="I1174">
        <v>7</v>
      </c>
      <c r="J1174">
        <v>1163.79</v>
      </c>
      <c r="K1174">
        <v>5.4825867599182097</v>
      </c>
      <c r="L1174">
        <v>1219.83</v>
      </c>
      <c r="M1174" t="s">
        <v>27</v>
      </c>
      <c r="N1174">
        <v>1</v>
      </c>
      <c r="O1174">
        <v>1329</v>
      </c>
      <c r="P1174">
        <v>1156</v>
      </c>
      <c r="Q1174">
        <v>0</v>
      </c>
      <c r="R1174">
        <v>1156</v>
      </c>
    </row>
    <row r="1175" spans="1:18" x14ac:dyDescent="0.3">
      <c r="A1175" s="5">
        <v>45964</v>
      </c>
      <c r="B1175" t="s">
        <v>1705</v>
      </c>
      <c r="C1175">
        <v>11</v>
      </c>
      <c r="D1175">
        <v>36</v>
      </c>
      <c r="E1175" s="1">
        <v>1.0833333333333333</v>
      </c>
      <c r="F1175" t="s">
        <v>1706</v>
      </c>
      <c r="G1175">
        <v>3</v>
      </c>
      <c r="H1175">
        <v>1081.3933</v>
      </c>
      <c r="I1175">
        <v>10</v>
      </c>
      <c r="J1175">
        <v>1163.79</v>
      </c>
      <c r="K1175">
        <v>7.8322667998831603</v>
      </c>
      <c r="L1175">
        <v>609.91</v>
      </c>
      <c r="M1175" t="s">
        <v>20</v>
      </c>
      <c r="N1175">
        <v>1</v>
      </c>
      <c r="O1175">
        <v>1363</v>
      </c>
      <c r="P1175">
        <v>1190</v>
      </c>
      <c r="Q1175">
        <v>0.5</v>
      </c>
      <c r="R1175">
        <v>595</v>
      </c>
    </row>
    <row r="1176" spans="1:18" x14ac:dyDescent="0.3">
      <c r="A1176" s="5">
        <v>45964</v>
      </c>
      <c r="B1176" t="s">
        <v>1707</v>
      </c>
      <c r="C1176">
        <v>12</v>
      </c>
      <c r="D1176">
        <v>36</v>
      </c>
      <c r="E1176" s="1">
        <v>1.0833333333333333</v>
      </c>
      <c r="F1176" t="s">
        <v>1708</v>
      </c>
      <c r="G1176">
        <v>3</v>
      </c>
      <c r="H1176">
        <v>1081.3753999999999</v>
      </c>
      <c r="I1176">
        <v>10</v>
      </c>
      <c r="J1176">
        <v>1163.79</v>
      </c>
      <c r="K1176">
        <v>7.8322667998831603</v>
      </c>
      <c r="L1176">
        <v>609.91</v>
      </c>
      <c r="M1176" t="s">
        <v>20</v>
      </c>
      <c r="N1176">
        <v>1</v>
      </c>
      <c r="O1176">
        <v>1363</v>
      </c>
      <c r="P1176">
        <v>1190</v>
      </c>
      <c r="Q1176">
        <v>0.5</v>
      </c>
      <c r="R1176">
        <v>595</v>
      </c>
    </row>
    <row r="1177" spans="1:18" x14ac:dyDescent="0.3">
      <c r="A1177" s="5">
        <v>45965</v>
      </c>
      <c r="B1177" t="s">
        <v>1709</v>
      </c>
      <c r="C1177">
        <v>32</v>
      </c>
      <c r="D1177">
        <v>36</v>
      </c>
      <c r="E1177" s="1">
        <v>1.0833333333333333</v>
      </c>
      <c r="F1177" t="s">
        <v>1710</v>
      </c>
      <c r="G1177">
        <v>4</v>
      </c>
      <c r="H1177">
        <v>1080.8823</v>
      </c>
      <c r="I1177">
        <v>7</v>
      </c>
      <c r="J1177">
        <v>1163.79</v>
      </c>
      <c r="K1177">
        <v>5.4825867599182097</v>
      </c>
      <c r="L1177">
        <v>1219.83</v>
      </c>
      <c r="M1177" t="s">
        <v>27</v>
      </c>
      <c r="N1177">
        <v>1</v>
      </c>
      <c r="O1177">
        <v>1329</v>
      </c>
      <c r="P1177">
        <v>1157</v>
      </c>
      <c r="Q1177">
        <v>0</v>
      </c>
      <c r="R1177">
        <v>1157</v>
      </c>
    </row>
    <row r="1178" spans="1:18" x14ac:dyDescent="0.3">
      <c r="A1178" s="5">
        <v>45965</v>
      </c>
      <c r="B1178" t="s">
        <v>1711</v>
      </c>
      <c r="C1178">
        <v>18</v>
      </c>
      <c r="D1178">
        <v>36</v>
      </c>
      <c r="E1178" s="1">
        <v>1.0833333333333333</v>
      </c>
      <c r="F1178" t="s">
        <v>1712</v>
      </c>
      <c r="G1178">
        <v>4</v>
      </c>
      <c r="H1178">
        <v>1081.2665999999999</v>
      </c>
      <c r="I1178">
        <v>7</v>
      </c>
      <c r="J1178">
        <v>1163.79</v>
      </c>
      <c r="K1178">
        <v>5.4825867599182097</v>
      </c>
      <c r="L1178">
        <v>1219.83</v>
      </c>
      <c r="M1178" t="s">
        <v>27</v>
      </c>
      <c r="N1178">
        <v>1</v>
      </c>
      <c r="O1178">
        <v>1330</v>
      </c>
      <c r="P1178">
        <v>1157</v>
      </c>
      <c r="Q1178">
        <v>0</v>
      </c>
      <c r="R1178">
        <v>1157</v>
      </c>
    </row>
    <row r="1179" spans="1:18" x14ac:dyDescent="0.3">
      <c r="A1179" s="5">
        <v>45965</v>
      </c>
      <c r="B1179" t="s">
        <v>1713</v>
      </c>
      <c r="C1179">
        <v>21</v>
      </c>
      <c r="D1179">
        <v>36</v>
      </c>
      <c r="E1179" s="1">
        <v>1.0833333333333333</v>
      </c>
      <c r="F1179" t="s">
        <v>1714</v>
      </c>
      <c r="G1179">
        <v>4</v>
      </c>
      <c r="H1179">
        <v>1081.2129</v>
      </c>
      <c r="I1179">
        <v>7</v>
      </c>
      <c r="J1179">
        <v>1163.79</v>
      </c>
      <c r="K1179">
        <v>5.4825867599182097</v>
      </c>
      <c r="L1179">
        <v>1219.83</v>
      </c>
      <c r="M1179" t="s">
        <v>27</v>
      </c>
      <c r="N1179">
        <v>1</v>
      </c>
      <c r="O1179">
        <v>1330</v>
      </c>
      <c r="P1179">
        <v>1157</v>
      </c>
      <c r="Q1179">
        <v>0</v>
      </c>
      <c r="R1179">
        <v>1157</v>
      </c>
    </row>
    <row r="1180" spans="1:18" x14ac:dyDescent="0.3">
      <c r="A1180" s="5">
        <v>45965</v>
      </c>
      <c r="B1180" t="s">
        <v>1715</v>
      </c>
      <c r="C1180">
        <v>19</v>
      </c>
      <c r="D1180">
        <v>36</v>
      </c>
      <c r="E1180" s="1">
        <v>1.0833333333333333</v>
      </c>
      <c r="F1180" t="s">
        <v>1716</v>
      </c>
      <c r="G1180">
        <v>4</v>
      </c>
      <c r="H1180">
        <v>1081.2487000000001</v>
      </c>
      <c r="I1180">
        <v>7</v>
      </c>
      <c r="J1180">
        <v>1163.79</v>
      </c>
      <c r="K1180">
        <v>5.4825867599182097</v>
      </c>
      <c r="L1180">
        <v>1219.83</v>
      </c>
      <c r="M1180" t="s">
        <v>27</v>
      </c>
      <c r="N1180">
        <v>1</v>
      </c>
      <c r="O1180">
        <v>1330</v>
      </c>
      <c r="P1180">
        <v>1157</v>
      </c>
      <c r="Q1180">
        <v>0</v>
      </c>
      <c r="R1180">
        <v>1157</v>
      </c>
    </row>
    <row r="1181" spans="1:18" x14ac:dyDescent="0.3">
      <c r="A1181" s="5">
        <v>45965</v>
      </c>
      <c r="B1181" t="s">
        <v>1717</v>
      </c>
      <c r="C1181">
        <v>20</v>
      </c>
      <c r="D1181">
        <v>36</v>
      </c>
      <c r="E1181" s="1">
        <v>1.0833333333333333</v>
      </c>
      <c r="F1181" t="s">
        <v>1716</v>
      </c>
      <c r="G1181">
        <v>4</v>
      </c>
      <c r="H1181">
        <v>1081.2308</v>
      </c>
      <c r="I1181">
        <v>7</v>
      </c>
      <c r="J1181">
        <v>1163.79</v>
      </c>
      <c r="K1181">
        <v>5.4825867599182097</v>
      </c>
      <c r="L1181">
        <v>1219.83</v>
      </c>
      <c r="M1181" t="s">
        <v>27</v>
      </c>
      <c r="N1181">
        <v>1</v>
      </c>
      <c r="O1181">
        <v>1330</v>
      </c>
      <c r="P1181">
        <v>1157</v>
      </c>
      <c r="Q1181">
        <v>0</v>
      </c>
      <c r="R1181">
        <v>1157</v>
      </c>
    </row>
    <row r="1182" spans="1:18" x14ac:dyDescent="0.3">
      <c r="A1182" s="5">
        <v>45965</v>
      </c>
      <c r="B1182" t="s">
        <v>1718</v>
      </c>
      <c r="C1182">
        <v>13</v>
      </c>
      <c r="D1182">
        <v>36</v>
      </c>
      <c r="E1182" s="1">
        <v>1.0833333333333333</v>
      </c>
      <c r="F1182" t="s">
        <v>1719</v>
      </c>
      <c r="G1182">
        <v>4</v>
      </c>
      <c r="H1182">
        <v>1081.3566000000001</v>
      </c>
      <c r="I1182">
        <v>7</v>
      </c>
      <c r="J1182">
        <v>1163.79</v>
      </c>
      <c r="K1182">
        <v>5.4825867599182097</v>
      </c>
      <c r="L1182">
        <v>1219.83</v>
      </c>
      <c r="M1182" t="s">
        <v>27</v>
      </c>
      <c r="N1182">
        <v>1</v>
      </c>
      <c r="O1182">
        <v>1330</v>
      </c>
      <c r="P1182">
        <v>1157</v>
      </c>
      <c r="Q1182">
        <v>0</v>
      </c>
      <c r="R1182">
        <v>1157</v>
      </c>
    </row>
    <row r="1183" spans="1:18" x14ac:dyDescent="0.3">
      <c r="A1183" s="5">
        <v>45965</v>
      </c>
      <c r="B1183" t="s">
        <v>1720</v>
      </c>
      <c r="C1183">
        <v>7</v>
      </c>
      <c r="D1183">
        <v>36</v>
      </c>
      <c r="E1183" s="1">
        <v>1.0833333333333333</v>
      </c>
      <c r="F1183" t="s">
        <v>1721</v>
      </c>
      <c r="G1183">
        <v>4</v>
      </c>
      <c r="H1183">
        <v>1081.4641999999999</v>
      </c>
      <c r="I1183">
        <v>7</v>
      </c>
      <c r="J1183">
        <v>1163.79</v>
      </c>
      <c r="K1183">
        <v>5.4825867599182097</v>
      </c>
      <c r="L1183">
        <v>1219.83</v>
      </c>
      <c r="M1183" t="s">
        <v>27</v>
      </c>
      <c r="N1183">
        <v>1</v>
      </c>
      <c r="O1183">
        <v>1330</v>
      </c>
      <c r="P1183">
        <v>1157</v>
      </c>
      <c r="Q1183">
        <v>0</v>
      </c>
      <c r="R1183">
        <v>1157</v>
      </c>
    </row>
    <row r="1184" spans="1:18" x14ac:dyDescent="0.3">
      <c r="A1184" s="5">
        <v>45965</v>
      </c>
      <c r="B1184" t="s">
        <v>1722</v>
      </c>
      <c r="C1184">
        <v>8</v>
      </c>
      <c r="D1184">
        <v>36</v>
      </c>
      <c r="E1184" s="1">
        <v>1.0833333333333333</v>
      </c>
      <c r="F1184" t="s">
        <v>1723</v>
      </c>
      <c r="G1184">
        <v>3</v>
      </c>
      <c r="H1184">
        <v>1081.4464</v>
      </c>
      <c r="I1184">
        <v>10</v>
      </c>
      <c r="J1184">
        <v>1163.79</v>
      </c>
      <c r="K1184">
        <v>7.8322667998831603</v>
      </c>
      <c r="L1184">
        <v>609.91</v>
      </c>
      <c r="M1184" t="s">
        <v>20</v>
      </c>
      <c r="N1184">
        <v>1</v>
      </c>
      <c r="O1184">
        <v>1363</v>
      </c>
      <c r="P1184">
        <v>1190</v>
      </c>
      <c r="Q1184">
        <v>0.5</v>
      </c>
      <c r="R1184">
        <v>595</v>
      </c>
    </row>
    <row r="1185" spans="1:18" x14ac:dyDescent="0.3">
      <c r="A1185" s="5">
        <v>45965</v>
      </c>
      <c r="B1185" t="s">
        <v>1724</v>
      </c>
      <c r="C1185">
        <v>9</v>
      </c>
      <c r="D1185">
        <v>36</v>
      </c>
      <c r="E1185" s="1">
        <v>1.0833333333333333</v>
      </c>
      <c r="F1185" t="s">
        <v>1725</v>
      </c>
      <c r="G1185">
        <v>4</v>
      </c>
      <c r="H1185">
        <v>1081.4285</v>
      </c>
      <c r="I1185">
        <v>7</v>
      </c>
      <c r="J1185">
        <v>1163.79</v>
      </c>
      <c r="K1185">
        <v>5.4825867599182097</v>
      </c>
      <c r="L1185">
        <v>1219.83</v>
      </c>
      <c r="M1185" t="s">
        <v>27</v>
      </c>
      <c r="N1185">
        <v>1</v>
      </c>
      <c r="O1185">
        <v>1330</v>
      </c>
      <c r="P1185">
        <v>1157</v>
      </c>
      <c r="Q1185">
        <v>0</v>
      </c>
      <c r="R1185">
        <v>1157</v>
      </c>
    </row>
    <row r="1186" spans="1:18" x14ac:dyDescent="0.3">
      <c r="A1186" s="5">
        <v>45965</v>
      </c>
      <c r="B1186" t="s">
        <v>1726</v>
      </c>
      <c r="C1186">
        <v>2</v>
      </c>
      <c r="D1186">
        <v>36</v>
      </c>
      <c r="E1186" s="1">
        <v>1.25</v>
      </c>
      <c r="F1186" t="s">
        <v>1727</v>
      </c>
      <c r="G1186">
        <v>0</v>
      </c>
      <c r="H1186">
        <v>1081.5524</v>
      </c>
      <c r="I1186">
        <v>2.5</v>
      </c>
      <c r="J1186">
        <v>1163.79</v>
      </c>
      <c r="K1186">
        <v>1.9580666999707901</v>
      </c>
      <c r="L1186">
        <v>1175.17</v>
      </c>
      <c r="M1186" t="s">
        <v>27</v>
      </c>
      <c r="N1186">
        <v>1</v>
      </c>
      <c r="O1186">
        <v>1282</v>
      </c>
      <c r="P1186">
        <v>1109</v>
      </c>
      <c r="Q1186">
        <v>0</v>
      </c>
      <c r="R1186">
        <v>1109</v>
      </c>
    </row>
    <row r="1187" spans="1:18" x14ac:dyDescent="0.3">
      <c r="A1187" s="5">
        <v>45965</v>
      </c>
      <c r="B1187" t="s">
        <v>1728</v>
      </c>
      <c r="C1187">
        <v>3</v>
      </c>
      <c r="D1187">
        <v>36</v>
      </c>
      <c r="E1187" s="1">
        <v>1.25</v>
      </c>
      <c r="F1187" t="s">
        <v>1727</v>
      </c>
      <c r="G1187">
        <v>0</v>
      </c>
      <c r="H1187">
        <v>1081.5344</v>
      </c>
      <c r="I1187">
        <v>2.5</v>
      </c>
      <c r="J1187">
        <v>1163.79</v>
      </c>
      <c r="K1187">
        <v>1.9580666999707901</v>
      </c>
      <c r="L1187">
        <v>1175.17</v>
      </c>
      <c r="M1187" t="s">
        <v>27</v>
      </c>
      <c r="N1187">
        <v>1</v>
      </c>
      <c r="O1187">
        <v>1282</v>
      </c>
      <c r="P1187">
        <v>1109</v>
      </c>
      <c r="Q1187">
        <v>0</v>
      </c>
      <c r="R1187">
        <v>1109</v>
      </c>
    </row>
    <row r="1188" spans="1:18" x14ac:dyDescent="0.3">
      <c r="A1188" s="5">
        <v>45965</v>
      </c>
      <c r="B1188" t="s">
        <v>1729</v>
      </c>
      <c r="C1188">
        <v>2</v>
      </c>
      <c r="D1188">
        <v>36</v>
      </c>
      <c r="E1188" s="1">
        <v>1.0833333333333333</v>
      </c>
      <c r="F1188" t="s">
        <v>1730</v>
      </c>
      <c r="G1188">
        <v>1</v>
      </c>
      <c r="H1188">
        <v>1081.5543</v>
      </c>
      <c r="I1188">
        <v>8.5</v>
      </c>
      <c r="J1188">
        <v>1163.79</v>
      </c>
      <c r="K1188">
        <v>6.6574267799006801</v>
      </c>
      <c r="L1188">
        <v>1219.83</v>
      </c>
      <c r="M1188" t="s">
        <v>27</v>
      </c>
      <c r="N1188">
        <v>1</v>
      </c>
      <c r="O1188">
        <v>1347</v>
      </c>
      <c r="P1188">
        <v>1173</v>
      </c>
      <c r="Q1188">
        <v>0</v>
      </c>
      <c r="R1188">
        <v>1173</v>
      </c>
    </row>
    <row r="1189" spans="1:18" x14ac:dyDescent="0.3">
      <c r="A1189" s="5">
        <v>45965</v>
      </c>
      <c r="B1189" t="s">
        <v>1726</v>
      </c>
      <c r="C1189">
        <v>5</v>
      </c>
      <c r="D1189">
        <v>36</v>
      </c>
      <c r="E1189" s="1">
        <v>1.0833333333333333</v>
      </c>
      <c r="F1189" t="s">
        <v>1727</v>
      </c>
      <c r="G1189">
        <v>0</v>
      </c>
      <c r="H1189">
        <v>1081.5005000000001</v>
      </c>
      <c r="I1189">
        <v>2.5</v>
      </c>
      <c r="J1189">
        <v>1163.79</v>
      </c>
      <c r="K1189">
        <v>1.9580666999707901</v>
      </c>
      <c r="L1189">
        <v>1175.17</v>
      </c>
      <c r="M1189" t="s">
        <v>27</v>
      </c>
      <c r="N1189">
        <v>1</v>
      </c>
      <c r="O1189">
        <v>1282</v>
      </c>
      <c r="P1189">
        <v>1109</v>
      </c>
      <c r="Q1189">
        <v>0</v>
      </c>
      <c r="R1189">
        <v>1109</v>
      </c>
    </row>
    <row r="1190" spans="1:18" x14ac:dyDescent="0.3">
      <c r="A1190" s="5">
        <v>45965</v>
      </c>
      <c r="B1190" t="s">
        <v>1726</v>
      </c>
      <c r="C1190">
        <v>5</v>
      </c>
      <c r="D1190">
        <v>36</v>
      </c>
      <c r="E1190" s="1">
        <v>1.0833333333333333</v>
      </c>
      <c r="F1190" t="s">
        <v>1731</v>
      </c>
      <c r="G1190">
        <v>0</v>
      </c>
      <c r="H1190">
        <v>1081.5005000000001</v>
      </c>
      <c r="I1190">
        <v>2.5</v>
      </c>
      <c r="J1190">
        <v>1163.79</v>
      </c>
      <c r="K1190">
        <v>1.9580666999707901</v>
      </c>
      <c r="L1190">
        <v>1175.17</v>
      </c>
      <c r="M1190" t="s">
        <v>27</v>
      </c>
      <c r="N1190">
        <v>1</v>
      </c>
      <c r="O1190">
        <v>1282</v>
      </c>
      <c r="P1190">
        <v>1109</v>
      </c>
      <c r="Q1190">
        <v>0</v>
      </c>
      <c r="R1190">
        <v>1109</v>
      </c>
    </row>
    <row r="1191" spans="1:18" x14ac:dyDescent="0.3">
      <c r="A1191" s="5">
        <v>45965</v>
      </c>
      <c r="B1191" t="s">
        <v>1728</v>
      </c>
      <c r="C1191">
        <v>6</v>
      </c>
      <c r="D1191">
        <v>36</v>
      </c>
      <c r="E1191" s="1">
        <v>1.0833333333333333</v>
      </c>
      <c r="F1191" t="s">
        <v>1727</v>
      </c>
      <c r="G1191">
        <v>0</v>
      </c>
      <c r="H1191">
        <v>1081.4825000000001</v>
      </c>
      <c r="I1191">
        <v>2.5</v>
      </c>
      <c r="J1191">
        <v>1163.79</v>
      </c>
      <c r="K1191">
        <v>1.9580666999707901</v>
      </c>
      <c r="L1191">
        <v>1175.17</v>
      </c>
      <c r="M1191" t="s">
        <v>27</v>
      </c>
      <c r="N1191">
        <v>1</v>
      </c>
      <c r="O1191">
        <v>1282</v>
      </c>
      <c r="P1191">
        <v>1109</v>
      </c>
      <c r="Q1191">
        <v>0</v>
      </c>
      <c r="R1191">
        <v>1109</v>
      </c>
    </row>
    <row r="1192" spans="1:18" x14ac:dyDescent="0.3">
      <c r="A1192" s="5">
        <v>45965</v>
      </c>
      <c r="B1192" t="s">
        <v>1728</v>
      </c>
      <c r="C1192">
        <v>6</v>
      </c>
      <c r="D1192">
        <v>36</v>
      </c>
      <c r="E1192" s="1">
        <v>1.0833333333333333</v>
      </c>
      <c r="F1192" t="s">
        <v>1731</v>
      </c>
      <c r="G1192">
        <v>0</v>
      </c>
      <c r="H1192">
        <v>1081.4825000000001</v>
      </c>
      <c r="I1192">
        <v>2.5</v>
      </c>
      <c r="J1192">
        <v>1163.79</v>
      </c>
      <c r="K1192">
        <v>1.9580666999707901</v>
      </c>
      <c r="L1192">
        <v>1175.17</v>
      </c>
      <c r="M1192" t="s">
        <v>27</v>
      </c>
      <c r="N1192">
        <v>1</v>
      </c>
      <c r="O1192">
        <v>1282</v>
      </c>
      <c r="P1192">
        <v>1109</v>
      </c>
      <c r="Q1192">
        <v>0</v>
      </c>
      <c r="R1192">
        <v>1109</v>
      </c>
    </row>
    <row r="1193" spans="1:18" x14ac:dyDescent="0.3">
      <c r="A1193" s="5">
        <v>45965</v>
      </c>
      <c r="B1193" t="s">
        <v>1732</v>
      </c>
      <c r="C1193">
        <v>14</v>
      </c>
      <c r="D1193">
        <v>36</v>
      </c>
      <c r="E1193" s="1">
        <v>1.0833333333333333</v>
      </c>
      <c r="F1193" t="s">
        <v>1733</v>
      </c>
      <c r="G1193">
        <v>2</v>
      </c>
      <c r="H1193">
        <v>1081.3385000000001</v>
      </c>
      <c r="I1193">
        <v>5</v>
      </c>
      <c r="J1193">
        <v>1163.79</v>
      </c>
      <c r="K1193">
        <v>3.9161333999415802</v>
      </c>
      <c r="L1193">
        <v>609.91</v>
      </c>
      <c r="M1193" t="s">
        <v>60</v>
      </c>
      <c r="N1193">
        <v>1</v>
      </c>
      <c r="O1193">
        <v>1308</v>
      </c>
      <c r="P1193">
        <v>1135</v>
      </c>
      <c r="Q1193">
        <v>0.5</v>
      </c>
      <c r="R1193">
        <v>567.5</v>
      </c>
    </row>
    <row r="1194" spans="1:18" x14ac:dyDescent="0.3">
      <c r="A1194" s="5">
        <v>45965</v>
      </c>
      <c r="B1194" t="s">
        <v>1734</v>
      </c>
      <c r="C1194">
        <v>15</v>
      </c>
      <c r="D1194">
        <v>36</v>
      </c>
      <c r="E1194" s="1">
        <v>1.0833333333333333</v>
      </c>
      <c r="F1194" t="s">
        <v>1735</v>
      </c>
      <c r="G1194">
        <v>2</v>
      </c>
      <c r="H1194">
        <v>1081.3206</v>
      </c>
      <c r="I1194">
        <v>5</v>
      </c>
      <c r="J1194">
        <v>1163.79</v>
      </c>
      <c r="K1194">
        <v>3.9161333999415802</v>
      </c>
      <c r="L1194">
        <v>609.91</v>
      </c>
      <c r="M1194" t="s">
        <v>60</v>
      </c>
      <c r="N1194">
        <v>1</v>
      </c>
      <c r="O1194">
        <v>1308</v>
      </c>
      <c r="P1194">
        <v>1135</v>
      </c>
      <c r="Q1194">
        <v>0.5</v>
      </c>
      <c r="R1194">
        <v>567.5</v>
      </c>
    </row>
    <row r="1195" spans="1:18" x14ac:dyDescent="0.3">
      <c r="A1195" s="5">
        <v>45965</v>
      </c>
      <c r="B1195" t="s">
        <v>1736</v>
      </c>
      <c r="C1195">
        <v>16</v>
      </c>
      <c r="D1195">
        <v>36</v>
      </c>
      <c r="E1195" s="1">
        <v>1.0833333333333333</v>
      </c>
      <c r="F1195" t="s">
        <v>1737</v>
      </c>
      <c r="G1195">
        <v>4</v>
      </c>
      <c r="H1195">
        <v>1081.3018</v>
      </c>
      <c r="I1195">
        <v>7</v>
      </c>
      <c r="J1195">
        <v>1163.79</v>
      </c>
      <c r="K1195">
        <v>5.4825867599182097</v>
      </c>
      <c r="L1195">
        <v>1219.83</v>
      </c>
      <c r="M1195" t="s">
        <v>27</v>
      </c>
      <c r="N1195">
        <v>1</v>
      </c>
      <c r="O1195">
        <v>1330</v>
      </c>
      <c r="P1195">
        <v>1157</v>
      </c>
      <c r="Q1195">
        <v>0</v>
      </c>
      <c r="R1195">
        <v>1157</v>
      </c>
    </row>
    <row r="1196" spans="1:18" x14ac:dyDescent="0.3">
      <c r="A1196" s="5">
        <v>45965</v>
      </c>
      <c r="B1196" t="s">
        <v>1738</v>
      </c>
      <c r="C1196">
        <v>4</v>
      </c>
      <c r="D1196">
        <v>36</v>
      </c>
      <c r="E1196" s="1">
        <v>1.0833333333333333</v>
      </c>
      <c r="F1196" t="s">
        <v>1739</v>
      </c>
      <c r="G1196">
        <v>4</v>
      </c>
      <c r="H1196">
        <v>1081.385</v>
      </c>
      <c r="I1196">
        <v>7</v>
      </c>
      <c r="J1196">
        <v>1163.79</v>
      </c>
      <c r="K1196">
        <v>5.4825867599182097</v>
      </c>
      <c r="L1196">
        <v>1219.83</v>
      </c>
      <c r="M1196" t="s">
        <v>27</v>
      </c>
      <c r="N1196">
        <v>1</v>
      </c>
      <c r="O1196">
        <v>1330</v>
      </c>
      <c r="P1196">
        <v>1157</v>
      </c>
      <c r="Q1196">
        <v>0</v>
      </c>
      <c r="R1196">
        <v>1157</v>
      </c>
    </row>
    <row r="1197" spans="1:18" x14ac:dyDescent="0.3">
      <c r="A1197" s="5">
        <v>45965</v>
      </c>
      <c r="B1197" t="s">
        <v>1740</v>
      </c>
      <c r="C1197">
        <v>26</v>
      </c>
      <c r="D1197">
        <v>36</v>
      </c>
      <c r="E1197" s="1">
        <v>1.0833333333333333</v>
      </c>
      <c r="F1197" t="s">
        <v>1741</v>
      </c>
      <c r="G1197">
        <v>1</v>
      </c>
      <c r="H1197">
        <v>1080.9894999999999</v>
      </c>
      <c r="I1197">
        <v>8.5</v>
      </c>
      <c r="J1197">
        <v>1163.79</v>
      </c>
      <c r="K1197">
        <v>6.6574267799006801</v>
      </c>
      <c r="L1197">
        <v>1219.83</v>
      </c>
      <c r="M1197" t="s">
        <v>27</v>
      </c>
      <c r="N1197">
        <v>1</v>
      </c>
      <c r="O1197">
        <v>1346</v>
      </c>
      <c r="P1197">
        <v>1173</v>
      </c>
      <c r="Q1197">
        <v>0</v>
      </c>
      <c r="R1197">
        <v>1173</v>
      </c>
    </row>
    <row r="1198" spans="1:18" x14ac:dyDescent="0.3">
      <c r="A1198" s="5">
        <v>45965</v>
      </c>
      <c r="B1198" t="s">
        <v>1742</v>
      </c>
      <c r="C1198">
        <v>24</v>
      </c>
      <c r="D1198">
        <v>36</v>
      </c>
      <c r="E1198" s="1">
        <v>1.0833333333333333</v>
      </c>
      <c r="F1198" t="s">
        <v>1743</v>
      </c>
      <c r="G1198">
        <v>4</v>
      </c>
      <c r="H1198">
        <v>1081.0254</v>
      </c>
      <c r="I1198">
        <v>7</v>
      </c>
      <c r="J1198">
        <v>1163.79</v>
      </c>
      <c r="K1198">
        <v>5.4825867599182097</v>
      </c>
      <c r="L1198">
        <v>1219.83</v>
      </c>
      <c r="M1198" t="s">
        <v>27</v>
      </c>
      <c r="N1198">
        <v>1</v>
      </c>
      <c r="O1198">
        <v>1330</v>
      </c>
      <c r="P1198">
        <v>1157</v>
      </c>
      <c r="Q1198">
        <v>0</v>
      </c>
      <c r="R1198">
        <v>1157</v>
      </c>
    </row>
    <row r="1199" spans="1:18" x14ac:dyDescent="0.3">
      <c r="A1199" s="5">
        <v>45965</v>
      </c>
      <c r="B1199" t="s">
        <v>1744</v>
      </c>
      <c r="C1199">
        <v>23</v>
      </c>
      <c r="D1199">
        <v>36</v>
      </c>
      <c r="E1199" s="1">
        <v>1.0833333333333333</v>
      </c>
      <c r="F1199" t="s">
        <v>1745</v>
      </c>
      <c r="G1199">
        <v>4</v>
      </c>
      <c r="H1199">
        <v>1081.0426</v>
      </c>
      <c r="I1199">
        <v>7</v>
      </c>
      <c r="J1199">
        <v>1163.79</v>
      </c>
      <c r="K1199">
        <v>5.4825867599182097</v>
      </c>
      <c r="L1199">
        <v>1219.83</v>
      </c>
      <c r="M1199" t="s">
        <v>27</v>
      </c>
      <c r="N1199">
        <v>1</v>
      </c>
      <c r="O1199">
        <v>1330</v>
      </c>
      <c r="P1199">
        <v>1157</v>
      </c>
      <c r="Q1199">
        <v>0</v>
      </c>
      <c r="R1199">
        <v>1157</v>
      </c>
    </row>
    <row r="1200" spans="1:18" x14ac:dyDescent="0.3">
      <c r="A1200" s="5">
        <v>45965</v>
      </c>
      <c r="B1200" t="s">
        <v>1746</v>
      </c>
      <c r="C1200">
        <v>1</v>
      </c>
      <c r="D1200">
        <v>36</v>
      </c>
      <c r="E1200" s="1">
        <v>1.9652777777777777</v>
      </c>
      <c r="F1200" t="s">
        <v>1747</v>
      </c>
      <c r="G1200">
        <v>4</v>
      </c>
      <c r="H1200">
        <v>1081.5518</v>
      </c>
      <c r="I1200">
        <v>7</v>
      </c>
      <c r="J1200">
        <v>1163.79</v>
      </c>
      <c r="K1200">
        <v>5.4825867599182097</v>
      </c>
      <c r="L1200">
        <v>1097.8399999999999</v>
      </c>
      <c r="M1200" t="s">
        <v>27</v>
      </c>
      <c r="N1200">
        <v>1</v>
      </c>
      <c r="O1200">
        <v>1330</v>
      </c>
      <c r="P1200">
        <v>1157</v>
      </c>
      <c r="Q1200">
        <v>0</v>
      </c>
      <c r="R1200">
        <v>1157</v>
      </c>
    </row>
    <row r="1201" spans="1:18" x14ac:dyDescent="0.3">
      <c r="A1201" s="5">
        <v>45965</v>
      </c>
      <c r="B1201" t="s">
        <v>1746</v>
      </c>
      <c r="C1201">
        <v>1</v>
      </c>
      <c r="D1201">
        <v>36</v>
      </c>
      <c r="E1201" s="1">
        <v>1.9652777777777777</v>
      </c>
      <c r="F1201" t="s">
        <v>1747</v>
      </c>
      <c r="G1201">
        <v>4</v>
      </c>
      <c r="H1201">
        <v>1081.5518</v>
      </c>
      <c r="I1201">
        <v>7</v>
      </c>
      <c r="J1201">
        <v>1163.79</v>
      </c>
      <c r="K1201">
        <v>5.4825867599182097</v>
      </c>
      <c r="L1201">
        <v>1097.8399999999999</v>
      </c>
      <c r="M1201" t="s">
        <v>27</v>
      </c>
      <c r="N1201">
        <v>1</v>
      </c>
      <c r="O1201">
        <v>1330</v>
      </c>
      <c r="P1201">
        <v>1157</v>
      </c>
      <c r="Q1201">
        <v>0</v>
      </c>
      <c r="R1201">
        <v>1157</v>
      </c>
    </row>
    <row r="1202" spans="1:18" x14ac:dyDescent="0.3">
      <c r="A1202" s="5">
        <v>45965</v>
      </c>
      <c r="B1202" t="s">
        <v>1746</v>
      </c>
      <c r="C1202">
        <v>1</v>
      </c>
      <c r="D1202">
        <v>36</v>
      </c>
      <c r="E1202" s="1">
        <v>1.9652777777777777</v>
      </c>
      <c r="F1202" t="s">
        <v>1747</v>
      </c>
      <c r="G1202">
        <v>4</v>
      </c>
      <c r="H1202">
        <v>1081.5518</v>
      </c>
      <c r="I1202">
        <v>7</v>
      </c>
      <c r="J1202">
        <v>1163.79</v>
      </c>
      <c r="K1202">
        <v>5.4825867599182097</v>
      </c>
      <c r="L1202">
        <v>1097.8399999999999</v>
      </c>
      <c r="M1202" t="s">
        <v>27</v>
      </c>
      <c r="N1202">
        <v>1</v>
      </c>
      <c r="O1202">
        <v>1330</v>
      </c>
      <c r="P1202">
        <v>1157</v>
      </c>
      <c r="Q1202">
        <v>0</v>
      </c>
      <c r="R1202">
        <v>1157</v>
      </c>
    </row>
    <row r="1203" spans="1:18" x14ac:dyDescent="0.3">
      <c r="A1203" s="5">
        <v>45965</v>
      </c>
      <c r="B1203" t="s">
        <v>1748</v>
      </c>
      <c r="C1203">
        <v>3</v>
      </c>
      <c r="D1203">
        <v>36</v>
      </c>
      <c r="E1203" s="1">
        <v>1.9652777777777777</v>
      </c>
      <c r="F1203" t="s">
        <v>1747</v>
      </c>
      <c r="G1203">
        <v>4</v>
      </c>
      <c r="H1203">
        <v>1081.5155999999999</v>
      </c>
      <c r="I1203">
        <v>7</v>
      </c>
      <c r="J1203">
        <v>1163.79</v>
      </c>
      <c r="K1203">
        <v>5.4825867599182097</v>
      </c>
      <c r="L1203">
        <v>1097.8399999999999</v>
      </c>
      <c r="M1203" t="s">
        <v>27</v>
      </c>
      <c r="N1203">
        <v>1</v>
      </c>
      <c r="O1203">
        <v>1330</v>
      </c>
      <c r="P1203">
        <v>1157</v>
      </c>
      <c r="Q1203">
        <v>0</v>
      </c>
      <c r="R1203">
        <v>1157</v>
      </c>
    </row>
    <row r="1204" spans="1:18" x14ac:dyDescent="0.3">
      <c r="A1204" s="5">
        <v>45965</v>
      </c>
      <c r="B1204" t="s">
        <v>1748</v>
      </c>
      <c r="C1204">
        <v>3</v>
      </c>
      <c r="D1204">
        <v>36</v>
      </c>
      <c r="E1204" s="1">
        <v>1.9652777777777777</v>
      </c>
      <c r="F1204" t="s">
        <v>1747</v>
      </c>
      <c r="G1204">
        <v>4</v>
      </c>
      <c r="H1204">
        <v>1081.5155999999999</v>
      </c>
      <c r="I1204">
        <v>7</v>
      </c>
      <c r="J1204">
        <v>1163.79</v>
      </c>
      <c r="K1204">
        <v>5.4825867599182097</v>
      </c>
      <c r="L1204">
        <v>1097.8399999999999</v>
      </c>
      <c r="M1204" t="s">
        <v>27</v>
      </c>
      <c r="N1204">
        <v>1</v>
      </c>
      <c r="O1204">
        <v>1330</v>
      </c>
      <c r="P1204">
        <v>1157</v>
      </c>
      <c r="Q1204">
        <v>0</v>
      </c>
      <c r="R1204">
        <v>1157</v>
      </c>
    </row>
    <row r="1205" spans="1:18" x14ac:dyDescent="0.3">
      <c r="A1205" s="5">
        <v>45965</v>
      </c>
      <c r="B1205" t="s">
        <v>1748</v>
      </c>
      <c r="C1205">
        <v>3</v>
      </c>
      <c r="D1205">
        <v>36</v>
      </c>
      <c r="E1205" s="1">
        <v>1.9652777777777777</v>
      </c>
      <c r="F1205" t="s">
        <v>1747</v>
      </c>
      <c r="G1205">
        <v>4</v>
      </c>
      <c r="H1205">
        <v>1081.5155999999999</v>
      </c>
      <c r="I1205">
        <v>7</v>
      </c>
      <c r="J1205">
        <v>1163.79</v>
      </c>
      <c r="K1205">
        <v>5.4825867599182097</v>
      </c>
      <c r="L1205">
        <v>1097.8399999999999</v>
      </c>
      <c r="M1205" t="s">
        <v>27</v>
      </c>
      <c r="N1205">
        <v>1</v>
      </c>
      <c r="O1205">
        <v>1330</v>
      </c>
      <c r="P1205">
        <v>1157</v>
      </c>
      <c r="Q1205">
        <v>0</v>
      </c>
      <c r="R1205">
        <v>1157</v>
      </c>
    </row>
    <row r="1206" spans="1:18" x14ac:dyDescent="0.3">
      <c r="A1206" s="5">
        <v>45965</v>
      </c>
      <c r="B1206" t="s">
        <v>1749</v>
      </c>
      <c r="C1206">
        <v>2</v>
      </c>
      <c r="D1206">
        <v>36</v>
      </c>
      <c r="E1206" s="1">
        <v>1.9652777777777777</v>
      </c>
      <c r="F1206" t="s">
        <v>1747</v>
      </c>
      <c r="G1206">
        <v>4</v>
      </c>
      <c r="H1206">
        <v>1081.5337</v>
      </c>
      <c r="I1206">
        <v>7</v>
      </c>
      <c r="J1206">
        <v>1163.79</v>
      </c>
      <c r="K1206">
        <v>5.4825867599182097</v>
      </c>
      <c r="L1206">
        <v>1097.8399999999999</v>
      </c>
      <c r="M1206" t="s">
        <v>27</v>
      </c>
      <c r="N1206">
        <v>1</v>
      </c>
      <c r="O1206">
        <v>1330</v>
      </c>
      <c r="P1206">
        <v>1157</v>
      </c>
      <c r="Q1206">
        <v>0</v>
      </c>
      <c r="R1206">
        <v>1157</v>
      </c>
    </row>
    <row r="1207" spans="1:18" x14ac:dyDescent="0.3">
      <c r="A1207" s="5">
        <v>45965</v>
      </c>
      <c r="B1207" t="s">
        <v>1749</v>
      </c>
      <c r="C1207">
        <v>2</v>
      </c>
      <c r="D1207">
        <v>36</v>
      </c>
      <c r="E1207" s="1">
        <v>1.9652777777777777</v>
      </c>
      <c r="F1207" t="s">
        <v>1747</v>
      </c>
      <c r="G1207">
        <v>4</v>
      </c>
      <c r="H1207">
        <v>1081.5337</v>
      </c>
      <c r="I1207">
        <v>7</v>
      </c>
      <c r="J1207">
        <v>1163.79</v>
      </c>
      <c r="K1207">
        <v>5.4825867599182097</v>
      </c>
      <c r="L1207">
        <v>1097.8399999999999</v>
      </c>
      <c r="M1207" t="s">
        <v>27</v>
      </c>
      <c r="N1207">
        <v>1</v>
      </c>
      <c r="O1207">
        <v>1330</v>
      </c>
      <c r="P1207">
        <v>1157</v>
      </c>
      <c r="Q1207">
        <v>0</v>
      </c>
      <c r="R1207">
        <v>1157</v>
      </c>
    </row>
    <row r="1208" spans="1:18" x14ac:dyDescent="0.3">
      <c r="A1208" s="5">
        <v>45965</v>
      </c>
      <c r="B1208" t="s">
        <v>1749</v>
      </c>
      <c r="C1208">
        <v>2</v>
      </c>
      <c r="D1208">
        <v>36</v>
      </c>
      <c r="E1208" s="1">
        <v>1.9652777777777777</v>
      </c>
      <c r="F1208" t="s">
        <v>1747</v>
      </c>
      <c r="G1208">
        <v>4</v>
      </c>
      <c r="H1208">
        <v>1081.5337</v>
      </c>
      <c r="I1208">
        <v>7</v>
      </c>
      <c r="J1208">
        <v>1163.79</v>
      </c>
      <c r="K1208">
        <v>5.4825867599182097</v>
      </c>
      <c r="L1208">
        <v>1097.8399999999999</v>
      </c>
      <c r="M1208" t="s">
        <v>27</v>
      </c>
      <c r="N1208">
        <v>1</v>
      </c>
      <c r="O1208">
        <v>1330</v>
      </c>
      <c r="P1208">
        <v>1157</v>
      </c>
      <c r="Q1208">
        <v>0</v>
      </c>
      <c r="R1208">
        <v>1157</v>
      </c>
    </row>
    <row r="1209" spans="1:18" x14ac:dyDescent="0.3">
      <c r="A1209" s="5">
        <v>45965</v>
      </c>
      <c r="B1209" t="s">
        <v>1750</v>
      </c>
      <c r="C1209">
        <v>6</v>
      </c>
      <c r="D1209">
        <v>36</v>
      </c>
      <c r="E1209" s="1">
        <v>1.25</v>
      </c>
      <c r="F1209" t="s">
        <v>1751</v>
      </c>
      <c r="G1209">
        <v>5</v>
      </c>
      <c r="H1209">
        <v>1081.4781</v>
      </c>
      <c r="I1209">
        <v>0</v>
      </c>
      <c r="J1209">
        <v>1163.79</v>
      </c>
      <c r="K1209">
        <v>0</v>
      </c>
      <c r="L1209">
        <v>1219.83</v>
      </c>
      <c r="M1209" t="s">
        <v>27</v>
      </c>
      <c r="N1209">
        <v>1</v>
      </c>
      <c r="O1209">
        <v>1255</v>
      </c>
      <c r="P1209">
        <v>1081</v>
      </c>
      <c r="Q1209">
        <v>0</v>
      </c>
      <c r="R1209">
        <v>1081</v>
      </c>
    </row>
    <row r="1210" spans="1:18" x14ac:dyDescent="0.3">
      <c r="A1210" s="5">
        <v>45965</v>
      </c>
      <c r="B1210" t="s">
        <v>1752</v>
      </c>
      <c r="C1210">
        <v>33</v>
      </c>
      <c r="D1210">
        <v>36</v>
      </c>
      <c r="E1210" s="1">
        <v>1.25</v>
      </c>
      <c r="F1210" t="s">
        <v>1753</v>
      </c>
      <c r="G1210">
        <v>2</v>
      </c>
      <c r="H1210">
        <v>1080.8606</v>
      </c>
      <c r="I1210">
        <v>5</v>
      </c>
      <c r="J1210">
        <v>1163.79</v>
      </c>
      <c r="K1210">
        <v>3.9161333999415802</v>
      </c>
      <c r="L1210">
        <v>609.91</v>
      </c>
      <c r="M1210" t="s">
        <v>60</v>
      </c>
      <c r="N1210">
        <v>1</v>
      </c>
      <c r="O1210">
        <v>1308</v>
      </c>
      <c r="P1210">
        <v>1135</v>
      </c>
      <c r="Q1210">
        <v>0.5</v>
      </c>
      <c r="R1210">
        <v>567.5</v>
      </c>
    </row>
    <row r="1211" spans="1:18" x14ac:dyDescent="0.3">
      <c r="A1211" s="5">
        <v>45965</v>
      </c>
      <c r="B1211" t="s">
        <v>1754</v>
      </c>
      <c r="C1211">
        <v>3</v>
      </c>
      <c r="D1211">
        <v>36</v>
      </c>
      <c r="E1211" s="1">
        <v>1.25</v>
      </c>
      <c r="F1211" t="s">
        <v>1755</v>
      </c>
      <c r="G1211">
        <v>1</v>
      </c>
      <c r="H1211">
        <v>1081.5305000000001</v>
      </c>
      <c r="I1211">
        <v>8.5</v>
      </c>
      <c r="J1211">
        <v>1163.79</v>
      </c>
      <c r="K1211">
        <v>6.6574267799006801</v>
      </c>
      <c r="L1211">
        <v>1219.83</v>
      </c>
      <c r="M1211" t="s">
        <v>27</v>
      </c>
      <c r="N1211">
        <v>1</v>
      </c>
      <c r="O1211">
        <v>1347</v>
      </c>
      <c r="P1211">
        <v>1173</v>
      </c>
      <c r="Q1211">
        <v>0</v>
      </c>
      <c r="R1211">
        <v>1173</v>
      </c>
    </row>
    <row r="1212" spans="1:18" x14ac:dyDescent="0.3">
      <c r="A1212" s="5">
        <v>45965</v>
      </c>
      <c r="B1212" t="s">
        <v>1756</v>
      </c>
      <c r="C1212">
        <v>19</v>
      </c>
      <c r="D1212">
        <v>36</v>
      </c>
      <c r="E1212" s="1">
        <v>1.25</v>
      </c>
      <c r="F1212" t="s">
        <v>97</v>
      </c>
      <c r="G1212">
        <v>4</v>
      </c>
      <c r="H1212">
        <v>1079.2113999999999</v>
      </c>
      <c r="I1212">
        <v>7</v>
      </c>
      <c r="J1212">
        <v>1163.79</v>
      </c>
      <c r="K1212">
        <v>5.4825867599182097</v>
      </c>
      <c r="L1212">
        <v>1219.83</v>
      </c>
      <c r="M1212" t="s">
        <v>27</v>
      </c>
      <c r="N1212">
        <v>1</v>
      </c>
      <c r="O1212">
        <v>1327</v>
      </c>
      <c r="P1212">
        <v>1155</v>
      </c>
      <c r="Q1212">
        <v>0</v>
      </c>
      <c r="R1212">
        <v>1155</v>
      </c>
    </row>
    <row r="1213" spans="1:18" x14ac:dyDescent="0.3">
      <c r="A1213" s="5">
        <v>45965</v>
      </c>
      <c r="B1213" t="s">
        <v>1757</v>
      </c>
      <c r="C1213">
        <v>20</v>
      </c>
      <c r="D1213">
        <v>36</v>
      </c>
      <c r="E1213" s="1">
        <v>1.25</v>
      </c>
      <c r="F1213" t="s">
        <v>97</v>
      </c>
      <c r="G1213">
        <v>4</v>
      </c>
      <c r="H1213">
        <v>1079.1934000000001</v>
      </c>
      <c r="I1213">
        <v>7</v>
      </c>
      <c r="J1213">
        <v>1163.79</v>
      </c>
      <c r="K1213">
        <v>5.4825867599182097</v>
      </c>
      <c r="L1213">
        <v>1219.83</v>
      </c>
      <c r="M1213" t="s">
        <v>27</v>
      </c>
      <c r="N1213">
        <v>1</v>
      </c>
      <c r="O1213">
        <v>1327</v>
      </c>
      <c r="P1213">
        <v>1155</v>
      </c>
      <c r="Q1213">
        <v>0</v>
      </c>
      <c r="R1213">
        <v>1155</v>
      </c>
    </row>
    <row r="1214" spans="1:18" x14ac:dyDescent="0.3">
      <c r="A1214" s="5">
        <v>45965</v>
      </c>
      <c r="B1214" t="s">
        <v>1758</v>
      </c>
      <c r="C1214">
        <v>4</v>
      </c>
      <c r="D1214">
        <v>36</v>
      </c>
      <c r="E1214" s="1">
        <v>1.25</v>
      </c>
      <c r="F1214" t="s">
        <v>1759</v>
      </c>
      <c r="G1214">
        <v>1</v>
      </c>
      <c r="H1214">
        <v>1081.3818000000001</v>
      </c>
      <c r="I1214">
        <v>8.5</v>
      </c>
      <c r="J1214">
        <v>1163.79</v>
      </c>
      <c r="K1214">
        <v>6.6574267799006801</v>
      </c>
      <c r="L1214">
        <v>1219.83</v>
      </c>
      <c r="M1214" t="s">
        <v>27</v>
      </c>
      <c r="N1214">
        <v>1</v>
      </c>
      <c r="O1214">
        <v>1346</v>
      </c>
      <c r="P1214">
        <v>1173</v>
      </c>
      <c r="Q1214">
        <v>0</v>
      </c>
      <c r="R1214">
        <v>1173</v>
      </c>
    </row>
    <row r="1215" spans="1:18" x14ac:dyDescent="0.3">
      <c r="A1215" s="5">
        <v>45965</v>
      </c>
      <c r="B1215" t="s">
        <v>1760</v>
      </c>
      <c r="C1215">
        <v>7</v>
      </c>
      <c r="D1215">
        <v>36</v>
      </c>
      <c r="E1215" s="1">
        <v>1.9993055555555554</v>
      </c>
      <c r="F1215" t="s">
        <v>1761</v>
      </c>
      <c r="G1215">
        <v>4</v>
      </c>
      <c r="H1215">
        <v>1080.5369000000001</v>
      </c>
      <c r="I1215">
        <v>7</v>
      </c>
      <c r="J1215">
        <v>1163.79</v>
      </c>
      <c r="K1215">
        <v>5.4825867599182097</v>
      </c>
      <c r="L1215">
        <v>1219.83</v>
      </c>
      <c r="M1215" t="s">
        <v>27</v>
      </c>
      <c r="N1215">
        <v>1</v>
      </c>
      <c r="O1215">
        <v>1329</v>
      </c>
      <c r="P1215">
        <v>1156</v>
      </c>
      <c r="Q1215">
        <v>0</v>
      </c>
      <c r="R1215">
        <v>1156</v>
      </c>
    </row>
    <row r="1216" spans="1:18" x14ac:dyDescent="0.3">
      <c r="A1216" s="5">
        <v>45965</v>
      </c>
      <c r="B1216" t="s">
        <v>1762</v>
      </c>
      <c r="C1216">
        <v>4</v>
      </c>
      <c r="D1216">
        <v>36</v>
      </c>
      <c r="E1216" s="1">
        <v>1.9993055555555554</v>
      </c>
      <c r="F1216" t="s">
        <v>1763</v>
      </c>
      <c r="G1216">
        <v>1</v>
      </c>
      <c r="H1216">
        <v>1081.1615999999999</v>
      </c>
      <c r="I1216">
        <v>8.5</v>
      </c>
      <c r="J1216">
        <v>1163.79</v>
      </c>
      <c r="K1216">
        <v>6.6574267799006801</v>
      </c>
      <c r="L1216">
        <v>1158.8800000000001</v>
      </c>
      <c r="M1216" t="s">
        <v>27</v>
      </c>
      <c r="N1216">
        <v>1</v>
      </c>
      <c r="O1216">
        <v>1346</v>
      </c>
      <c r="P1216">
        <v>1173</v>
      </c>
      <c r="Q1216">
        <v>0</v>
      </c>
      <c r="R1216">
        <v>1173</v>
      </c>
    </row>
    <row r="1217" spans="1:18" x14ac:dyDescent="0.3">
      <c r="A1217" s="5">
        <v>45965</v>
      </c>
      <c r="B1217" t="s">
        <v>1764</v>
      </c>
      <c r="C1217">
        <v>17</v>
      </c>
      <c r="D1217">
        <v>36</v>
      </c>
      <c r="E1217" s="1">
        <v>1.4583333333333333</v>
      </c>
      <c r="F1217" t="s">
        <v>1765</v>
      </c>
      <c r="G1217">
        <v>1</v>
      </c>
      <c r="H1217">
        <v>1081.2739999999999</v>
      </c>
      <c r="I1217">
        <v>8.5</v>
      </c>
      <c r="J1217">
        <v>1163.79</v>
      </c>
      <c r="K1217">
        <v>6.6574267799006801</v>
      </c>
      <c r="L1217">
        <v>1219.83</v>
      </c>
      <c r="M1217" t="s">
        <v>27</v>
      </c>
      <c r="N1217">
        <v>1</v>
      </c>
      <c r="O1217">
        <v>1346</v>
      </c>
      <c r="P1217">
        <v>1173</v>
      </c>
      <c r="Q1217">
        <v>0</v>
      </c>
      <c r="R1217">
        <v>1173</v>
      </c>
    </row>
    <row r="1218" spans="1:18" x14ac:dyDescent="0.3">
      <c r="A1218" s="5">
        <v>45965</v>
      </c>
      <c r="B1218" t="s">
        <v>1766</v>
      </c>
      <c r="C1218">
        <v>15</v>
      </c>
      <c r="D1218">
        <v>36</v>
      </c>
      <c r="E1218" s="1">
        <v>1.4583333333333333</v>
      </c>
      <c r="F1218" t="s">
        <v>1767</v>
      </c>
      <c r="G1218">
        <v>1</v>
      </c>
      <c r="H1218">
        <v>1081.3092999999999</v>
      </c>
      <c r="I1218">
        <v>8.5</v>
      </c>
      <c r="J1218">
        <v>1163.79</v>
      </c>
      <c r="K1218">
        <v>6.6574267799006801</v>
      </c>
      <c r="L1218">
        <v>1219.83</v>
      </c>
      <c r="M1218" t="s">
        <v>27</v>
      </c>
      <c r="N1218">
        <v>1</v>
      </c>
      <c r="O1218">
        <v>1346</v>
      </c>
      <c r="P1218">
        <v>1173</v>
      </c>
      <c r="Q1218">
        <v>0</v>
      </c>
      <c r="R1218">
        <v>1173</v>
      </c>
    </row>
    <row r="1219" spans="1:18" x14ac:dyDescent="0.3">
      <c r="A1219" s="5">
        <v>45965</v>
      </c>
      <c r="B1219" t="s">
        <v>1768</v>
      </c>
      <c r="C1219">
        <v>32</v>
      </c>
      <c r="D1219">
        <v>36</v>
      </c>
      <c r="E1219" s="1">
        <v>1.9993055555555554</v>
      </c>
      <c r="F1219" t="s">
        <v>1769</v>
      </c>
      <c r="G1219">
        <v>2</v>
      </c>
      <c r="H1219">
        <v>1080.0744999999999</v>
      </c>
      <c r="I1219">
        <v>5</v>
      </c>
      <c r="J1219">
        <v>1163.79</v>
      </c>
      <c r="K1219">
        <v>3.9161333999415802</v>
      </c>
      <c r="L1219">
        <v>609.91</v>
      </c>
      <c r="M1219" t="s">
        <v>60</v>
      </c>
      <c r="N1219">
        <v>1</v>
      </c>
      <c r="O1219">
        <v>1307</v>
      </c>
      <c r="P1219">
        <v>1134</v>
      </c>
      <c r="Q1219">
        <v>0.5</v>
      </c>
      <c r="R1219">
        <v>567</v>
      </c>
    </row>
    <row r="1220" spans="1:18" x14ac:dyDescent="0.3">
      <c r="A1220" s="5">
        <v>45965</v>
      </c>
      <c r="B1220" t="s">
        <v>1770</v>
      </c>
      <c r="C1220">
        <v>17</v>
      </c>
      <c r="D1220">
        <v>36</v>
      </c>
      <c r="E1220" s="1">
        <v>1.9652777777777777</v>
      </c>
      <c r="F1220" t="s">
        <v>1771</v>
      </c>
      <c r="G1220">
        <v>4</v>
      </c>
      <c r="H1220">
        <v>1080.5477000000001</v>
      </c>
      <c r="I1220">
        <v>7</v>
      </c>
      <c r="J1220">
        <v>1163.79</v>
      </c>
      <c r="K1220">
        <v>5.4825867599182097</v>
      </c>
      <c r="L1220">
        <v>1097.8399999999999</v>
      </c>
      <c r="M1220" t="s">
        <v>27</v>
      </c>
      <c r="N1220">
        <v>1</v>
      </c>
      <c r="O1220">
        <v>1329</v>
      </c>
      <c r="P1220">
        <v>1156</v>
      </c>
      <c r="Q1220">
        <v>0</v>
      </c>
      <c r="R1220">
        <v>1156</v>
      </c>
    </row>
    <row r="1221" spans="1:18" x14ac:dyDescent="0.3">
      <c r="A1221" s="5">
        <v>45965</v>
      </c>
      <c r="B1221" t="s">
        <v>1772</v>
      </c>
      <c r="C1221">
        <v>24</v>
      </c>
      <c r="D1221">
        <v>36</v>
      </c>
      <c r="E1221" s="1">
        <v>1.4583333333333333</v>
      </c>
      <c r="F1221" t="s">
        <v>1773</v>
      </c>
      <c r="G1221">
        <v>1</v>
      </c>
      <c r="H1221">
        <v>1081.0233000000001</v>
      </c>
      <c r="I1221">
        <v>8.5</v>
      </c>
      <c r="J1221">
        <v>1163.79</v>
      </c>
      <c r="K1221">
        <v>6.6574267799006801</v>
      </c>
      <c r="L1221">
        <v>1219.83</v>
      </c>
      <c r="M1221" t="s">
        <v>27</v>
      </c>
      <c r="N1221">
        <v>1</v>
      </c>
      <c r="O1221">
        <v>1346</v>
      </c>
      <c r="P1221">
        <v>1173</v>
      </c>
      <c r="Q1221">
        <v>0</v>
      </c>
      <c r="R1221">
        <v>1173</v>
      </c>
    </row>
    <row r="1222" spans="1:18" x14ac:dyDescent="0.3">
      <c r="A1222" s="5">
        <v>45965</v>
      </c>
      <c r="B1222" t="s">
        <v>1774</v>
      </c>
      <c r="C1222">
        <v>20</v>
      </c>
      <c r="D1222">
        <v>36</v>
      </c>
      <c r="E1222" s="1">
        <v>1.9993055555555554</v>
      </c>
      <c r="F1222" t="s">
        <v>1775</v>
      </c>
      <c r="G1222">
        <v>2</v>
      </c>
      <c r="H1222">
        <v>1080.9991</v>
      </c>
      <c r="I1222">
        <v>5</v>
      </c>
      <c r="J1222">
        <v>1163.79</v>
      </c>
      <c r="K1222">
        <v>3.9161333999415802</v>
      </c>
      <c r="L1222">
        <v>609.91</v>
      </c>
      <c r="M1222" t="s">
        <v>60</v>
      </c>
      <c r="N1222">
        <v>1</v>
      </c>
      <c r="O1222">
        <v>1308</v>
      </c>
      <c r="P1222">
        <v>1135</v>
      </c>
      <c r="Q1222">
        <v>0.5</v>
      </c>
      <c r="R1222">
        <v>567.5</v>
      </c>
    </row>
    <row r="1223" spans="1:18" x14ac:dyDescent="0.3">
      <c r="A1223" s="5">
        <v>45965</v>
      </c>
      <c r="B1223" t="s">
        <v>1776</v>
      </c>
      <c r="C1223">
        <v>19</v>
      </c>
      <c r="D1223">
        <v>36</v>
      </c>
      <c r="E1223" s="1">
        <v>1.9993055555555554</v>
      </c>
      <c r="F1223" t="s">
        <v>1775</v>
      </c>
      <c r="G1223">
        <v>2</v>
      </c>
      <c r="H1223">
        <v>1081.0172</v>
      </c>
      <c r="I1223">
        <v>5</v>
      </c>
      <c r="J1223">
        <v>1163.79</v>
      </c>
      <c r="K1223">
        <v>3.9161333999415802</v>
      </c>
      <c r="L1223">
        <v>609.91</v>
      </c>
      <c r="M1223" t="s">
        <v>60</v>
      </c>
      <c r="N1223">
        <v>1</v>
      </c>
      <c r="O1223">
        <v>1308</v>
      </c>
      <c r="P1223">
        <v>1135</v>
      </c>
      <c r="Q1223">
        <v>0.5</v>
      </c>
      <c r="R1223">
        <v>567.5</v>
      </c>
    </row>
    <row r="1224" spans="1:18" x14ac:dyDescent="0.3">
      <c r="A1224" s="5">
        <v>45965</v>
      </c>
      <c r="B1224" t="s">
        <v>1777</v>
      </c>
      <c r="C1224">
        <v>8</v>
      </c>
      <c r="D1224">
        <v>35</v>
      </c>
      <c r="E1224" s="1">
        <v>1.9791666666666665</v>
      </c>
      <c r="F1224" t="s">
        <v>1778</v>
      </c>
      <c r="G1224">
        <v>3</v>
      </c>
      <c r="H1224">
        <v>1081.1976</v>
      </c>
      <c r="I1224">
        <v>10</v>
      </c>
      <c r="J1224">
        <v>1163.79</v>
      </c>
      <c r="K1224">
        <v>7.8322667998831603</v>
      </c>
      <c r="L1224">
        <v>609.91</v>
      </c>
      <c r="M1224" t="s">
        <v>20</v>
      </c>
      <c r="N1224">
        <v>1</v>
      </c>
      <c r="O1224">
        <v>1362</v>
      </c>
      <c r="P1224">
        <v>1189</v>
      </c>
      <c r="Q1224">
        <v>0.5</v>
      </c>
      <c r="R1224">
        <v>594.5</v>
      </c>
    </row>
    <row r="1225" spans="1:18" x14ac:dyDescent="0.3">
      <c r="A1225" s="5">
        <v>45965</v>
      </c>
      <c r="B1225" t="s">
        <v>1779</v>
      </c>
      <c r="C1225">
        <v>9</v>
      </c>
      <c r="D1225">
        <v>35</v>
      </c>
      <c r="E1225" s="1">
        <v>1.9791666666666665</v>
      </c>
      <c r="F1225" t="s">
        <v>1780</v>
      </c>
      <c r="G1225">
        <v>3</v>
      </c>
      <c r="H1225">
        <v>1081.1797999999999</v>
      </c>
      <c r="I1225">
        <v>10</v>
      </c>
      <c r="J1225">
        <v>1163.79</v>
      </c>
      <c r="K1225">
        <v>7.8322667998831603</v>
      </c>
      <c r="L1225">
        <v>609.91</v>
      </c>
      <c r="M1225" t="s">
        <v>20</v>
      </c>
      <c r="N1225">
        <v>1</v>
      </c>
      <c r="O1225">
        <v>1362</v>
      </c>
      <c r="P1225">
        <v>1189</v>
      </c>
      <c r="Q1225">
        <v>0.5</v>
      </c>
      <c r="R1225">
        <v>594.5</v>
      </c>
    </row>
    <row r="1226" spans="1:18" x14ac:dyDescent="0.3">
      <c r="A1226" s="5">
        <v>45965</v>
      </c>
      <c r="B1226" t="s">
        <v>1781</v>
      </c>
      <c r="C1226">
        <v>7</v>
      </c>
      <c r="D1226">
        <v>36</v>
      </c>
      <c r="E1226" s="1">
        <v>1.4583333333333333</v>
      </c>
      <c r="F1226" t="s">
        <v>1782</v>
      </c>
      <c r="G1226">
        <v>5</v>
      </c>
      <c r="H1226">
        <v>1081.4647</v>
      </c>
      <c r="I1226">
        <v>0</v>
      </c>
      <c r="J1226">
        <v>1163.79</v>
      </c>
      <c r="K1226">
        <v>0</v>
      </c>
      <c r="L1226">
        <v>1158.8800000000001</v>
      </c>
      <c r="M1226" t="s">
        <v>27</v>
      </c>
      <c r="N1226">
        <v>1</v>
      </c>
      <c r="O1226">
        <v>1254</v>
      </c>
      <c r="P1226">
        <v>1081</v>
      </c>
      <c r="Q1226">
        <v>0</v>
      </c>
      <c r="R1226">
        <v>1081</v>
      </c>
    </row>
    <row r="1227" spans="1:18" x14ac:dyDescent="0.3">
      <c r="A1227" s="5">
        <v>45965</v>
      </c>
      <c r="B1227" t="s">
        <v>1783</v>
      </c>
      <c r="C1227">
        <v>11</v>
      </c>
      <c r="D1227">
        <v>36</v>
      </c>
      <c r="E1227" s="1">
        <v>1.4583333333333333</v>
      </c>
      <c r="F1227" t="s">
        <v>1784</v>
      </c>
      <c r="G1227">
        <v>0</v>
      </c>
      <c r="H1227">
        <v>1081.4302</v>
      </c>
      <c r="I1227">
        <v>2.5</v>
      </c>
      <c r="J1227">
        <v>1163.79</v>
      </c>
      <c r="K1227">
        <v>1.9580666999707901</v>
      </c>
      <c r="L1227">
        <v>1158.8800000000001</v>
      </c>
      <c r="M1227" t="s">
        <v>27</v>
      </c>
      <c r="N1227">
        <v>1</v>
      </c>
      <c r="O1227">
        <v>1281</v>
      </c>
      <c r="P1227">
        <v>1108</v>
      </c>
      <c r="Q1227">
        <v>0</v>
      </c>
      <c r="R1227">
        <v>1108</v>
      </c>
    </row>
    <row r="1228" spans="1:18" x14ac:dyDescent="0.3">
      <c r="A1228" s="5">
        <v>45965</v>
      </c>
      <c r="B1228" t="s">
        <v>1783</v>
      </c>
      <c r="C1228">
        <v>11</v>
      </c>
      <c r="D1228">
        <v>36</v>
      </c>
      <c r="E1228" s="1">
        <v>1.4583333333333333</v>
      </c>
      <c r="F1228" t="s">
        <v>1784</v>
      </c>
      <c r="G1228">
        <v>0</v>
      </c>
      <c r="H1228">
        <v>1081.4302</v>
      </c>
      <c r="I1228">
        <v>2.5</v>
      </c>
      <c r="J1228">
        <v>1163.79</v>
      </c>
      <c r="K1228">
        <v>1.9580666999707901</v>
      </c>
      <c r="L1228">
        <v>1158.8800000000001</v>
      </c>
      <c r="M1228" t="s">
        <v>27</v>
      </c>
      <c r="N1228">
        <v>1</v>
      </c>
      <c r="O1228">
        <v>1281</v>
      </c>
      <c r="P1228">
        <v>1108</v>
      </c>
      <c r="Q1228">
        <v>0</v>
      </c>
      <c r="R1228">
        <v>1108</v>
      </c>
    </row>
    <row r="1229" spans="1:18" x14ac:dyDescent="0.3">
      <c r="A1229" s="5">
        <v>45965</v>
      </c>
      <c r="B1229" t="s">
        <v>1785</v>
      </c>
      <c r="C1229">
        <v>12</v>
      </c>
      <c r="D1229">
        <v>36</v>
      </c>
      <c r="E1229" s="1">
        <v>1.4583333333333333</v>
      </c>
      <c r="F1229" t="s">
        <v>1784</v>
      </c>
      <c r="G1229">
        <v>0</v>
      </c>
      <c r="H1229">
        <v>1081.4122</v>
      </c>
      <c r="I1229">
        <v>2.5</v>
      </c>
      <c r="J1229">
        <v>1163.79</v>
      </c>
      <c r="K1229">
        <v>1.9580666999707901</v>
      </c>
      <c r="L1229">
        <v>1158.8800000000001</v>
      </c>
      <c r="M1229" t="s">
        <v>27</v>
      </c>
      <c r="N1229">
        <v>1</v>
      </c>
      <c r="O1229">
        <v>1281</v>
      </c>
      <c r="P1229">
        <v>1108</v>
      </c>
      <c r="Q1229">
        <v>0</v>
      </c>
      <c r="R1229">
        <v>1108</v>
      </c>
    </row>
    <row r="1230" spans="1:18" x14ac:dyDescent="0.3">
      <c r="A1230" s="5">
        <v>45965</v>
      </c>
      <c r="B1230" t="s">
        <v>1785</v>
      </c>
      <c r="C1230">
        <v>12</v>
      </c>
      <c r="D1230">
        <v>36</v>
      </c>
      <c r="E1230" s="1">
        <v>1.4583333333333333</v>
      </c>
      <c r="F1230" t="s">
        <v>1784</v>
      </c>
      <c r="G1230">
        <v>0</v>
      </c>
      <c r="H1230">
        <v>1081.4122</v>
      </c>
      <c r="I1230">
        <v>2.5</v>
      </c>
      <c r="J1230">
        <v>1163.79</v>
      </c>
      <c r="K1230">
        <v>1.9580666999707901</v>
      </c>
      <c r="L1230">
        <v>1158.8800000000001</v>
      </c>
      <c r="M1230" t="s">
        <v>27</v>
      </c>
      <c r="N1230">
        <v>1</v>
      </c>
      <c r="O1230">
        <v>1281</v>
      </c>
      <c r="P1230">
        <v>1108</v>
      </c>
      <c r="Q1230">
        <v>0</v>
      </c>
      <c r="R1230">
        <v>1108</v>
      </c>
    </row>
    <row r="1231" spans="1:18" x14ac:dyDescent="0.3">
      <c r="A1231" s="5">
        <v>45965</v>
      </c>
      <c r="B1231" t="s">
        <v>1786</v>
      </c>
      <c r="C1231">
        <v>4</v>
      </c>
      <c r="D1231">
        <v>36</v>
      </c>
      <c r="E1231" s="1">
        <v>1.4583333333333333</v>
      </c>
      <c r="F1231" t="s">
        <v>1787</v>
      </c>
      <c r="G1231">
        <v>1</v>
      </c>
      <c r="H1231">
        <v>1081.3832</v>
      </c>
      <c r="I1231">
        <v>8.5</v>
      </c>
      <c r="J1231">
        <v>1163.79</v>
      </c>
      <c r="K1231">
        <v>6.6574267799006801</v>
      </c>
      <c r="L1231">
        <v>1219.83</v>
      </c>
      <c r="M1231" t="s">
        <v>27</v>
      </c>
      <c r="N1231">
        <v>1</v>
      </c>
      <c r="O1231">
        <v>1346</v>
      </c>
      <c r="P1231">
        <v>1173</v>
      </c>
      <c r="Q1231">
        <v>0</v>
      </c>
      <c r="R1231">
        <v>1173</v>
      </c>
    </row>
    <row r="1232" spans="1:18" x14ac:dyDescent="0.3">
      <c r="A1232" s="5">
        <v>45965</v>
      </c>
      <c r="B1232" t="s">
        <v>1788</v>
      </c>
      <c r="C1232">
        <v>29</v>
      </c>
      <c r="D1232">
        <v>36</v>
      </c>
      <c r="E1232" s="1">
        <v>1.4583333333333333</v>
      </c>
      <c r="F1232" t="s">
        <v>1789</v>
      </c>
      <c r="G1232">
        <v>1</v>
      </c>
      <c r="H1232">
        <v>1080.9332999999999</v>
      </c>
      <c r="I1232">
        <v>8.5</v>
      </c>
      <c r="J1232">
        <v>1163.79</v>
      </c>
      <c r="K1232">
        <v>6.6574267799006801</v>
      </c>
      <c r="L1232">
        <v>1219.83</v>
      </c>
      <c r="M1232" t="s">
        <v>27</v>
      </c>
      <c r="N1232">
        <v>1</v>
      </c>
      <c r="O1232">
        <v>1346</v>
      </c>
      <c r="P1232">
        <v>1173</v>
      </c>
      <c r="Q1232">
        <v>0</v>
      </c>
      <c r="R1232">
        <v>1173</v>
      </c>
    </row>
    <row r="1233" spans="1:18" x14ac:dyDescent="0.3">
      <c r="A1233" s="5">
        <v>45965</v>
      </c>
      <c r="B1233" t="s">
        <v>1790</v>
      </c>
      <c r="C1233">
        <v>30</v>
      </c>
      <c r="D1233">
        <v>36</v>
      </c>
      <c r="E1233" s="1">
        <v>1.9993055555555554</v>
      </c>
      <c r="F1233" t="s">
        <v>1791</v>
      </c>
      <c r="G1233">
        <v>5</v>
      </c>
      <c r="H1233">
        <v>1080.6918000000001</v>
      </c>
      <c r="I1233">
        <v>0</v>
      </c>
      <c r="J1233">
        <v>1163.79</v>
      </c>
      <c r="K1233">
        <v>0</v>
      </c>
      <c r="L1233">
        <v>1158.8800000000001</v>
      </c>
      <c r="M1233" t="s">
        <v>27</v>
      </c>
      <c r="N1233">
        <v>1</v>
      </c>
      <c r="O1233">
        <v>1254</v>
      </c>
      <c r="P1233">
        <v>1081</v>
      </c>
      <c r="Q1233">
        <v>0</v>
      </c>
      <c r="R1233">
        <v>1081</v>
      </c>
    </row>
    <row r="1234" spans="1:18" x14ac:dyDescent="0.3">
      <c r="A1234" s="5">
        <v>45965</v>
      </c>
      <c r="B1234" t="s">
        <v>1790</v>
      </c>
      <c r="C1234">
        <v>30</v>
      </c>
      <c r="D1234">
        <v>36</v>
      </c>
      <c r="E1234" s="1">
        <v>1.9993055555555554</v>
      </c>
      <c r="F1234" t="s">
        <v>1792</v>
      </c>
      <c r="G1234">
        <v>5</v>
      </c>
      <c r="H1234">
        <v>1080.6918000000001</v>
      </c>
      <c r="I1234">
        <v>0</v>
      </c>
      <c r="J1234">
        <v>1163.79</v>
      </c>
      <c r="K1234">
        <v>0</v>
      </c>
      <c r="L1234">
        <v>1158.8800000000001</v>
      </c>
      <c r="M1234" t="s">
        <v>27</v>
      </c>
      <c r="N1234">
        <v>1</v>
      </c>
      <c r="O1234">
        <v>1254</v>
      </c>
      <c r="P1234">
        <v>1081</v>
      </c>
      <c r="Q1234">
        <v>0</v>
      </c>
      <c r="R1234">
        <v>1081</v>
      </c>
    </row>
    <row r="1235" spans="1:18" x14ac:dyDescent="0.3">
      <c r="A1235" s="5">
        <v>45965</v>
      </c>
      <c r="B1235" t="s">
        <v>1793</v>
      </c>
      <c r="C1235">
        <v>31</v>
      </c>
      <c r="D1235">
        <v>36</v>
      </c>
      <c r="E1235" s="1">
        <v>1.9993055555555554</v>
      </c>
      <c r="F1235" t="s">
        <v>1791</v>
      </c>
      <c r="G1235">
        <v>5</v>
      </c>
      <c r="H1235">
        <v>1080.6738</v>
      </c>
      <c r="I1235">
        <v>0</v>
      </c>
      <c r="J1235">
        <v>1163.79</v>
      </c>
      <c r="K1235">
        <v>0</v>
      </c>
      <c r="L1235">
        <v>1158.8800000000001</v>
      </c>
      <c r="M1235" t="s">
        <v>27</v>
      </c>
      <c r="N1235">
        <v>1</v>
      </c>
      <c r="O1235">
        <v>1254</v>
      </c>
      <c r="P1235">
        <v>1081</v>
      </c>
      <c r="Q1235">
        <v>0</v>
      </c>
      <c r="R1235">
        <v>1081</v>
      </c>
    </row>
    <row r="1236" spans="1:18" x14ac:dyDescent="0.3">
      <c r="A1236" s="5">
        <v>45965</v>
      </c>
      <c r="B1236" t="s">
        <v>1793</v>
      </c>
      <c r="C1236">
        <v>31</v>
      </c>
      <c r="D1236">
        <v>36</v>
      </c>
      <c r="E1236" s="1">
        <v>1.9993055555555554</v>
      </c>
      <c r="F1236" t="s">
        <v>1792</v>
      </c>
      <c r="G1236">
        <v>5</v>
      </c>
      <c r="H1236">
        <v>1080.6738</v>
      </c>
      <c r="I1236">
        <v>0</v>
      </c>
      <c r="J1236">
        <v>1163.79</v>
      </c>
      <c r="K1236">
        <v>0</v>
      </c>
      <c r="L1236">
        <v>1158.8800000000001</v>
      </c>
      <c r="M1236" t="s">
        <v>27</v>
      </c>
      <c r="N1236">
        <v>1</v>
      </c>
      <c r="O1236">
        <v>1254</v>
      </c>
      <c r="P1236">
        <v>1081</v>
      </c>
      <c r="Q1236">
        <v>0</v>
      </c>
      <c r="R1236">
        <v>1081</v>
      </c>
    </row>
    <row r="1237" spans="1:18" x14ac:dyDescent="0.3">
      <c r="A1237" s="5">
        <v>45965</v>
      </c>
      <c r="B1237" t="s">
        <v>1794</v>
      </c>
      <c r="C1237">
        <v>10</v>
      </c>
      <c r="D1237">
        <v>36</v>
      </c>
      <c r="E1237" s="1">
        <v>1.9652777777777777</v>
      </c>
      <c r="F1237" t="s">
        <v>1795</v>
      </c>
      <c r="G1237">
        <v>2</v>
      </c>
      <c r="H1237">
        <v>1081.3688</v>
      </c>
      <c r="I1237">
        <v>5</v>
      </c>
      <c r="J1237">
        <v>1163.79</v>
      </c>
      <c r="K1237">
        <v>3.9161333999415802</v>
      </c>
      <c r="L1237">
        <v>609.91</v>
      </c>
      <c r="M1237" t="s">
        <v>60</v>
      </c>
      <c r="N1237">
        <v>1</v>
      </c>
      <c r="O1237">
        <v>1308</v>
      </c>
      <c r="P1237">
        <v>1135</v>
      </c>
      <c r="Q1237">
        <v>0.5</v>
      </c>
      <c r="R1237">
        <v>567.5</v>
      </c>
    </row>
    <row r="1238" spans="1:18" x14ac:dyDescent="0.3">
      <c r="A1238" s="5">
        <v>45965</v>
      </c>
      <c r="B1238" t="s">
        <v>1796</v>
      </c>
      <c r="C1238">
        <v>10</v>
      </c>
      <c r="D1238">
        <v>36</v>
      </c>
      <c r="E1238" s="1">
        <v>1.0833333333333333</v>
      </c>
      <c r="F1238" t="s">
        <v>1797</v>
      </c>
      <c r="G1238">
        <v>0</v>
      </c>
      <c r="H1238">
        <v>1081.4095</v>
      </c>
      <c r="I1238">
        <v>2.5</v>
      </c>
      <c r="J1238">
        <v>1163.79</v>
      </c>
      <c r="K1238">
        <v>1.9580666999707901</v>
      </c>
      <c r="L1238">
        <v>1120.69</v>
      </c>
      <c r="M1238" t="s">
        <v>27</v>
      </c>
      <c r="N1238">
        <v>1</v>
      </c>
      <c r="O1238">
        <v>1281</v>
      </c>
      <c r="P1238">
        <v>1108</v>
      </c>
      <c r="Q1238">
        <v>0</v>
      </c>
      <c r="R1238">
        <v>1108</v>
      </c>
    </row>
    <row r="1239" spans="1:18" x14ac:dyDescent="0.3">
      <c r="A1239" s="5">
        <v>45965</v>
      </c>
      <c r="B1239" t="s">
        <v>1798</v>
      </c>
      <c r="C1239">
        <v>13</v>
      </c>
      <c r="D1239">
        <v>36</v>
      </c>
      <c r="E1239" s="1">
        <v>1.9652777777777777</v>
      </c>
      <c r="F1239" t="s">
        <v>1799</v>
      </c>
      <c r="G1239">
        <v>4</v>
      </c>
      <c r="H1239">
        <v>1081.1759999999999</v>
      </c>
      <c r="I1239">
        <v>7</v>
      </c>
      <c r="J1239">
        <v>1163.79</v>
      </c>
      <c r="K1239">
        <v>5.4825867599182097</v>
      </c>
      <c r="L1239">
        <v>1158.8800000000001</v>
      </c>
      <c r="M1239" t="s">
        <v>27</v>
      </c>
      <c r="N1239">
        <v>1</v>
      </c>
      <c r="O1239">
        <v>1330</v>
      </c>
      <c r="P1239">
        <v>1157</v>
      </c>
      <c r="Q1239">
        <v>0</v>
      </c>
      <c r="R1239">
        <v>1157</v>
      </c>
    </row>
    <row r="1240" spans="1:18" x14ac:dyDescent="0.3">
      <c r="A1240" s="5">
        <v>45965</v>
      </c>
      <c r="B1240" t="s">
        <v>1800</v>
      </c>
      <c r="C1240">
        <v>19</v>
      </c>
      <c r="D1240">
        <v>36</v>
      </c>
      <c r="E1240" s="1">
        <v>1.9993055555555554</v>
      </c>
      <c r="F1240" t="s">
        <v>1801</v>
      </c>
      <c r="G1240">
        <v>5</v>
      </c>
      <c r="H1240">
        <v>1081.0214000000001</v>
      </c>
      <c r="I1240">
        <v>0</v>
      </c>
      <c r="J1240">
        <v>1163.79</v>
      </c>
      <c r="K1240">
        <v>0</v>
      </c>
      <c r="L1240">
        <v>1158.8800000000001</v>
      </c>
      <c r="M1240" t="s">
        <v>27</v>
      </c>
      <c r="N1240">
        <v>1</v>
      </c>
      <c r="O1240">
        <v>1254</v>
      </c>
      <c r="P1240">
        <v>1081</v>
      </c>
      <c r="Q1240">
        <v>0</v>
      </c>
      <c r="R1240">
        <v>1081</v>
      </c>
    </row>
    <row r="1241" spans="1:18" x14ac:dyDescent="0.3">
      <c r="A1241" s="5">
        <v>45965</v>
      </c>
      <c r="B1241" t="s">
        <v>1802</v>
      </c>
      <c r="C1241">
        <v>24</v>
      </c>
      <c r="D1241">
        <v>36</v>
      </c>
      <c r="E1241" s="1">
        <v>1.9791666666666665</v>
      </c>
      <c r="F1241" t="s">
        <v>1803</v>
      </c>
      <c r="G1241">
        <v>5</v>
      </c>
      <c r="H1241">
        <v>1080.799</v>
      </c>
      <c r="I1241">
        <v>0</v>
      </c>
      <c r="J1241">
        <v>1163.79</v>
      </c>
      <c r="K1241">
        <v>0</v>
      </c>
      <c r="L1241">
        <v>1120.69</v>
      </c>
      <c r="M1241" t="s">
        <v>27</v>
      </c>
      <c r="N1241">
        <v>1</v>
      </c>
      <c r="O1241">
        <v>1254</v>
      </c>
      <c r="P1241">
        <v>1081</v>
      </c>
      <c r="Q1241">
        <v>0</v>
      </c>
      <c r="R1241">
        <v>1081</v>
      </c>
    </row>
    <row r="1242" spans="1:18" x14ac:dyDescent="0.3">
      <c r="A1242" s="5">
        <v>45965</v>
      </c>
      <c r="B1242" t="s">
        <v>1804</v>
      </c>
      <c r="C1242">
        <v>7</v>
      </c>
      <c r="D1242">
        <v>36</v>
      </c>
      <c r="E1242" s="1">
        <v>1.9652777777777777</v>
      </c>
      <c r="F1242" t="s">
        <v>1805</v>
      </c>
      <c r="G1242">
        <v>4</v>
      </c>
      <c r="H1242">
        <v>1081.2370000000001</v>
      </c>
      <c r="I1242">
        <v>7</v>
      </c>
      <c r="J1242">
        <v>1163.79</v>
      </c>
      <c r="K1242">
        <v>5.4825867599182097</v>
      </c>
      <c r="L1242">
        <v>609.91</v>
      </c>
      <c r="M1242" t="s">
        <v>60</v>
      </c>
      <c r="N1242">
        <v>1</v>
      </c>
      <c r="O1242">
        <v>1330</v>
      </c>
      <c r="P1242">
        <v>1157</v>
      </c>
      <c r="Q1242">
        <v>0.5</v>
      </c>
      <c r="R1242">
        <v>578.5</v>
      </c>
    </row>
    <row r="1243" spans="1:18" x14ac:dyDescent="0.3">
      <c r="A1243" s="5">
        <v>45965</v>
      </c>
      <c r="B1243" t="s">
        <v>1806</v>
      </c>
      <c r="C1243">
        <v>32</v>
      </c>
      <c r="D1243">
        <v>36</v>
      </c>
      <c r="E1243" s="1">
        <v>1.9652777777777777</v>
      </c>
      <c r="F1243" t="s">
        <v>1807</v>
      </c>
      <c r="G1243">
        <v>3</v>
      </c>
      <c r="H1243">
        <v>1080.5275999999999</v>
      </c>
      <c r="I1243">
        <v>10</v>
      </c>
      <c r="J1243">
        <v>1163.79</v>
      </c>
      <c r="K1243">
        <v>7.8322667998831603</v>
      </c>
      <c r="L1243">
        <v>609.91</v>
      </c>
      <c r="M1243" t="s">
        <v>20</v>
      </c>
      <c r="N1243">
        <v>1</v>
      </c>
      <c r="O1243">
        <v>1361</v>
      </c>
      <c r="P1243">
        <v>1189</v>
      </c>
      <c r="Q1243">
        <v>0.5</v>
      </c>
      <c r="R1243">
        <v>594.5</v>
      </c>
    </row>
    <row r="1244" spans="1:18" x14ac:dyDescent="0.3">
      <c r="A1244" s="5">
        <v>45965</v>
      </c>
      <c r="B1244" t="s">
        <v>1808</v>
      </c>
      <c r="C1244">
        <v>36</v>
      </c>
      <c r="D1244">
        <v>36</v>
      </c>
      <c r="E1244" s="1">
        <v>1.9993055555555554</v>
      </c>
      <c r="F1244" t="s">
        <v>1809</v>
      </c>
      <c r="G1244">
        <v>5</v>
      </c>
      <c r="H1244">
        <v>1080.5824</v>
      </c>
      <c r="I1244">
        <v>0</v>
      </c>
      <c r="J1244">
        <v>1163.79</v>
      </c>
      <c r="K1244">
        <v>0</v>
      </c>
      <c r="L1244">
        <v>1158.8800000000001</v>
      </c>
      <c r="M1244" t="s">
        <v>27</v>
      </c>
      <c r="N1244">
        <v>1</v>
      </c>
      <c r="O1244">
        <v>1253</v>
      </c>
      <c r="P1244">
        <v>1081</v>
      </c>
      <c r="Q1244">
        <v>0</v>
      </c>
      <c r="R1244">
        <v>1081</v>
      </c>
    </row>
    <row r="1245" spans="1:18" x14ac:dyDescent="0.3">
      <c r="A1245" s="5">
        <v>45965</v>
      </c>
      <c r="B1245" t="s">
        <v>1810</v>
      </c>
      <c r="C1245">
        <v>23</v>
      </c>
      <c r="D1245">
        <v>36</v>
      </c>
      <c r="E1245" s="1">
        <v>1.9993055555555554</v>
      </c>
      <c r="F1245" t="s">
        <v>1811</v>
      </c>
      <c r="G1245">
        <v>5</v>
      </c>
      <c r="H1245">
        <v>1080.816</v>
      </c>
      <c r="I1245">
        <v>0</v>
      </c>
      <c r="J1245">
        <v>1163.79</v>
      </c>
      <c r="K1245">
        <v>0</v>
      </c>
      <c r="L1245">
        <v>1158.8800000000001</v>
      </c>
      <c r="M1245" t="s">
        <v>27</v>
      </c>
      <c r="N1245">
        <v>1</v>
      </c>
      <c r="O1245">
        <v>1254</v>
      </c>
      <c r="P1245">
        <v>1081</v>
      </c>
      <c r="Q1245">
        <v>0</v>
      </c>
      <c r="R1245">
        <v>1081</v>
      </c>
    </row>
    <row r="1246" spans="1:18" x14ac:dyDescent="0.3">
      <c r="A1246" s="5">
        <v>45965</v>
      </c>
      <c r="B1246" t="s">
        <v>1812</v>
      </c>
      <c r="C1246">
        <v>36</v>
      </c>
      <c r="D1246">
        <v>36</v>
      </c>
      <c r="E1246" s="1">
        <v>1.0833333333333333</v>
      </c>
      <c r="F1246" t="s">
        <v>1813</v>
      </c>
      <c r="G1246">
        <v>4</v>
      </c>
      <c r="H1246">
        <v>1080.8605</v>
      </c>
      <c r="I1246">
        <v>7</v>
      </c>
      <c r="J1246">
        <v>1163.79</v>
      </c>
      <c r="K1246">
        <v>5.4825867599182097</v>
      </c>
      <c r="L1246">
        <v>1158.8800000000001</v>
      </c>
      <c r="M1246" t="s">
        <v>27</v>
      </c>
      <c r="N1246">
        <v>1</v>
      </c>
      <c r="O1246">
        <v>1329</v>
      </c>
      <c r="P1246">
        <v>1157</v>
      </c>
      <c r="Q1246">
        <v>0</v>
      </c>
      <c r="R1246">
        <v>1157</v>
      </c>
    </row>
    <row r="1247" spans="1:18" x14ac:dyDescent="0.3">
      <c r="A1247" s="5">
        <v>45965</v>
      </c>
      <c r="B1247" t="s">
        <v>1814</v>
      </c>
      <c r="C1247">
        <v>11</v>
      </c>
      <c r="D1247">
        <v>36</v>
      </c>
      <c r="E1247" s="1">
        <v>1.9791666666666665</v>
      </c>
      <c r="F1247" t="s">
        <v>1815</v>
      </c>
      <c r="G1247">
        <v>1</v>
      </c>
      <c r="H1247">
        <v>1081.1641999999999</v>
      </c>
      <c r="I1247">
        <v>8.5</v>
      </c>
      <c r="J1247">
        <v>1163.79</v>
      </c>
      <c r="K1247">
        <v>6.6574267799006801</v>
      </c>
      <c r="L1247">
        <v>1163.79</v>
      </c>
      <c r="M1247" t="s">
        <v>27</v>
      </c>
      <c r="N1247">
        <v>1</v>
      </c>
      <c r="O1247">
        <v>1346</v>
      </c>
      <c r="P1247">
        <v>1173</v>
      </c>
      <c r="Q1247">
        <v>0</v>
      </c>
      <c r="R1247">
        <v>1173</v>
      </c>
    </row>
    <row r="1248" spans="1:18" x14ac:dyDescent="0.3">
      <c r="A1248" s="5">
        <v>45965</v>
      </c>
      <c r="B1248" t="s">
        <v>1816</v>
      </c>
      <c r="C1248">
        <v>29</v>
      </c>
      <c r="D1248">
        <v>36</v>
      </c>
      <c r="E1248" s="1">
        <v>1.9993055555555554</v>
      </c>
      <c r="F1248" t="s">
        <v>1817</v>
      </c>
      <c r="G1248">
        <v>5</v>
      </c>
      <c r="H1248">
        <v>1080.7080000000001</v>
      </c>
      <c r="I1248">
        <v>0</v>
      </c>
      <c r="J1248">
        <v>1163.79</v>
      </c>
      <c r="K1248">
        <v>0</v>
      </c>
      <c r="L1248">
        <v>1158.8800000000001</v>
      </c>
      <c r="M1248" t="s">
        <v>27</v>
      </c>
      <c r="N1248">
        <v>1</v>
      </c>
      <c r="O1248">
        <v>1254</v>
      </c>
      <c r="P1248">
        <v>1081</v>
      </c>
      <c r="Q1248">
        <v>0</v>
      </c>
      <c r="R1248">
        <v>1081</v>
      </c>
    </row>
    <row r="1249" spans="1:18" x14ac:dyDescent="0.3">
      <c r="A1249" s="5">
        <v>45965</v>
      </c>
      <c r="B1249" t="s">
        <v>1816</v>
      </c>
      <c r="C1249">
        <v>29</v>
      </c>
      <c r="D1249">
        <v>36</v>
      </c>
      <c r="E1249" s="1">
        <v>1.9993055555555554</v>
      </c>
      <c r="F1249" t="s">
        <v>1817</v>
      </c>
      <c r="G1249">
        <v>5</v>
      </c>
      <c r="H1249">
        <v>1080.7080000000001</v>
      </c>
      <c r="I1249">
        <v>0</v>
      </c>
      <c r="J1249">
        <v>1163.79</v>
      </c>
      <c r="K1249">
        <v>0</v>
      </c>
      <c r="L1249">
        <v>1158.8800000000001</v>
      </c>
      <c r="M1249" t="s">
        <v>27</v>
      </c>
      <c r="N1249">
        <v>1</v>
      </c>
      <c r="O1249">
        <v>1254</v>
      </c>
      <c r="P1249">
        <v>1081</v>
      </c>
      <c r="Q1249">
        <v>0</v>
      </c>
      <c r="R1249">
        <v>1081</v>
      </c>
    </row>
    <row r="1250" spans="1:18" x14ac:dyDescent="0.3">
      <c r="A1250" s="5">
        <v>45965</v>
      </c>
      <c r="B1250" t="s">
        <v>1818</v>
      </c>
      <c r="C1250">
        <v>28</v>
      </c>
      <c r="D1250">
        <v>36</v>
      </c>
      <c r="E1250" s="1">
        <v>1.9993055555555554</v>
      </c>
      <c r="F1250" t="s">
        <v>1817</v>
      </c>
      <c r="G1250">
        <v>5</v>
      </c>
      <c r="H1250">
        <v>1080.7260000000001</v>
      </c>
      <c r="I1250">
        <v>0</v>
      </c>
      <c r="J1250">
        <v>1163.79</v>
      </c>
      <c r="K1250">
        <v>0</v>
      </c>
      <c r="L1250">
        <v>1158.8800000000001</v>
      </c>
      <c r="M1250" t="s">
        <v>27</v>
      </c>
      <c r="N1250">
        <v>1</v>
      </c>
      <c r="O1250">
        <v>1254</v>
      </c>
      <c r="P1250">
        <v>1081</v>
      </c>
      <c r="Q1250">
        <v>0</v>
      </c>
      <c r="R1250">
        <v>1081</v>
      </c>
    </row>
    <row r="1251" spans="1:18" x14ac:dyDescent="0.3">
      <c r="A1251" s="5">
        <v>45965</v>
      </c>
      <c r="B1251" t="s">
        <v>1818</v>
      </c>
      <c r="C1251">
        <v>28</v>
      </c>
      <c r="D1251">
        <v>36</v>
      </c>
      <c r="E1251" s="1">
        <v>1.9993055555555554</v>
      </c>
      <c r="F1251" t="s">
        <v>1817</v>
      </c>
      <c r="G1251">
        <v>5</v>
      </c>
      <c r="H1251">
        <v>1080.7260000000001</v>
      </c>
      <c r="I1251">
        <v>0</v>
      </c>
      <c r="J1251">
        <v>1163.79</v>
      </c>
      <c r="K1251">
        <v>0</v>
      </c>
      <c r="L1251">
        <v>1158.8800000000001</v>
      </c>
      <c r="M1251" t="s">
        <v>27</v>
      </c>
      <c r="N1251">
        <v>1</v>
      </c>
      <c r="O1251">
        <v>1254</v>
      </c>
      <c r="P1251">
        <v>1081</v>
      </c>
      <c r="Q1251">
        <v>0</v>
      </c>
      <c r="R1251">
        <v>1081</v>
      </c>
    </row>
    <row r="1252" spans="1:18" x14ac:dyDescent="0.3">
      <c r="A1252" s="5">
        <v>45965</v>
      </c>
      <c r="B1252" t="s">
        <v>1819</v>
      </c>
      <c r="C1252">
        <v>32</v>
      </c>
      <c r="D1252">
        <v>36</v>
      </c>
      <c r="E1252" s="1">
        <v>1.0833333333333333</v>
      </c>
      <c r="F1252" t="s">
        <v>1820</v>
      </c>
      <c r="G1252">
        <v>2</v>
      </c>
      <c r="H1252">
        <v>1080.8805</v>
      </c>
      <c r="I1252">
        <v>5</v>
      </c>
      <c r="J1252">
        <v>1163.79</v>
      </c>
      <c r="K1252">
        <v>3.9161333999415802</v>
      </c>
      <c r="L1252">
        <v>609.91</v>
      </c>
      <c r="M1252" t="s">
        <v>60</v>
      </c>
      <c r="N1252">
        <v>1</v>
      </c>
      <c r="O1252">
        <v>1308</v>
      </c>
      <c r="P1252">
        <v>1135</v>
      </c>
      <c r="Q1252">
        <v>0.5</v>
      </c>
      <c r="R1252">
        <v>567.5</v>
      </c>
    </row>
    <row r="1253" spans="1:18" x14ac:dyDescent="0.3">
      <c r="A1253" s="5">
        <v>45965</v>
      </c>
      <c r="B1253" t="s">
        <v>1821</v>
      </c>
      <c r="C1253">
        <v>7</v>
      </c>
      <c r="D1253">
        <v>36</v>
      </c>
      <c r="E1253" s="1">
        <v>1.0833333333333333</v>
      </c>
      <c r="F1253" t="s">
        <v>1822</v>
      </c>
      <c r="G1253">
        <v>1</v>
      </c>
      <c r="H1253">
        <v>1081.4618</v>
      </c>
      <c r="I1253">
        <v>8.5</v>
      </c>
      <c r="J1253">
        <v>1163.79</v>
      </c>
      <c r="K1253">
        <v>6.6574267799006801</v>
      </c>
      <c r="L1253">
        <v>1158.8800000000001</v>
      </c>
      <c r="M1253" t="s">
        <v>27</v>
      </c>
      <c r="N1253">
        <v>1</v>
      </c>
      <c r="O1253">
        <v>1346</v>
      </c>
      <c r="P1253">
        <v>1173</v>
      </c>
      <c r="Q1253">
        <v>0</v>
      </c>
      <c r="R1253">
        <v>1173</v>
      </c>
    </row>
    <row r="1254" spans="1:18" x14ac:dyDescent="0.3">
      <c r="A1254" s="5">
        <v>45965</v>
      </c>
      <c r="B1254" t="s">
        <v>1823</v>
      </c>
      <c r="C1254">
        <v>16</v>
      </c>
      <c r="D1254">
        <v>36</v>
      </c>
      <c r="E1254" s="1">
        <v>1.9791666666666665</v>
      </c>
      <c r="F1254" t="s">
        <v>1824</v>
      </c>
      <c r="G1254">
        <v>5</v>
      </c>
      <c r="H1254">
        <v>1081.0735999999999</v>
      </c>
      <c r="I1254">
        <v>0</v>
      </c>
      <c r="J1254">
        <v>1163.79</v>
      </c>
      <c r="K1254">
        <v>0</v>
      </c>
      <c r="L1254">
        <v>1158.8800000000001</v>
      </c>
      <c r="M1254" t="s">
        <v>27</v>
      </c>
      <c r="N1254">
        <v>1</v>
      </c>
      <c r="O1254">
        <v>1254</v>
      </c>
      <c r="P1254">
        <v>1081</v>
      </c>
      <c r="Q1254">
        <v>0</v>
      </c>
      <c r="R1254">
        <v>1081</v>
      </c>
    </row>
    <row r="1255" spans="1:18" x14ac:dyDescent="0.3">
      <c r="A1255" s="5">
        <v>45965</v>
      </c>
      <c r="B1255" t="s">
        <v>1825</v>
      </c>
      <c r="C1255">
        <v>35</v>
      </c>
      <c r="D1255">
        <v>36</v>
      </c>
      <c r="E1255" s="1">
        <v>1.4583333333333333</v>
      </c>
      <c r="F1255" t="s">
        <v>1826</v>
      </c>
      <c r="G1255">
        <v>3</v>
      </c>
      <c r="H1255">
        <v>1080.9459999999999</v>
      </c>
      <c r="I1255">
        <v>10</v>
      </c>
      <c r="J1255">
        <v>1163.79</v>
      </c>
      <c r="K1255">
        <v>7.8322667998831603</v>
      </c>
      <c r="L1255">
        <v>609.91</v>
      </c>
      <c r="M1255" t="s">
        <v>20</v>
      </c>
      <c r="N1255">
        <v>1</v>
      </c>
      <c r="O1255">
        <v>1362</v>
      </c>
      <c r="P1255">
        <v>1189</v>
      </c>
      <c r="Q1255">
        <v>0.5</v>
      </c>
      <c r="R1255">
        <v>594.5</v>
      </c>
    </row>
    <row r="1256" spans="1:18" x14ac:dyDescent="0.3">
      <c r="A1256" s="5">
        <v>45965</v>
      </c>
      <c r="B1256" t="s">
        <v>1827</v>
      </c>
      <c r="C1256">
        <v>18</v>
      </c>
      <c r="D1256">
        <v>35</v>
      </c>
      <c r="E1256" s="1">
        <v>1.25</v>
      </c>
      <c r="F1256" t="s">
        <v>1828</v>
      </c>
      <c r="G1256">
        <v>4</v>
      </c>
      <c r="H1256">
        <v>1081.1171999999999</v>
      </c>
      <c r="I1256">
        <v>7</v>
      </c>
      <c r="J1256">
        <v>1163.79</v>
      </c>
      <c r="K1256">
        <v>5.4825867599182097</v>
      </c>
      <c r="L1256">
        <v>1219.83</v>
      </c>
      <c r="M1256" t="s">
        <v>27</v>
      </c>
      <c r="N1256">
        <v>1</v>
      </c>
      <c r="O1256">
        <v>1330</v>
      </c>
      <c r="P1256">
        <v>1157</v>
      </c>
      <c r="Q1256">
        <v>0</v>
      </c>
      <c r="R1256">
        <v>1157</v>
      </c>
    </row>
    <row r="1257" spans="1:18" x14ac:dyDescent="0.3">
      <c r="A1257" s="5">
        <v>45965</v>
      </c>
      <c r="B1257" t="s">
        <v>1829</v>
      </c>
      <c r="C1257">
        <v>6</v>
      </c>
      <c r="D1257">
        <v>36</v>
      </c>
      <c r="E1257" s="1">
        <v>1.9993055555555554</v>
      </c>
      <c r="F1257" t="s">
        <v>1830</v>
      </c>
      <c r="G1257">
        <v>5</v>
      </c>
      <c r="H1257">
        <v>1081.2534000000001</v>
      </c>
      <c r="I1257">
        <v>0</v>
      </c>
      <c r="J1257">
        <v>1163.79</v>
      </c>
      <c r="K1257">
        <v>0</v>
      </c>
      <c r="L1257">
        <v>1158.8800000000001</v>
      </c>
      <c r="M1257" t="s">
        <v>27</v>
      </c>
      <c r="N1257">
        <v>1</v>
      </c>
      <c r="O1257">
        <v>1254</v>
      </c>
      <c r="P1257">
        <v>1081</v>
      </c>
      <c r="Q1257">
        <v>0</v>
      </c>
      <c r="R1257">
        <v>1081</v>
      </c>
    </row>
    <row r="1258" spans="1:18" x14ac:dyDescent="0.3">
      <c r="A1258" s="5">
        <v>45965</v>
      </c>
      <c r="B1258" t="s">
        <v>1831</v>
      </c>
      <c r="C1258">
        <v>30</v>
      </c>
      <c r="D1258">
        <v>36</v>
      </c>
      <c r="E1258" s="1">
        <v>1.0833333333333333</v>
      </c>
      <c r="F1258" t="s">
        <v>1832</v>
      </c>
      <c r="G1258">
        <v>4</v>
      </c>
      <c r="H1258">
        <v>1080.9151999999999</v>
      </c>
      <c r="I1258">
        <v>7</v>
      </c>
      <c r="J1258">
        <v>1163.79</v>
      </c>
      <c r="K1258">
        <v>5.4825867599182097</v>
      </c>
      <c r="L1258">
        <v>1219.83</v>
      </c>
      <c r="M1258" t="s">
        <v>27</v>
      </c>
      <c r="N1258">
        <v>1</v>
      </c>
      <c r="O1258">
        <v>1330</v>
      </c>
      <c r="P1258">
        <v>1157</v>
      </c>
      <c r="Q1258">
        <v>0</v>
      </c>
      <c r="R1258">
        <v>1157</v>
      </c>
    </row>
    <row r="1259" spans="1:18" x14ac:dyDescent="0.3">
      <c r="A1259" s="5">
        <v>45965</v>
      </c>
      <c r="B1259" t="s">
        <v>1833</v>
      </c>
      <c r="C1259">
        <v>21</v>
      </c>
      <c r="D1259">
        <v>36</v>
      </c>
      <c r="E1259" s="1">
        <v>1.9652777777777777</v>
      </c>
      <c r="F1259" t="s">
        <v>1834</v>
      </c>
      <c r="G1259">
        <v>0</v>
      </c>
      <c r="H1259">
        <v>1080.9780000000001</v>
      </c>
      <c r="I1259">
        <v>2.5</v>
      </c>
      <c r="J1259">
        <v>1163.79</v>
      </c>
      <c r="K1259">
        <v>1.9580666999707901</v>
      </c>
      <c r="L1259">
        <v>1158.8800000000001</v>
      </c>
      <c r="M1259" t="s">
        <v>27</v>
      </c>
      <c r="N1259">
        <v>1</v>
      </c>
      <c r="O1259">
        <v>1281</v>
      </c>
      <c r="P1259">
        <v>1108</v>
      </c>
      <c r="Q1259">
        <v>0</v>
      </c>
      <c r="R1259">
        <v>1108</v>
      </c>
    </row>
    <row r="1260" spans="1:18" x14ac:dyDescent="0.3">
      <c r="A1260" s="5">
        <v>45965</v>
      </c>
      <c r="B1260" t="s">
        <v>1835</v>
      </c>
      <c r="C1260">
        <v>17</v>
      </c>
      <c r="D1260">
        <v>36</v>
      </c>
      <c r="E1260" s="1">
        <v>1.0833333333333333</v>
      </c>
      <c r="F1260" t="s">
        <v>1836</v>
      </c>
      <c r="G1260">
        <v>4</v>
      </c>
      <c r="H1260">
        <v>1081.2668000000001</v>
      </c>
      <c r="I1260">
        <v>7</v>
      </c>
      <c r="J1260">
        <v>1163.79</v>
      </c>
      <c r="K1260">
        <v>5.4825867599182097</v>
      </c>
      <c r="L1260">
        <v>1158.8800000000001</v>
      </c>
      <c r="M1260" t="s">
        <v>27</v>
      </c>
      <c r="N1260">
        <v>1</v>
      </c>
      <c r="O1260">
        <v>1330</v>
      </c>
      <c r="P1260">
        <v>1157</v>
      </c>
      <c r="Q1260">
        <v>0</v>
      </c>
      <c r="R1260">
        <v>1157</v>
      </c>
    </row>
    <row r="1261" spans="1:18" x14ac:dyDescent="0.3">
      <c r="A1261" s="5">
        <v>45965</v>
      </c>
      <c r="B1261" t="s">
        <v>1837</v>
      </c>
      <c r="C1261">
        <v>18</v>
      </c>
      <c r="D1261">
        <v>36</v>
      </c>
      <c r="E1261" s="1">
        <v>1.9791666666666665</v>
      </c>
      <c r="F1261" t="s">
        <v>1838</v>
      </c>
      <c r="G1261">
        <v>5</v>
      </c>
      <c r="H1261">
        <v>1081.0360000000001</v>
      </c>
      <c r="I1261">
        <v>0</v>
      </c>
      <c r="J1261">
        <v>1163.79</v>
      </c>
      <c r="K1261">
        <v>0</v>
      </c>
      <c r="L1261">
        <v>1158.8800000000001</v>
      </c>
      <c r="M1261" t="s">
        <v>27</v>
      </c>
      <c r="N1261">
        <v>1</v>
      </c>
      <c r="O1261">
        <v>1254</v>
      </c>
      <c r="P1261">
        <v>1081</v>
      </c>
      <c r="Q1261">
        <v>0</v>
      </c>
      <c r="R1261">
        <v>1081</v>
      </c>
    </row>
    <row r="1262" spans="1:18" x14ac:dyDescent="0.3">
      <c r="A1262" s="5">
        <v>45965</v>
      </c>
      <c r="B1262" t="s">
        <v>1839</v>
      </c>
      <c r="C1262">
        <v>10</v>
      </c>
      <c r="D1262">
        <v>36</v>
      </c>
      <c r="E1262" s="1">
        <v>1.9791666666666665</v>
      </c>
      <c r="F1262" t="s">
        <v>1840</v>
      </c>
      <c r="G1262">
        <v>4</v>
      </c>
      <c r="H1262">
        <v>1081.1797999999999</v>
      </c>
      <c r="I1262">
        <v>7</v>
      </c>
      <c r="J1262">
        <v>1163.79</v>
      </c>
      <c r="K1262">
        <v>5.4825867599182097</v>
      </c>
      <c r="L1262">
        <v>1158.8800000000001</v>
      </c>
      <c r="M1262" t="s">
        <v>27</v>
      </c>
      <c r="N1262">
        <v>1</v>
      </c>
      <c r="O1262">
        <v>1330</v>
      </c>
      <c r="P1262">
        <v>1157</v>
      </c>
      <c r="Q1262">
        <v>0</v>
      </c>
      <c r="R1262">
        <v>1157</v>
      </c>
    </row>
    <row r="1263" spans="1:18" x14ac:dyDescent="0.3">
      <c r="A1263" s="5">
        <v>45965</v>
      </c>
      <c r="B1263" t="s">
        <v>1839</v>
      </c>
      <c r="C1263">
        <v>10</v>
      </c>
      <c r="D1263">
        <v>36</v>
      </c>
      <c r="E1263" s="1">
        <v>1.9791666666666665</v>
      </c>
      <c r="F1263" t="s">
        <v>1840</v>
      </c>
      <c r="G1263">
        <v>4</v>
      </c>
      <c r="H1263">
        <v>1081.1797999999999</v>
      </c>
      <c r="I1263">
        <v>7</v>
      </c>
      <c r="J1263">
        <v>1163.79</v>
      </c>
      <c r="K1263">
        <v>5.4825867599182097</v>
      </c>
      <c r="L1263">
        <v>1158.8800000000001</v>
      </c>
      <c r="M1263" t="s">
        <v>27</v>
      </c>
      <c r="N1263">
        <v>1</v>
      </c>
      <c r="O1263">
        <v>1330</v>
      </c>
      <c r="P1263">
        <v>1157</v>
      </c>
      <c r="Q1263">
        <v>0</v>
      </c>
      <c r="R1263">
        <v>1157</v>
      </c>
    </row>
    <row r="1264" spans="1:18" x14ac:dyDescent="0.3">
      <c r="A1264" s="5">
        <v>45965</v>
      </c>
      <c r="B1264" t="s">
        <v>1839</v>
      </c>
      <c r="C1264">
        <v>10</v>
      </c>
      <c r="D1264">
        <v>36</v>
      </c>
      <c r="E1264" s="1">
        <v>1.9791666666666665</v>
      </c>
      <c r="F1264" t="s">
        <v>1840</v>
      </c>
      <c r="G1264">
        <v>4</v>
      </c>
      <c r="H1264">
        <v>1081.1797999999999</v>
      </c>
      <c r="I1264">
        <v>7</v>
      </c>
      <c r="J1264">
        <v>1163.79</v>
      </c>
      <c r="K1264">
        <v>5.4825867599182097</v>
      </c>
      <c r="L1264">
        <v>1158.8800000000001</v>
      </c>
      <c r="M1264" t="s">
        <v>27</v>
      </c>
      <c r="N1264">
        <v>1</v>
      </c>
      <c r="O1264">
        <v>1330</v>
      </c>
      <c r="P1264">
        <v>1157</v>
      </c>
      <c r="Q1264">
        <v>0</v>
      </c>
      <c r="R1264">
        <v>1157</v>
      </c>
    </row>
    <row r="1265" spans="1:18" x14ac:dyDescent="0.3">
      <c r="A1265" s="5">
        <v>45965</v>
      </c>
      <c r="B1265" t="s">
        <v>1841</v>
      </c>
      <c r="C1265">
        <v>4</v>
      </c>
      <c r="D1265">
        <v>36</v>
      </c>
      <c r="E1265" s="1">
        <v>1.9791666666666665</v>
      </c>
      <c r="F1265" t="s">
        <v>1840</v>
      </c>
      <c r="G1265">
        <v>4</v>
      </c>
      <c r="H1265">
        <v>1081.1551999999999</v>
      </c>
      <c r="I1265">
        <v>7</v>
      </c>
      <c r="J1265">
        <v>1163.79</v>
      </c>
      <c r="K1265">
        <v>5.4825867599182097</v>
      </c>
      <c r="L1265">
        <v>1158.8800000000001</v>
      </c>
      <c r="M1265" t="s">
        <v>27</v>
      </c>
      <c r="N1265">
        <v>1</v>
      </c>
      <c r="O1265">
        <v>1330</v>
      </c>
      <c r="P1265">
        <v>1157</v>
      </c>
      <c r="Q1265">
        <v>0</v>
      </c>
      <c r="R1265">
        <v>1157</v>
      </c>
    </row>
    <row r="1266" spans="1:18" x14ac:dyDescent="0.3">
      <c r="A1266" s="5">
        <v>45965</v>
      </c>
      <c r="B1266" t="s">
        <v>1841</v>
      </c>
      <c r="C1266">
        <v>4</v>
      </c>
      <c r="D1266">
        <v>36</v>
      </c>
      <c r="E1266" s="1">
        <v>1.9791666666666665</v>
      </c>
      <c r="F1266" t="s">
        <v>1840</v>
      </c>
      <c r="G1266">
        <v>4</v>
      </c>
      <c r="H1266">
        <v>1081.1551999999999</v>
      </c>
      <c r="I1266">
        <v>7</v>
      </c>
      <c r="J1266">
        <v>1163.79</v>
      </c>
      <c r="K1266">
        <v>5.4825867599182097</v>
      </c>
      <c r="L1266">
        <v>1158.8800000000001</v>
      </c>
      <c r="M1266" t="s">
        <v>27</v>
      </c>
      <c r="N1266">
        <v>1</v>
      </c>
      <c r="O1266">
        <v>1330</v>
      </c>
      <c r="P1266">
        <v>1157</v>
      </c>
      <c r="Q1266">
        <v>0</v>
      </c>
      <c r="R1266">
        <v>1157</v>
      </c>
    </row>
    <row r="1267" spans="1:18" x14ac:dyDescent="0.3">
      <c r="A1267" s="5">
        <v>45965</v>
      </c>
      <c r="B1267" t="s">
        <v>1841</v>
      </c>
      <c r="C1267">
        <v>4</v>
      </c>
      <c r="D1267">
        <v>36</v>
      </c>
      <c r="E1267" s="1">
        <v>1.9791666666666665</v>
      </c>
      <c r="F1267" t="s">
        <v>1840</v>
      </c>
      <c r="G1267">
        <v>4</v>
      </c>
      <c r="H1267">
        <v>1081.1551999999999</v>
      </c>
      <c r="I1267">
        <v>7</v>
      </c>
      <c r="J1267">
        <v>1163.79</v>
      </c>
      <c r="K1267">
        <v>5.4825867599182097</v>
      </c>
      <c r="L1267">
        <v>1158.8800000000001</v>
      </c>
      <c r="M1267" t="s">
        <v>27</v>
      </c>
      <c r="N1267">
        <v>1</v>
      </c>
      <c r="O1267">
        <v>1330</v>
      </c>
      <c r="P1267">
        <v>1157</v>
      </c>
      <c r="Q1267">
        <v>0</v>
      </c>
      <c r="R1267">
        <v>1157</v>
      </c>
    </row>
    <row r="1268" spans="1:18" x14ac:dyDescent="0.3">
      <c r="A1268" s="5">
        <v>45965</v>
      </c>
      <c r="B1268" t="s">
        <v>1842</v>
      </c>
      <c r="C1268">
        <v>7</v>
      </c>
      <c r="D1268">
        <v>36</v>
      </c>
      <c r="E1268" s="1">
        <v>1.9791666666666665</v>
      </c>
      <c r="F1268" t="s">
        <v>1840</v>
      </c>
      <c r="G1268">
        <v>4</v>
      </c>
      <c r="H1268">
        <v>1081.2336</v>
      </c>
      <c r="I1268">
        <v>7</v>
      </c>
      <c r="J1268">
        <v>1163.79</v>
      </c>
      <c r="K1268">
        <v>5.4825867599182097</v>
      </c>
      <c r="L1268">
        <v>1158.8800000000001</v>
      </c>
      <c r="M1268" t="s">
        <v>27</v>
      </c>
      <c r="N1268">
        <v>1</v>
      </c>
      <c r="O1268">
        <v>1330</v>
      </c>
      <c r="P1268">
        <v>1157</v>
      </c>
      <c r="Q1268">
        <v>0</v>
      </c>
      <c r="R1268">
        <v>1157</v>
      </c>
    </row>
    <row r="1269" spans="1:18" x14ac:dyDescent="0.3">
      <c r="A1269" s="5">
        <v>45965</v>
      </c>
      <c r="B1269" t="s">
        <v>1842</v>
      </c>
      <c r="C1269">
        <v>7</v>
      </c>
      <c r="D1269">
        <v>36</v>
      </c>
      <c r="E1269" s="1">
        <v>1.9791666666666665</v>
      </c>
      <c r="F1269" t="s">
        <v>1840</v>
      </c>
      <c r="G1269">
        <v>4</v>
      </c>
      <c r="H1269">
        <v>1081.2336</v>
      </c>
      <c r="I1269">
        <v>7</v>
      </c>
      <c r="J1269">
        <v>1163.79</v>
      </c>
      <c r="K1269">
        <v>5.4825867599182097</v>
      </c>
      <c r="L1269">
        <v>1158.8800000000001</v>
      </c>
      <c r="M1269" t="s">
        <v>27</v>
      </c>
      <c r="N1269">
        <v>1</v>
      </c>
      <c r="O1269">
        <v>1330</v>
      </c>
      <c r="P1269">
        <v>1157</v>
      </c>
      <c r="Q1269">
        <v>0</v>
      </c>
      <c r="R1269">
        <v>1157</v>
      </c>
    </row>
    <row r="1270" spans="1:18" x14ac:dyDescent="0.3">
      <c r="A1270" s="5">
        <v>45965</v>
      </c>
      <c r="B1270" t="s">
        <v>1842</v>
      </c>
      <c r="C1270">
        <v>7</v>
      </c>
      <c r="D1270">
        <v>36</v>
      </c>
      <c r="E1270" s="1">
        <v>1.9791666666666665</v>
      </c>
      <c r="F1270" t="s">
        <v>1840</v>
      </c>
      <c r="G1270">
        <v>4</v>
      </c>
      <c r="H1270">
        <v>1081.2336</v>
      </c>
      <c r="I1270">
        <v>7</v>
      </c>
      <c r="J1270">
        <v>1163.79</v>
      </c>
      <c r="K1270">
        <v>5.4825867599182097</v>
      </c>
      <c r="L1270">
        <v>1158.8800000000001</v>
      </c>
      <c r="M1270" t="s">
        <v>27</v>
      </c>
      <c r="N1270">
        <v>1</v>
      </c>
      <c r="O1270">
        <v>1330</v>
      </c>
      <c r="P1270">
        <v>1157</v>
      </c>
      <c r="Q1270">
        <v>0</v>
      </c>
      <c r="R1270">
        <v>1157</v>
      </c>
    </row>
    <row r="1271" spans="1:18" x14ac:dyDescent="0.3">
      <c r="A1271" s="5">
        <v>45965</v>
      </c>
      <c r="B1271" t="s">
        <v>1843</v>
      </c>
      <c r="C1271">
        <v>5</v>
      </c>
      <c r="D1271">
        <v>36</v>
      </c>
      <c r="E1271" s="1">
        <v>1.9993055555555554</v>
      </c>
      <c r="F1271" t="s">
        <v>1844</v>
      </c>
      <c r="G1271">
        <v>5</v>
      </c>
      <c r="H1271">
        <v>1081.2695000000001</v>
      </c>
      <c r="I1271">
        <v>0</v>
      </c>
      <c r="J1271">
        <v>1163.79</v>
      </c>
      <c r="K1271">
        <v>0</v>
      </c>
      <c r="L1271">
        <v>1158.8800000000001</v>
      </c>
      <c r="M1271" t="s">
        <v>27</v>
      </c>
      <c r="N1271">
        <v>1</v>
      </c>
      <c r="O1271">
        <v>1254</v>
      </c>
      <c r="P1271">
        <v>1081</v>
      </c>
      <c r="Q1271">
        <v>0</v>
      </c>
      <c r="R1271">
        <v>1081</v>
      </c>
    </row>
    <row r="1272" spans="1:18" x14ac:dyDescent="0.3">
      <c r="A1272" s="5">
        <v>45965</v>
      </c>
      <c r="B1272" t="s">
        <v>1845</v>
      </c>
      <c r="C1272">
        <v>10</v>
      </c>
      <c r="D1272">
        <v>36</v>
      </c>
      <c r="E1272" s="1">
        <v>1.9993055555555554</v>
      </c>
      <c r="F1272" t="s">
        <v>1846</v>
      </c>
      <c r="G1272">
        <v>4</v>
      </c>
      <c r="H1272">
        <v>1080.6261999999999</v>
      </c>
      <c r="I1272">
        <v>7</v>
      </c>
      <c r="J1272">
        <v>1163.79</v>
      </c>
      <c r="K1272">
        <v>5.4825867599182097</v>
      </c>
      <c r="L1272">
        <v>1219.83</v>
      </c>
      <c r="M1272" t="s">
        <v>27</v>
      </c>
      <c r="N1272">
        <v>1</v>
      </c>
      <c r="O1272">
        <v>1329</v>
      </c>
      <c r="P1272">
        <v>1156</v>
      </c>
      <c r="Q1272">
        <v>0</v>
      </c>
      <c r="R1272">
        <v>1156</v>
      </c>
    </row>
    <row r="1273" spans="1:18" x14ac:dyDescent="0.3">
      <c r="A1273" s="5">
        <v>45965</v>
      </c>
      <c r="B1273" t="s">
        <v>1847</v>
      </c>
      <c r="C1273">
        <v>23</v>
      </c>
      <c r="D1273">
        <v>36</v>
      </c>
      <c r="E1273" s="1">
        <v>1.9652777777777777</v>
      </c>
      <c r="F1273" t="s">
        <v>1848</v>
      </c>
      <c r="G1273">
        <v>4</v>
      </c>
      <c r="H1273">
        <v>1080.8136</v>
      </c>
      <c r="I1273">
        <v>7</v>
      </c>
      <c r="J1273">
        <v>1163.79</v>
      </c>
      <c r="K1273">
        <v>5.4825867599182097</v>
      </c>
      <c r="L1273">
        <v>1158.8800000000001</v>
      </c>
      <c r="M1273" t="s">
        <v>27</v>
      </c>
      <c r="N1273">
        <v>1</v>
      </c>
      <c r="O1273">
        <v>1329</v>
      </c>
      <c r="P1273">
        <v>1156</v>
      </c>
      <c r="Q1273">
        <v>0</v>
      </c>
      <c r="R1273">
        <v>1156</v>
      </c>
    </row>
    <row r="1274" spans="1:18" x14ac:dyDescent="0.3">
      <c r="A1274" s="5">
        <v>45965</v>
      </c>
      <c r="B1274" t="s">
        <v>1849</v>
      </c>
      <c r="C1274">
        <v>15</v>
      </c>
      <c r="D1274">
        <v>36</v>
      </c>
      <c r="E1274" s="1">
        <v>1.9993055555555554</v>
      </c>
      <c r="F1274" t="s">
        <v>1850</v>
      </c>
      <c r="G1274">
        <v>5</v>
      </c>
      <c r="H1274">
        <v>1081.0899999999999</v>
      </c>
      <c r="I1274">
        <v>0</v>
      </c>
      <c r="J1274">
        <v>1163.79</v>
      </c>
      <c r="K1274">
        <v>0</v>
      </c>
      <c r="L1274">
        <v>1158.8800000000001</v>
      </c>
      <c r="M1274" t="s">
        <v>27</v>
      </c>
      <c r="N1274">
        <v>1</v>
      </c>
      <c r="O1274">
        <v>1254</v>
      </c>
      <c r="P1274">
        <v>1081</v>
      </c>
      <c r="Q1274">
        <v>0</v>
      </c>
      <c r="R1274">
        <v>1081</v>
      </c>
    </row>
    <row r="1275" spans="1:18" x14ac:dyDescent="0.3">
      <c r="A1275" s="5">
        <v>45965</v>
      </c>
      <c r="B1275" t="s">
        <v>1851</v>
      </c>
      <c r="C1275">
        <v>22</v>
      </c>
      <c r="D1275">
        <v>36</v>
      </c>
      <c r="E1275" s="1">
        <v>1.9652777777777777</v>
      </c>
      <c r="F1275" t="s">
        <v>1852</v>
      </c>
      <c r="G1275">
        <v>5</v>
      </c>
      <c r="H1275">
        <v>1080.8308</v>
      </c>
      <c r="I1275">
        <v>0</v>
      </c>
      <c r="J1275">
        <v>1163.79</v>
      </c>
      <c r="K1275">
        <v>0</v>
      </c>
      <c r="L1275">
        <v>1158.8800000000001</v>
      </c>
      <c r="M1275" t="s">
        <v>27</v>
      </c>
      <c r="N1275">
        <v>1</v>
      </c>
      <c r="O1275">
        <v>1254</v>
      </c>
      <c r="P1275">
        <v>1081</v>
      </c>
      <c r="Q1275">
        <v>0</v>
      </c>
      <c r="R1275">
        <v>1081</v>
      </c>
    </row>
    <row r="1276" spans="1:18" x14ac:dyDescent="0.3">
      <c r="A1276" s="5">
        <v>45965</v>
      </c>
      <c r="B1276" t="s">
        <v>1853</v>
      </c>
      <c r="C1276">
        <v>2</v>
      </c>
      <c r="D1276">
        <v>36</v>
      </c>
      <c r="E1276" s="1">
        <v>1.9993055555555554</v>
      </c>
      <c r="F1276" t="s">
        <v>1854</v>
      </c>
      <c r="G1276">
        <v>5</v>
      </c>
      <c r="H1276">
        <v>1081.3228999999999</v>
      </c>
      <c r="I1276">
        <v>0</v>
      </c>
      <c r="J1276">
        <v>1163.79</v>
      </c>
      <c r="K1276">
        <v>0</v>
      </c>
      <c r="L1276">
        <v>1158.8800000000001</v>
      </c>
      <c r="M1276" t="s">
        <v>27</v>
      </c>
      <c r="N1276">
        <v>1</v>
      </c>
      <c r="O1276">
        <v>1254</v>
      </c>
      <c r="P1276">
        <v>1081</v>
      </c>
      <c r="Q1276">
        <v>0</v>
      </c>
      <c r="R1276">
        <v>1081</v>
      </c>
    </row>
    <row r="1277" spans="1:18" x14ac:dyDescent="0.3">
      <c r="A1277" s="5">
        <v>45965</v>
      </c>
      <c r="B1277" t="s">
        <v>1855</v>
      </c>
      <c r="C1277">
        <v>16</v>
      </c>
      <c r="D1277">
        <v>36</v>
      </c>
      <c r="E1277" s="1">
        <v>1.9652777777777777</v>
      </c>
      <c r="F1277" t="s">
        <v>1856</v>
      </c>
      <c r="G1277">
        <v>4</v>
      </c>
      <c r="H1277">
        <v>1080.56</v>
      </c>
      <c r="I1277">
        <v>7</v>
      </c>
      <c r="J1277">
        <v>1163.79</v>
      </c>
      <c r="K1277">
        <v>5.4825867599182097</v>
      </c>
      <c r="L1277">
        <v>1097.8399999999999</v>
      </c>
      <c r="M1277" t="s">
        <v>27</v>
      </c>
      <c r="N1277">
        <v>1</v>
      </c>
      <c r="O1277">
        <v>1329</v>
      </c>
      <c r="P1277">
        <v>1156</v>
      </c>
      <c r="Q1277">
        <v>0</v>
      </c>
      <c r="R1277">
        <v>1156</v>
      </c>
    </row>
    <row r="1278" spans="1:18" x14ac:dyDescent="0.3">
      <c r="A1278" s="5">
        <v>45965</v>
      </c>
      <c r="B1278" t="s">
        <v>1857</v>
      </c>
      <c r="C1278">
        <v>19</v>
      </c>
      <c r="D1278">
        <v>36</v>
      </c>
      <c r="E1278" s="1">
        <v>1.9791666666666665</v>
      </c>
      <c r="F1278" t="s">
        <v>1858</v>
      </c>
      <c r="G1278">
        <v>5</v>
      </c>
      <c r="H1278">
        <v>1081.0172</v>
      </c>
      <c r="I1278">
        <v>0</v>
      </c>
      <c r="J1278">
        <v>1163.79</v>
      </c>
      <c r="K1278">
        <v>0</v>
      </c>
      <c r="L1278">
        <v>1158.8800000000001</v>
      </c>
      <c r="M1278" t="s">
        <v>27</v>
      </c>
      <c r="N1278">
        <v>1</v>
      </c>
      <c r="O1278">
        <v>1254</v>
      </c>
      <c r="P1278">
        <v>1081</v>
      </c>
      <c r="Q1278">
        <v>0</v>
      </c>
      <c r="R1278">
        <v>1081</v>
      </c>
    </row>
    <row r="1279" spans="1:18" x14ac:dyDescent="0.3">
      <c r="A1279" s="5">
        <v>45965</v>
      </c>
      <c r="B1279" t="s">
        <v>1859</v>
      </c>
      <c r="C1279">
        <v>20</v>
      </c>
      <c r="D1279">
        <v>36</v>
      </c>
      <c r="E1279" s="1">
        <v>1.9791666666666665</v>
      </c>
      <c r="F1279" t="s">
        <v>1858</v>
      </c>
      <c r="G1279">
        <v>5</v>
      </c>
      <c r="H1279">
        <v>1080.9992999999999</v>
      </c>
      <c r="I1279">
        <v>0</v>
      </c>
      <c r="J1279">
        <v>1163.79</v>
      </c>
      <c r="K1279">
        <v>0</v>
      </c>
      <c r="L1279">
        <v>1158.8800000000001</v>
      </c>
      <c r="M1279" t="s">
        <v>27</v>
      </c>
      <c r="N1279">
        <v>1</v>
      </c>
      <c r="O1279">
        <v>1254</v>
      </c>
      <c r="P1279">
        <v>1081</v>
      </c>
      <c r="Q1279">
        <v>0</v>
      </c>
      <c r="R1279">
        <v>1081</v>
      </c>
    </row>
    <row r="1280" spans="1:18" x14ac:dyDescent="0.3">
      <c r="A1280" s="5">
        <v>45965</v>
      </c>
      <c r="B1280" t="s">
        <v>1860</v>
      </c>
      <c r="C1280">
        <v>21</v>
      </c>
      <c r="D1280">
        <v>36</v>
      </c>
      <c r="E1280" s="1">
        <v>1.9791666666666665</v>
      </c>
      <c r="F1280" t="s">
        <v>97</v>
      </c>
      <c r="G1280">
        <v>4</v>
      </c>
      <c r="H1280">
        <v>1078.9365</v>
      </c>
      <c r="I1280">
        <v>7</v>
      </c>
      <c r="J1280">
        <v>1163.79</v>
      </c>
      <c r="K1280">
        <v>5.4825867599182097</v>
      </c>
      <c r="L1280">
        <v>1219.83</v>
      </c>
      <c r="M1280" t="s">
        <v>27</v>
      </c>
      <c r="N1280">
        <v>1</v>
      </c>
      <c r="O1280">
        <v>1327</v>
      </c>
      <c r="P1280">
        <v>1154</v>
      </c>
      <c r="Q1280">
        <v>0</v>
      </c>
      <c r="R1280">
        <v>1154</v>
      </c>
    </row>
    <row r="1281" spans="1:18" x14ac:dyDescent="0.3">
      <c r="A1281" s="5">
        <v>45965</v>
      </c>
      <c r="B1281" t="s">
        <v>1861</v>
      </c>
      <c r="C1281">
        <v>7</v>
      </c>
      <c r="D1281">
        <v>36</v>
      </c>
      <c r="E1281" s="1">
        <v>1.0833333333333333</v>
      </c>
      <c r="F1281" t="s">
        <v>1862</v>
      </c>
      <c r="G1281">
        <v>0</v>
      </c>
      <c r="H1281">
        <v>1081.454</v>
      </c>
      <c r="I1281">
        <v>2.5</v>
      </c>
      <c r="J1281">
        <v>1163.79</v>
      </c>
      <c r="K1281">
        <v>1.9580666999707901</v>
      </c>
      <c r="L1281">
        <v>1158.8800000000001</v>
      </c>
      <c r="M1281" t="s">
        <v>27</v>
      </c>
      <c r="N1281">
        <v>1</v>
      </c>
      <c r="O1281">
        <v>1282</v>
      </c>
      <c r="P1281">
        <v>1108</v>
      </c>
      <c r="Q1281">
        <v>0</v>
      </c>
      <c r="R1281">
        <v>1108</v>
      </c>
    </row>
    <row r="1282" spans="1:18" x14ac:dyDescent="0.3">
      <c r="A1282" s="5">
        <v>45965</v>
      </c>
      <c r="B1282" t="s">
        <v>1863</v>
      </c>
      <c r="C1282">
        <v>22</v>
      </c>
      <c r="D1282">
        <v>36</v>
      </c>
      <c r="E1282" s="1">
        <v>1.9993055555555554</v>
      </c>
      <c r="F1282" t="s">
        <v>1864</v>
      </c>
      <c r="G1282">
        <v>5</v>
      </c>
      <c r="H1282">
        <v>1080.8302000000001</v>
      </c>
      <c r="I1282">
        <v>0</v>
      </c>
      <c r="J1282">
        <v>1163.79</v>
      </c>
      <c r="K1282">
        <v>0</v>
      </c>
      <c r="L1282">
        <v>1158.8800000000001</v>
      </c>
      <c r="M1282" t="s">
        <v>27</v>
      </c>
      <c r="N1282">
        <v>1</v>
      </c>
      <c r="O1282">
        <v>1254</v>
      </c>
      <c r="P1282">
        <v>1081</v>
      </c>
      <c r="Q1282">
        <v>0</v>
      </c>
      <c r="R1282">
        <v>1081</v>
      </c>
    </row>
    <row r="1283" spans="1:18" x14ac:dyDescent="0.3">
      <c r="A1283" s="5">
        <v>45965</v>
      </c>
      <c r="B1283" t="s">
        <v>1865</v>
      </c>
      <c r="C1283">
        <v>30</v>
      </c>
      <c r="D1283">
        <v>36</v>
      </c>
      <c r="E1283" s="1">
        <v>1.4583333333333333</v>
      </c>
      <c r="F1283" t="s">
        <v>1866</v>
      </c>
      <c r="G1283">
        <v>3</v>
      </c>
      <c r="H1283">
        <v>1081.0327</v>
      </c>
      <c r="I1283">
        <v>10</v>
      </c>
      <c r="J1283">
        <v>1163.79</v>
      </c>
      <c r="K1283">
        <v>7.8322667998831603</v>
      </c>
      <c r="L1283">
        <v>609.91</v>
      </c>
      <c r="M1283" t="s">
        <v>20</v>
      </c>
      <c r="N1283">
        <v>1</v>
      </c>
      <c r="O1283">
        <v>1362</v>
      </c>
      <c r="P1283">
        <v>1189</v>
      </c>
      <c r="Q1283">
        <v>0.5</v>
      </c>
      <c r="R1283">
        <v>594.5</v>
      </c>
    </row>
    <row r="1284" spans="1:18" x14ac:dyDescent="0.3">
      <c r="A1284" s="5">
        <v>45965</v>
      </c>
      <c r="B1284" t="s">
        <v>1867</v>
      </c>
      <c r="C1284">
        <v>31</v>
      </c>
      <c r="D1284">
        <v>36</v>
      </c>
      <c r="E1284" s="1">
        <v>1.4583333333333333</v>
      </c>
      <c r="F1284" t="s">
        <v>1868</v>
      </c>
      <c r="G1284">
        <v>3</v>
      </c>
      <c r="H1284">
        <v>1081.0148999999999</v>
      </c>
      <c r="I1284">
        <v>10</v>
      </c>
      <c r="J1284">
        <v>1163.79</v>
      </c>
      <c r="K1284">
        <v>7.8322667998831603</v>
      </c>
      <c r="L1284">
        <v>609.91</v>
      </c>
      <c r="M1284" t="s">
        <v>20</v>
      </c>
      <c r="N1284">
        <v>1</v>
      </c>
      <c r="O1284">
        <v>1362</v>
      </c>
      <c r="P1284">
        <v>1189</v>
      </c>
      <c r="Q1284">
        <v>0.5</v>
      </c>
      <c r="R1284">
        <v>594.5</v>
      </c>
    </row>
    <row r="1285" spans="1:18" x14ac:dyDescent="0.3">
      <c r="A1285" s="5">
        <v>45965</v>
      </c>
      <c r="B1285" t="s">
        <v>1869</v>
      </c>
      <c r="C1285">
        <v>32</v>
      </c>
      <c r="D1285">
        <v>36</v>
      </c>
      <c r="E1285" s="1">
        <v>1.4583333333333333</v>
      </c>
      <c r="F1285" t="s">
        <v>1870</v>
      </c>
      <c r="G1285">
        <v>4</v>
      </c>
      <c r="H1285">
        <v>1080.9970000000001</v>
      </c>
      <c r="I1285">
        <v>7</v>
      </c>
      <c r="J1285">
        <v>1163.79</v>
      </c>
      <c r="K1285">
        <v>5.4825867599182097</v>
      </c>
      <c r="L1285">
        <v>1219.83</v>
      </c>
      <c r="M1285" t="s">
        <v>27</v>
      </c>
      <c r="N1285">
        <v>1</v>
      </c>
      <c r="O1285">
        <v>1330</v>
      </c>
      <c r="P1285">
        <v>1157</v>
      </c>
      <c r="Q1285">
        <v>0</v>
      </c>
      <c r="R1285">
        <v>1157</v>
      </c>
    </row>
    <row r="1286" spans="1:18" x14ac:dyDescent="0.3">
      <c r="A1286" s="5">
        <v>45965</v>
      </c>
      <c r="B1286" t="s">
        <v>1871</v>
      </c>
      <c r="C1286">
        <v>6</v>
      </c>
      <c r="D1286">
        <v>36</v>
      </c>
      <c r="E1286" s="1">
        <v>1.9791666666666665</v>
      </c>
      <c r="F1286" t="s">
        <v>1872</v>
      </c>
      <c r="G1286">
        <v>0</v>
      </c>
      <c r="H1286">
        <v>1081.2501999999999</v>
      </c>
      <c r="I1286">
        <v>2.5</v>
      </c>
      <c r="J1286">
        <v>1163.79</v>
      </c>
      <c r="K1286">
        <v>1.9580666999707901</v>
      </c>
      <c r="L1286">
        <v>1158.8800000000001</v>
      </c>
      <c r="M1286" t="s">
        <v>27</v>
      </c>
      <c r="N1286">
        <v>1</v>
      </c>
      <c r="O1286">
        <v>1281</v>
      </c>
      <c r="P1286">
        <v>1108</v>
      </c>
      <c r="Q1286">
        <v>0</v>
      </c>
      <c r="R1286">
        <v>1108</v>
      </c>
    </row>
    <row r="1287" spans="1:18" x14ac:dyDescent="0.3">
      <c r="A1287" s="5">
        <v>45965</v>
      </c>
      <c r="B1287" t="s">
        <v>1873</v>
      </c>
      <c r="C1287">
        <v>17</v>
      </c>
      <c r="D1287">
        <v>36</v>
      </c>
      <c r="E1287" s="1">
        <v>1.9791666666666665</v>
      </c>
      <c r="F1287" t="s">
        <v>1858</v>
      </c>
      <c r="G1287">
        <v>5</v>
      </c>
      <c r="H1287">
        <v>1081.0524</v>
      </c>
      <c r="I1287">
        <v>0</v>
      </c>
      <c r="J1287">
        <v>1163.79</v>
      </c>
      <c r="K1287">
        <v>0</v>
      </c>
      <c r="L1287">
        <v>1158.8800000000001</v>
      </c>
      <c r="M1287" t="s">
        <v>27</v>
      </c>
      <c r="N1287">
        <v>1</v>
      </c>
      <c r="O1287">
        <v>1254</v>
      </c>
      <c r="P1287">
        <v>1081</v>
      </c>
      <c r="Q1287">
        <v>0</v>
      </c>
      <c r="R1287">
        <v>1081</v>
      </c>
    </row>
    <row r="1288" spans="1:18" x14ac:dyDescent="0.3">
      <c r="A1288" s="5">
        <v>45965</v>
      </c>
      <c r="B1288" t="s">
        <v>1874</v>
      </c>
      <c r="C1288">
        <v>24</v>
      </c>
      <c r="D1288">
        <v>36</v>
      </c>
      <c r="E1288" s="1">
        <v>1.9652777777777777</v>
      </c>
      <c r="F1288" t="s">
        <v>1875</v>
      </c>
      <c r="G1288">
        <v>0</v>
      </c>
      <c r="H1288">
        <v>1080.7892999999999</v>
      </c>
      <c r="I1288">
        <v>2.5</v>
      </c>
      <c r="J1288">
        <v>1163.79</v>
      </c>
      <c r="K1288">
        <v>1.9580666999707901</v>
      </c>
      <c r="L1288">
        <v>1158.8800000000001</v>
      </c>
      <c r="M1288" t="s">
        <v>27</v>
      </c>
      <c r="N1288">
        <v>1</v>
      </c>
      <c r="O1288">
        <v>1281</v>
      </c>
      <c r="P1288">
        <v>1108</v>
      </c>
      <c r="Q1288">
        <v>0</v>
      </c>
      <c r="R1288">
        <v>1108</v>
      </c>
    </row>
    <row r="1289" spans="1:18" x14ac:dyDescent="0.3">
      <c r="A1289" s="5">
        <v>45965</v>
      </c>
      <c r="B1289" t="s">
        <v>1876</v>
      </c>
      <c r="C1289">
        <v>27</v>
      </c>
      <c r="D1289">
        <v>36</v>
      </c>
      <c r="E1289" s="1">
        <v>1.9652777777777777</v>
      </c>
      <c r="F1289" t="s">
        <v>1862</v>
      </c>
      <c r="G1289">
        <v>0</v>
      </c>
      <c r="H1289">
        <v>1080.7354</v>
      </c>
      <c r="I1289">
        <v>2.5</v>
      </c>
      <c r="J1289">
        <v>1163.79</v>
      </c>
      <c r="K1289">
        <v>1.9580666999707901</v>
      </c>
      <c r="L1289">
        <v>1158.8800000000001</v>
      </c>
      <c r="M1289" t="s">
        <v>27</v>
      </c>
      <c r="N1289">
        <v>1</v>
      </c>
      <c r="O1289">
        <v>1281</v>
      </c>
      <c r="P1289">
        <v>1108</v>
      </c>
      <c r="Q1289">
        <v>0</v>
      </c>
      <c r="R1289">
        <v>1108</v>
      </c>
    </row>
    <row r="1290" spans="1:18" x14ac:dyDescent="0.3">
      <c r="A1290" s="5">
        <v>45965</v>
      </c>
      <c r="B1290" t="s">
        <v>1877</v>
      </c>
      <c r="C1290">
        <v>25</v>
      </c>
      <c r="D1290">
        <v>36</v>
      </c>
      <c r="E1290" s="1">
        <v>1.9993055555555554</v>
      </c>
      <c r="F1290" t="s">
        <v>1878</v>
      </c>
      <c r="G1290">
        <v>5</v>
      </c>
      <c r="H1290">
        <v>1080.7761</v>
      </c>
      <c r="I1290">
        <v>0</v>
      </c>
      <c r="J1290">
        <v>1163.79</v>
      </c>
      <c r="K1290">
        <v>0</v>
      </c>
      <c r="L1290">
        <v>1158.8800000000001</v>
      </c>
      <c r="M1290" t="s">
        <v>27</v>
      </c>
      <c r="N1290">
        <v>1</v>
      </c>
      <c r="O1290">
        <v>1254</v>
      </c>
      <c r="P1290">
        <v>1081</v>
      </c>
      <c r="Q1290">
        <v>0</v>
      </c>
      <c r="R1290">
        <v>1081</v>
      </c>
    </row>
    <row r="1291" spans="1:18" x14ac:dyDescent="0.3">
      <c r="A1291" s="5">
        <v>45965</v>
      </c>
      <c r="B1291" t="s">
        <v>1879</v>
      </c>
      <c r="C1291">
        <v>7</v>
      </c>
      <c r="D1291">
        <v>36</v>
      </c>
      <c r="E1291" s="1">
        <v>1.9652777777777777</v>
      </c>
      <c r="F1291" t="s">
        <v>1880</v>
      </c>
      <c r="G1291">
        <v>2</v>
      </c>
      <c r="H1291">
        <v>1081.4304999999999</v>
      </c>
      <c r="I1291">
        <v>5</v>
      </c>
      <c r="J1291">
        <v>1163.79</v>
      </c>
      <c r="K1291">
        <v>3.9161333999415802</v>
      </c>
      <c r="L1291">
        <v>609.91</v>
      </c>
      <c r="M1291" t="s">
        <v>60</v>
      </c>
      <c r="N1291">
        <v>1</v>
      </c>
      <c r="O1291">
        <v>1309</v>
      </c>
      <c r="P1291">
        <v>1136</v>
      </c>
      <c r="Q1291">
        <v>0.5</v>
      </c>
      <c r="R1291">
        <v>568</v>
      </c>
    </row>
    <row r="1292" spans="1:18" x14ac:dyDescent="0.3">
      <c r="A1292" s="5">
        <v>45965</v>
      </c>
      <c r="B1292" t="s">
        <v>1881</v>
      </c>
      <c r="C1292">
        <v>32</v>
      </c>
      <c r="D1292">
        <v>36</v>
      </c>
      <c r="E1292" s="1">
        <v>1.9993055555555554</v>
      </c>
      <c r="F1292" t="s">
        <v>1882</v>
      </c>
      <c r="G1292">
        <v>5</v>
      </c>
      <c r="H1292">
        <v>1080.6495</v>
      </c>
      <c r="I1292">
        <v>0</v>
      </c>
      <c r="J1292">
        <v>1163.79</v>
      </c>
      <c r="K1292">
        <v>0</v>
      </c>
      <c r="L1292">
        <v>1158.8800000000001</v>
      </c>
      <c r="M1292" t="s">
        <v>27</v>
      </c>
      <c r="N1292">
        <v>1</v>
      </c>
      <c r="O1292">
        <v>1254</v>
      </c>
      <c r="P1292">
        <v>1081</v>
      </c>
      <c r="Q1292">
        <v>0</v>
      </c>
      <c r="R1292">
        <v>1081</v>
      </c>
    </row>
    <row r="1293" spans="1:18" x14ac:dyDescent="0.3">
      <c r="A1293" s="5">
        <v>45965</v>
      </c>
      <c r="B1293" t="s">
        <v>1562</v>
      </c>
      <c r="C1293">
        <v>35</v>
      </c>
      <c r="D1293">
        <v>36</v>
      </c>
      <c r="E1293" s="1">
        <v>1.9993055555555554</v>
      </c>
      <c r="F1293" t="s">
        <v>1563</v>
      </c>
      <c r="G1293">
        <v>2</v>
      </c>
      <c r="H1293">
        <v>1080.633</v>
      </c>
      <c r="I1293">
        <v>5</v>
      </c>
      <c r="J1293">
        <v>1163.79</v>
      </c>
      <c r="K1293">
        <v>3.9161333999415802</v>
      </c>
      <c r="L1293">
        <v>609.91</v>
      </c>
      <c r="M1293" t="s">
        <v>60</v>
      </c>
      <c r="N1293">
        <v>1</v>
      </c>
      <c r="O1293">
        <v>1308</v>
      </c>
      <c r="P1293">
        <v>1135</v>
      </c>
      <c r="Q1293">
        <v>0.5</v>
      </c>
      <c r="R1293">
        <v>567.5</v>
      </c>
    </row>
    <row r="1294" spans="1:18" x14ac:dyDescent="0.3">
      <c r="A1294" s="5">
        <v>45965</v>
      </c>
      <c r="B1294" t="s">
        <v>1883</v>
      </c>
      <c r="C1294">
        <v>1</v>
      </c>
      <c r="D1294">
        <v>36</v>
      </c>
      <c r="E1294" s="1">
        <v>1.9993055555555554</v>
      </c>
      <c r="F1294" t="s">
        <v>1884</v>
      </c>
      <c r="G1294">
        <v>5</v>
      </c>
      <c r="H1294">
        <v>1081.3296</v>
      </c>
      <c r="I1294">
        <v>0</v>
      </c>
      <c r="J1294">
        <v>1163.79</v>
      </c>
      <c r="K1294">
        <v>0</v>
      </c>
      <c r="L1294">
        <v>1158.8800000000001</v>
      </c>
      <c r="M1294" t="s">
        <v>27</v>
      </c>
      <c r="N1294">
        <v>1</v>
      </c>
      <c r="O1294">
        <v>1254</v>
      </c>
      <c r="P1294">
        <v>1081</v>
      </c>
      <c r="Q1294">
        <v>0</v>
      </c>
      <c r="R1294">
        <v>1081</v>
      </c>
    </row>
    <row r="1295" spans="1:18" x14ac:dyDescent="0.3">
      <c r="A1295" s="5">
        <v>45965</v>
      </c>
      <c r="B1295" t="s">
        <v>1885</v>
      </c>
      <c r="C1295">
        <v>9</v>
      </c>
      <c r="D1295">
        <v>36</v>
      </c>
      <c r="E1295" s="1">
        <v>1.9993055555555554</v>
      </c>
      <c r="F1295" t="s">
        <v>1886</v>
      </c>
      <c r="G1295">
        <v>5</v>
      </c>
      <c r="H1295">
        <v>1081.1947</v>
      </c>
      <c r="I1295">
        <v>0</v>
      </c>
      <c r="J1295">
        <v>1163.79</v>
      </c>
      <c r="K1295">
        <v>0</v>
      </c>
      <c r="L1295">
        <v>1158.8800000000001</v>
      </c>
      <c r="M1295" t="s">
        <v>27</v>
      </c>
      <c r="N1295">
        <v>1</v>
      </c>
      <c r="O1295">
        <v>1254</v>
      </c>
      <c r="P1295">
        <v>1081</v>
      </c>
      <c r="Q1295">
        <v>0</v>
      </c>
      <c r="R1295">
        <v>1081</v>
      </c>
    </row>
    <row r="1296" spans="1:18" x14ac:dyDescent="0.3">
      <c r="A1296" s="5">
        <v>45965</v>
      </c>
      <c r="B1296" t="s">
        <v>1821</v>
      </c>
      <c r="C1296">
        <v>20</v>
      </c>
      <c r="D1296">
        <v>36</v>
      </c>
      <c r="E1296" s="1">
        <v>1.9993055555555554</v>
      </c>
      <c r="F1296" t="s">
        <v>1822</v>
      </c>
      <c r="G1296">
        <v>1</v>
      </c>
      <c r="H1296">
        <v>1080.9971</v>
      </c>
      <c r="I1296">
        <v>8.5</v>
      </c>
      <c r="J1296">
        <v>1163.79</v>
      </c>
      <c r="K1296">
        <v>6.6574267799006801</v>
      </c>
      <c r="L1296">
        <v>1158.8800000000001</v>
      </c>
      <c r="M1296" t="s">
        <v>27</v>
      </c>
      <c r="N1296">
        <v>1</v>
      </c>
      <c r="O1296">
        <v>1346</v>
      </c>
      <c r="P1296">
        <v>1173</v>
      </c>
      <c r="Q1296">
        <v>0</v>
      </c>
      <c r="R1296">
        <v>1173</v>
      </c>
    </row>
    <row r="1297" spans="1:18" x14ac:dyDescent="0.3">
      <c r="A1297" s="5">
        <v>45965</v>
      </c>
      <c r="B1297" t="s">
        <v>1887</v>
      </c>
      <c r="C1297">
        <v>36</v>
      </c>
      <c r="D1297">
        <v>36</v>
      </c>
      <c r="E1297" s="1">
        <v>1.9791666666666665</v>
      </c>
      <c r="F1297" t="s">
        <v>1888</v>
      </c>
      <c r="G1297">
        <v>5</v>
      </c>
      <c r="H1297">
        <v>1080.5769</v>
      </c>
      <c r="I1297">
        <v>0</v>
      </c>
      <c r="J1297">
        <v>1163.79</v>
      </c>
      <c r="K1297">
        <v>0</v>
      </c>
      <c r="L1297">
        <v>1158.8800000000001</v>
      </c>
      <c r="M1297" t="s">
        <v>27</v>
      </c>
      <c r="N1297">
        <v>1</v>
      </c>
      <c r="O1297">
        <v>1253</v>
      </c>
      <c r="P1297">
        <v>1081</v>
      </c>
      <c r="Q1297">
        <v>0</v>
      </c>
      <c r="R1297">
        <v>1081</v>
      </c>
    </row>
    <row r="1298" spans="1:18" x14ac:dyDescent="0.3">
      <c r="A1298" s="5">
        <v>45965</v>
      </c>
      <c r="B1298" t="s">
        <v>1889</v>
      </c>
      <c r="C1298">
        <v>32</v>
      </c>
      <c r="D1298">
        <v>36</v>
      </c>
      <c r="E1298" s="1">
        <v>1.9993055555555554</v>
      </c>
      <c r="F1298" t="s">
        <v>1890</v>
      </c>
      <c r="G1298">
        <v>2</v>
      </c>
      <c r="H1298">
        <v>1079.9213</v>
      </c>
      <c r="I1298">
        <v>5</v>
      </c>
      <c r="J1298">
        <v>1163.79</v>
      </c>
      <c r="K1298">
        <v>3.9161333999415802</v>
      </c>
      <c r="L1298">
        <v>609.91</v>
      </c>
      <c r="M1298" t="s">
        <v>60</v>
      </c>
      <c r="N1298">
        <v>1</v>
      </c>
      <c r="O1298">
        <v>1307</v>
      </c>
      <c r="P1298">
        <v>1134</v>
      </c>
      <c r="Q1298">
        <v>0.5</v>
      </c>
      <c r="R1298">
        <v>567</v>
      </c>
    </row>
    <row r="1299" spans="1:18" x14ac:dyDescent="0.3">
      <c r="A1299" s="5">
        <v>45965</v>
      </c>
      <c r="B1299" t="s">
        <v>1891</v>
      </c>
      <c r="C1299">
        <v>21</v>
      </c>
      <c r="D1299">
        <v>36</v>
      </c>
      <c r="E1299" s="1">
        <v>1.9791666666666665</v>
      </c>
      <c r="F1299" t="s">
        <v>1862</v>
      </c>
      <c r="G1299">
        <v>0</v>
      </c>
      <c r="H1299">
        <v>1080.9744000000001</v>
      </c>
      <c r="I1299">
        <v>2.5</v>
      </c>
      <c r="J1299">
        <v>1163.79</v>
      </c>
      <c r="K1299">
        <v>1.9580666999707901</v>
      </c>
      <c r="L1299">
        <v>1158.8800000000001</v>
      </c>
      <c r="M1299" t="s">
        <v>27</v>
      </c>
      <c r="N1299">
        <v>1</v>
      </c>
      <c r="O1299">
        <v>1281</v>
      </c>
      <c r="P1299">
        <v>1108</v>
      </c>
      <c r="Q1299">
        <v>0</v>
      </c>
      <c r="R1299">
        <v>1108</v>
      </c>
    </row>
    <row r="1300" spans="1:18" x14ac:dyDescent="0.3">
      <c r="A1300" s="5">
        <v>45965</v>
      </c>
      <c r="B1300" t="s">
        <v>1892</v>
      </c>
      <c r="C1300">
        <v>35</v>
      </c>
      <c r="D1300">
        <v>36</v>
      </c>
      <c r="E1300" s="1">
        <v>1.9993055555555554</v>
      </c>
      <c r="F1300" t="s">
        <v>1893</v>
      </c>
      <c r="G1300">
        <v>0</v>
      </c>
      <c r="H1300">
        <v>1080.5853</v>
      </c>
      <c r="I1300">
        <v>2.5</v>
      </c>
      <c r="J1300">
        <v>1163.79</v>
      </c>
      <c r="K1300">
        <v>1.9580666999707901</v>
      </c>
      <c r="L1300">
        <v>1158.8800000000001</v>
      </c>
      <c r="M1300" t="s">
        <v>27</v>
      </c>
      <c r="N1300">
        <v>1</v>
      </c>
      <c r="O1300">
        <v>1280</v>
      </c>
      <c r="P1300">
        <v>1108</v>
      </c>
      <c r="Q1300">
        <v>0</v>
      </c>
      <c r="R1300">
        <v>1108</v>
      </c>
    </row>
    <row r="1301" spans="1:18" x14ac:dyDescent="0.3">
      <c r="A1301" s="5">
        <v>45965</v>
      </c>
      <c r="B1301" t="s">
        <v>1894</v>
      </c>
      <c r="C1301">
        <v>22</v>
      </c>
      <c r="D1301">
        <v>36</v>
      </c>
      <c r="E1301" s="1">
        <v>1.9791666666666665</v>
      </c>
      <c r="F1301" t="s">
        <v>1895</v>
      </c>
      <c r="G1301">
        <v>5</v>
      </c>
      <c r="H1301">
        <v>1080.8286000000001</v>
      </c>
      <c r="I1301">
        <v>0</v>
      </c>
      <c r="J1301">
        <v>1163.79</v>
      </c>
      <c r="K1301">
        <v>0</v>
      </c>
      <c r="L1301">
        <v>1158.8800000000001</v>
      </c>
      <c r="M1301" t="s">
        <v>27</v>
      </c>
      <c r="N1301">
        <v>1</v>
      </c>
      <c r="O1301">
        <v>1254</v>
      </c>
      <c r="P1301">
        <v>1081</v>
      </c>
      <c r="Q1301">
        <v>0</v>
      </c>
      <c r="R1301">
        <v>1081</v>
      </c>
    </row>
    <row r="1302" spans="1:18" x14ac:dyDescent="0.3">
      <c r="A1302" s="5">
        <v>45965</v>
      </c>
      <c r="B1302" t="s">
        <v>1896</v>
      </c>
      <c r="C1302">
        <v>35</v>
      </c>
      <c r="D1302">
        <v>36</v>
      </c>
      <c r="E1302" s="1">
        <v>1.9791666666666665</v>
      </c>
      <c r="F1302" t="s">
        <v>1897</v>
      </c>
      <c r="G1302">
        <v>4</v>
      </c>
      <c r="H1302">
        <v>1080.7931000000001</v>
      </c>
      <c r="I1302">
        <v>7</v>
      </c>
      <c r="J1302">
        <v>1163.79</v>
      </c>
      <c r="K1302">
        <v>5.4825867599182097</v>
      </c>
      <c r="L1302">
        <v>1097.8399999999999</v>
      </c>
      <c r="M1302" t="s">
        <v>27</v>
      </c>
      <c r="N1302">
        <v>1</v>
      </c>
      <c r="O1302">
        <v>1329</v>
      </c>
      <c r="P1302">
        <v>1156</v>
      </c>
      <c r="Q1302">
        <v>0</v>
      </c>
      <c r="R1302">
        <v>1156</v>
      </c>
    </row>
    <row r="1303" spans="1:18" x14ac:dyDescent="0.3">
      <c r="A1303" s="5">
        <v>45965</v>
      </c>
      <c r="B1303" t="s">
        <v>1898</v>
      </c>
      <c r="C1303">
        <v>24</v>
      </c>
      <c r="D1303">
        <v>36</v>
      </c>
      <c r="E1303" s="1">
        <v>1.0833333333333333</v>
      </c>
      <c r="F1303" t="s">
        <v>1899</v>
      </c>
      <c r="G1303">
        <v>0</v>
      </c>
      <c r="H1303">
        <v>1081.019</v>
      </c>
      <c r="I1303">
        <v>2.5</v>
      </c>
      <c r="J1303">
        <v>1163.79</v>
      </c>
      <c r="K1303">
        <v>1.9580666999707901</v>
      </c>
      <c r="L1303">
        <v>1158.8800000000001</v>
      </c>
      <c r="M1303" t="s">
        <v>27</v>
      </c>
      <c r="N1303">
        <v>1</v>
      </c>
      <c r="O1303">
        <v>1281</v>
      </c>
      <c r="P1303">
        <v>1108</v>
      </c>
      <c r="Q1303">
        <v>0</v>
      </c>
      <c r="R1303">
        <v>1108</v>
      </c>
    </row>
    <row r="1304" spans="1:18" x14ac:dyDescent="0.3">
      <c r="A1304" s="5">
        <v>45965</v>
      </c>
      <c r="B1304" t="s">
        <v>1898</v>
      </c>
      <c r="C1304">
        <v>24</v>
      </c>
      <c r="D1304">
        <v>36</v>
      </c>
      <c r="E1304" s="1">
        <v>1.0833333333333333</v>
      </c>
      <c r="F1304" t="s">
        <v>1899</v>
      </c>
      <c r="G1304">
        <v>0</v>
      </c>
      <c r="H1304">
        <v>1081.019</v>
      </c>
      <c r="I1304">
        <v>2.5</v>
      </c>
      <c r="J1304">
        <v>1163.79</v>
      </c>
      <c r="K1304">
        <v>1.9580666999707901</v>
      </c>
      <c r="L1304">
        <v>1158.8800000000001</v>
      </c>
      <c r="M1304" t="s">
        <v>27</v>
      </c>
      <c r="N1304">
        <v>1</v>
      </c>
      <c r="O1304">
        <v>1281</v>
      </c>
      <c r="P1304">
        <v>1108</v>
      </c>
      <c r="Q1304">
        <v>0</v>
      </c>
      <c r="R1304">
        <v>1108</v>
      </c>
    </row>
    <row r="1305" spans="1:18" x14ac:dyDescent="0.3">
      <c r="A1305" s="5">
        <v>45965</v>
      </c>
      <c r="B1305" t="s">
        <v>1898</v>
      </c>
      <c r="C1305">
        <v>24</v>
      </c>
      <c r="D1305">
        <v>36</v>
      </c>
      <c r="E1305" s="1">
        <v>1.0833333333333333</v>
      </c>
      <c r="F1305" t="s">
        <v>1899</v>
      </c>
      <c r="G1305">
        <v>0</v>
      </c>
      <c r="H1305">
        <v>1081.019</v>
      </c>
      <c r="I1305">
        <v>2.5</v>
      </c>
      <c r="J1305">
        <v>1163.79</v>
      </c>
      <c r="K1305">
        <v>1.9580666999707901</v>
      </c>
      <c r="L1305">
        <v>1158.8800000000001</v>
      </c>
      <c r="M1305" t="s">
        <v>27</v>
      </c>
      <c r="N1305">
        <v>1</v>
      </c>
      <c r="O1305">
        <v>1281</v>
      </c>
      <c r="P1305">
        <v>1108</v>
      </c>
      <c r="Q1305">
        <v>0</v>
      </c>
      <c r="R1305">
        <v>1108</v>
      </c>
    </row>
    <row r="1306" spans="1:18" x14ac:dyDescent="0.3">
      <c r="A1306" s="5">
        <v>45965</v>
      </c>
      <c r="B1306" t="s">
        <v>1900</v>
      </c>
      <c r="C1306">
        <v>27</v>
      </c>
      <c r="D1306">
        <v>36</v>
      </c>
      <c r="E1306" s="1">
        <v>1.0833333333333333</v>
      </c>
      <c r="F1306" t="s">
        <v>1899</v>
      </c>
      <c r="G1306">
        <v>0</v>
      </c>
      <c r="H1306">
        <v>1080.9650999999999</v>
      </c>
      <c r="I1306">
        <v>2.5</v>
      </c>
      <c r="J1306">
        <v>1163.79</v>
      </c>
      <c r="K1306">
        <v>1.9580666999707901</v>
      </c>
      <c r="L1306">
        <v>1158.8800000000001</v>
      </c>
      <c r="M1306" t="s">
        <v>27</v>
      </c>
      <c r="N1306">
        <v>1</v>
      </c>
      <c r="O1306">
        <v>1281</v>
      </c>
      <c r="P1306">
        <v>1108</v>
      </c>
      <c r="Q1306">
        <v>0</v>
      </c>
      <c r="R1306">
        <v>1108</v>
      </c>
    </row>
    <row r="1307" spans="1:18" x14ac:dyDescent="0.3">
      <c r="A1307" s="5">
        <v>45965</v>
      </c>
      <c r="B1307" t="s">
        <v>1900</v>
      </c>
      <c r="C1307">
        <v>27</v>
      </c>
      <c r="D1307">
        <v>36</v>
      </c>
      <c r="E1307" s="1">
        <v>1.0833333333333333</v>
      </c>
      <c r="F1307" t="s">
        <v>1899</v>
      </c>
      <c r="G1307">
        <v>0</v>
      </c>
      <c r="H1307">
        <v>1080.9650999999999</v>
      </c>
      <c r="I1307">
        <v>2.5</v>
      </c>
      <c r="J1307">
        <v>1163.79</v>
      </c>
      <c r="K1307">
        <v>1.9580666999707901</v>
      </c>
      <c r="L1307">
        <v>1158.8800000000001</v>
      </c>
      <c r="M1307" t="s">
        <v>27</v>
      </c>
      <c r="N1307">
        <v>1</v>
      </c>
      <c r="O1307">
        <v>1281</v>
      </c>
      <c r="P1307">
        <v>1108</v>
      </c>
      <c r="Q1307">
        <v>0</v>
      </c>
      <c r="R1307">
        <v>1108</v>
      </c>
    </row>
    <row r="1308" spans="1:18" x14ac:dyDescent="0.3">
      <c r="A1308" s="5">
        <v>45965</v>
      </c>
      <c r="B1308" t="s">
        <v>1900</v>
      </c>
      <c r="C1308">
        <v>27</v>
      </c>
      <c r="D1308">
        <v>36</v>
      </c>
      <c r="E1308" s="1">
        <v>1.0833333333333333</v>
      </c>
      <c r="F1308" t="s">
        <v>1899</v>
      </c>
      <c r="G1308">
        <v>0</v>
      </c>
      <c r="H1308">
        <v>1080.9650999999999</v>
      </c>
      <c r="I1308">
        <v>2.5</v>
      </c>
      <c r="J1308">
        <v>1163.79</v>
      </c>
      <c r="K1308">
        <v>1.9580666999707901</v>
      </c>
      <c r="L1308">
        <v>1158.8800000000001</v>
      </c>
      <c r="M1308" t="s">
        <v>27</v>
      </c>
      <c r="N1308">
        <v>1</v>
      </c>
      <c r="O1308">
        <v>1281</v>
      </c>
      <c r="P1308">
        <v>1108</v>
      </c>
      <c r="Q1308">
        <v>0</v>
      </c>
      <c r="R1308">
        <v>1108</v>
      </c>
    </row>
    <row r="1309" spans="1:18" x14ac:dyDescent="0.3">
      <c r="A1309" s="5">
        <v>45965</v>
      </c>
      <c r="B1309" t="s">
        <v>1901</v>
      </c>
      <c r="C1309">
        <v>36</v>
      </c>
      <c r="D1309">
        <v>36</v>
      </c>
      <c r="E1309" s="1">
        <v>1.0833333333333333</v>
      </c>
      <c r="F1309" t="s">
        <v>1899</v>
      </c>
      <c r="G1309">
        <v>0</v>
      </c>
      <c r="H1309">
        <v>1080.8033</v>
      </c>
      <c r="I1309">
        <v>2.5</v>
      </c>
      <c r="J1309">
        <v>1163.79</v>
      </c>
      <c r="K1309">
        <v>1.9580666999707901</v>
      </c>
      <c r="L1309">
        <v>1158.8800000000001</v>
      </c>
      <c r="M1309" t="s">
        <v>27</v>
      </c>
      <c r="N1309">
        <v>1</v>
      </c>
      <c r="O1309">
        <v>1281</v>
      </c>
      <c r="P1309">
        <v>1108</v>
      </c>
      <c r="Q1309">
        <v>0</v>
      </c>
      <c r="R1309">
        <v>1108</v>
      </c>
    </row>
    <row r="1310" spans="1:18" x14ac:dyDescent="0.3">
      <c r="A1310" s="5">
        <v>45965</v>
      </c>
      <c r="B1310" t="s">
        <v>1901</v>
      </c>
      <c r="C1310">
        <v>36</v>
      </c>
      <c r="D1310">
        <v>36</v>
      </c>
      <c r="E1310" s="1">
        <v>1.0833333333333333</v>
      </c>
      <c r="F1310" t="s">
        <v>1899</v>
      </c>
      <c r="G1310">
        <v>0</v>
      </c>
      <c r="H1310">
        <v>1080.8033</v>
      </c>
      <c r="I1310">
        <v>2.5</v>
      </c>
      <c r="J1310">
        <v>1163.79</v>
      </c>
      <c r="K1310">
        <v>1.9580666999707901</v>
      </c>
      <c r="L1310">
        <v>1158.8800000000001</v>
      </c>
      <c r="M1310" t="s">
        <v>27</v>
      </c>
      <c r="N1310">
        <v>1</v>
      </c>
      <c r="O1310">
        <v>1281</v>
      </c>
      <c r="P1310">
        <v>1108</v>
      </c>
      <c r="Q1310">
        <v>0</v>
      </c>
      <c r="R1310">
        <v>1108</v>
      </c>
    </row>
    <row r="1311" spans="1:18" x14ac:dyDescent="0.3">
      <c r="A1311" s="5">
        <v>45965</v>
      </c>
      <c r="B1311" t="s">
        <v>1901</v>
      </c>
      <c r="C1311">
        <v>36</v>
      </c>
      <c r="D1311">
        <v>36</v>
      </c>
      <c r="E1311" s="1">
        <v>1.0833333333333333</v>
      </c>
      <c r="F1311" t="s">
        <v>1899</v>
      </c>
      <c r="G1311">
        <v>0</v>
      </c>
      <c r="H1311">
        <v>1080.8033</v>
      </c>
      <c r="I1311">
        <v>2.5</v>
      </c>
      <c r="J1311">
        <v>1163.79</v>
      </c>
      <c r="K1311">
        <v>1.9580666999707901</v>
      </c>
      <c r="L1311">
        <v>1158.8800000000001</v>
      </c>
      <c r="M1311" t="s">
        <v>27</v>
      </c>
      <c r="N1311">
        <v>1</v>
      </c>
      <c r="O1311">
        <v>1281</v>
      </c>
      <c r="P1311">
        <v>1108</v>
      </c>
      <c r="Q1311">
        <v>0</v>
      </c>
      <c r="R1311">
        <v>1108</v>
      </c>
    </row>
    <row r="1312" spans="1:18" x14ac:dyDescent="0.3">
      <c r="A1312" s="5">
        <v>45965</v>
      </c>
      <c r="B1312" t="s">
        <v>1902</v>
      </c>
      <c r="C1312">
        <v>7</v>
      </c>
      <c r="D1312">
        <v>36</v>
      </c>
      <c r="E1312" s="1">
        <v>1.4583333333333333</v>
      </c>
      <c r="F1312" t="s">
        <v>1903</v>
      </c>
      <c r="G1312">
        <v>4</v>
      </c>
      <c r="H1312">
        <v>1081.452</v>
      </c>
      <c r="I1312">
        <v>7</v>
      </c>
      <c r="J1312">
        <v>1163.79</v>
      </c>
      <c r="K1312">
        <v>5.4825867599182097</v>
      </c>
      <c r="L1312">
        <v>1158.8800000000001</v>
      </c>
      <c r="M1312" t="s">
        <v>27</v>
      </c>
      <c r="N1312">
        <v>1</v>
      </c>
      <c r="O1312">
        <v>1330</v>
      </c>
      <c r="P1312">
        <v>1157</v>
      </c>
      <c r="Q1312">
        <v>0</v>
      </c>
      <c r="R1312">
        <v>1157</v>
      </c>
    </row>
    <row r="1313" spans="1:18" x14ac:dyDescent="0.3">
      <c r="A1313" s="5">
        <v>45965</v>
      </c>
      <c r="B1313" t="s">
        <v>1904</v>
      </c>
      <c r="C1313">
        <v>18</v>
      </c>
      <c r="D1313">
        <v>36</v>
      </c>
      <c r="E1313" s="1">
        <v>1.9791666666666665</v>
      </c>
      <c r="F1313" t="s">
        <v>1905</v>
      </c>
      <c r="G1313">
        <v>0</v>
      </c>
      <c r="H1313">
        <v>1081.0272</v>
      </c>
      <c r="I1313">
        <v>2.5</v>
      </c>
      <c r="J1313">
        <v>1163.79</v>
      </c>
      <c r="K1313">
        <v>1.9580666999707901</v>
      </c>
      <c r="L1313">
        <v>1158.8800000000001</v>
      </c>
      <c r="M1313" t="s">
        <v>27</v>
      </c>
      <c r="N1313">
        <v>1</v>
      </c>
      <c r="O1313">
        <v>1281</v>
      </c>
      <c r="P1313">
        <v>1108</v>
      </c>
      <c r="Q1313">
        <v>0</v>
      </c>
      <c r="R1313">
        <v>1108</v>
      </c>
    </row>
    <row r="1314" spans="1:18" x14ac:dyDescent="0.3">
      <c r="A1314" s="5">
        <v>45965</v>
      </c>
      <c r="B1314" t="s">
        <v>1906</v>
      </c>
      <c r="C1314">
        <v>24</v>
      </c>
      <c r="D1314">
        <v>36</v>
      </c>
      <c r="E1314" s="1">
        <v>1.4583333333333333</v>
      </c>
      <c r="F1314" t="s">
        <v>1907</v>
      </c>
      <c r="G1314">
        <v>4</v>
      </c>
      <c r="H1314">
        <v>1081.1507999999999</v>
      </c>
      <c r="I1314">
        <v>7</v>
      </c>
      <c r="J1314">
        <v>1163.79</v>
      </c>
      <c r="K1314">
        <v>5.4825867599182097</v>
      </c>
      <c r="L1314">
        <v>1097.8399999999999</v>
      </c>
      <c r="M1314" t="s">
        <v>27</v>
      </c>
      <c r="N1314">
        <v>1</v>
      </c>
      <c r="O1314">
        <v>1330</v>
      </c>
      <c r="P1314">
        <v>1157</v>
      </c>
      <c r="Q1314">
        <v>0</v>
      </c>
      <c r="R1314">
        <v>1157</v>
      </c>
    </row>
    <row r="1315" spans="1:18" x14ac:dyDescent="0.3">
      <c r="A1315" s="5">
        <v>45965</v>
      </c>
      <c r="B1315" t="s">
        <v>1908</v>
      </c>
      <c r="C1315">
        <v>27</v>
      </c>
      <c r="D1315">
        <v>36</v>
      </c>
      <c r="E1315" s="1">
        <v>1.9791666666666665</v>
      </c>
      <c r="F1315" t="s">
        <v>1909</v>
      </c>
      <c r="G1315">
        <v>5</v>
      </c>
      <c r="H1315">
        <v>1080.7379000000001</v>
      </c>
      <c r="I1315">
        <v>0</v>
      </c>
      <c r="J1315">
        <v>1163.79</v>
      </c>
      <c r="K1315">
        <v>0</v>
      </c>
      <c r="L1315">
        <v>1158.8800000000001</v>
      </c>
      <c r="M1315" t="s">
        <v>27</v>
      </c>
      <c r="N1315">
        <v>1</v>
      </c>
      <c r="O1315">
        <v>1254</v>
      </c>
      <c r="P1315">
        <v>1081</v>
      </c>
      <c r="Q1315">
        <v>0</v>
      </c>
      <c r="R1315">
        <v>1081</v>
      </c>
    </row>
    <row r="1316" spans="1:18" x14ac:dyDescent="0.3">
      <c r="A1316" s="5">
        <v>45965</v>
      </c>
      <c r="B1316" t="s">
        <v>1910</v>
      </c>
      <c r="C1316">
        <v>35</v>
      </c>
      <c r="D1316">
        <v>36</v>
      </c>
      <c r="E1316" s="1">
        <v>1.0833333333333333</v>
      </c>
      <c r="F1316" t="s">
        <v>1911</v>
      </c>
      <c r="G1316">
        <v>1</v>
      </c>
      <c r="H1316">
        <v>1080.8073999999999</v>
      </c>
      <c r="I1316">
        <v>8.5</v>
      </c>
      <c r="J1316">
        <v>1163.79</v>
      </c>
      <c r="K1316">
        <v>6.6574267799006801</v>
      </c>
      <c r="L1316">
        <v>1219.83</v>
      </c>
      <c r="M1316" t="s">
        <v>27</v>
      </c>
      <c r="N1316">
        <v>1</v>
      </c>
      <c r="O1316">
        <v>1346</v>
      </c>
      <c r="P1316">
        <v>1173</v>
      </c>
      <c r="Q1316">
        <v>0</v>
      </c>
      <c r="R1316">
        <v>1173</v>
      </c>
    </row>
    <row r="1317" spans="1:18" x14ac:dyDescent="0.3">
      <c r="A1317" s="5">
        <v>45965</v>
      </c>
      <c r="B1317" t="s">
        <v>1912</v>
      </c>
      <c r="C1317">
        <v>19</v>
      </c>
      <c r="D1317">
        <v>36</v>
      </c>
      <c r="E1317" s="1">
        <v>1.0833333333333333</v>
      </c>
      <c r="F1317" t="s">
        <v>1913</v>
      </c>
      <c r="G1317">
        <v>0</v>
      </c>
      <c r="H1317">
        <v>1081.4429</v>
      </c>
      <c r="I1317">
        <v>2.5</v>
      </c>
      <c r="J1317">
        <v>1163.79</v>
      </c>
      <c r="K1317">
        <v>1.9580666999707901</v>
      </c>
      <c r="L1317">
        <v>1158.8800000000001</v>
      </c>
      <c r="M1317" t="s">
        <v>27</v>
      </c>
      <c r="N1317">
        <v>1</v>
      </c>
      <c r="O1317">
        <v>1282</v>
      </c>
      <c r="P1317">
        <v>1108</v>
      </c>
      <c r="Q1317">
        <v>0</v>
      </c>
      <c r="R1317">
        <v>1108</v>
      </c>
    </row>
    <row r="1318" spans="1:18" x14ac:dyDescent="0.3">
      <c r="A1318" s="5">
        <v>45965</v>
      </c>
      <c r="B1318" t="s">
        <v>1914</v>
      </c>
      <c r="C1318">
        <v>21</v>
      </c>
      <c r="D1318">
        <v>36</v>
      </c>
      <c r="E1318" s="1">
        <v>1.9791666666666665</v>
      </c>
      <c r="F1318" t="s">
        <v>1915</v>
      </c>
      <c r="G1318">
        <v>2</v>
      </c>
      <c r="H1318">
        <v>1080.9584</v>
      </c>
      <c r="I1318">
        <v>5</v>
      </c>
      <c r="J1318">
        <v>1163.79</v>
      </c>
      <c r="K1318">
        <v>3.9161333999415802</v>
      </c>
      <c r="L1318">
        <v>609.91</v>
      </c>
      <c r="M1318" t="s">
        <v>77</v>
      </c>
      <c r="N1318">
        <v>1</v>
      </c>
      <c r="O1318">
        <v>1308</v>
      </c>
      <c r="P1318">
        <v>1135</v>
      </c>
      <c r="Q1318">
        <v>0.5</v>
      </c>
      <c r="R1318">
        <v>567.5</v>
      </c>
    </row>
    <row r="1319" spans="1:18" x14ac:dyDescent="0.3">
      <c r="A1319" s="5">
        <v>45965</v>
      </c>
      <c r="B1319" t="s">
        <v>1916</v>
      </c>
      <c r="C1319">
        <v>8</v>
      </c>
      <c r="D1319">
        <v>36</v>
      </c>
      <c r="E1319" s="1">
        <v>1.9791666666666665</v>
      </c>
      <c r="F1319" t="s">
        <v>1917</v>
      </c>
      <c r="G1319">
        <v>5</v>
      </c>
      <c r="H1319">
        <v>1081.211</v>
      </c>
      <c r="I1319">
        <v>0</v>
      </c>
      <c r="J1319">
        <v>1163.79</v>
      </c>
      <c r="K1319">
        <v>0</v>
      </c>
      <c r="L1319">
        <v>1158.8800000000001</v>
      </c>
      <c r="M1319" t="s">
        <v>27</v>
      </c>
      <c r="N1319">
        <v>1</v>
      </c>
      <c r="O1319">
        <v>1254</v>
      </c>
      <c r="P1319">
        <v>1081</v>
      </c>
      <c r="Q1319">
        <v>0</v>
      </c>
      <c r="R1319">
        <v>1081</v>
      </c>
    </row>
    <row r="1320" spans="1:18" x14ac:dyDescent="0.3">
      <c r="A1320" s="5">
        <v>45965</v>
      </c>
      <c r="B1320" t="s">
        <v>1916</v>
      </c>
      <c r="C1320">
        <v>8</v>
      </c>
      <c r="D1320">
        <v>36</v>
      </c>
      <c r="E1320" s="1">
        <v>1.9791666666666665</v>
      </c>
      <c r="F1320" t="s">
        <v>1918</v>
      </c>
      <c r="G1320">
        <v>5</v>
      </c>
      <c r="H1320">
        <v>1081.211</v>
      </c>
      <c r="I1320">
        <v>0</v>
      </c>
      <c r="J1320">
        <v>1163.79</v>
      </c>
      <c r="K1320">
        <v>0</v>
      </c>
      <c r="L1320">
        <v>1158.8800000000001</v>
      </c>
      <c r="M1320" t="s">
        <v>27</v>
      </c>
      <c r="N1320">
        <v>1</v>
      </c>
      <c r="O1320">
        <v>1254</v>
      </c>
      <c r="P1320">
        <v>1081</v>
      </c>
      <c r="Q1320">
        <v>0</v>
      </c>
      <c r="R1320">
        <v>1081</v>
      </c>
    </row>
    <row r="1321" spans="1:18" x14ac:dyDescent="0.3">
      <c r="A1321" s="5">
        <v>45965</v>
      </c>
      <c r="B1321" t="s">
        <v>1919</v>
      </c>
      <c r="C1321">
        <v>9</v>
      </c>
      <c r="D1321">
        <v>36</v>
      </c>
      <c r="E1321" s="1">
        <v>1.9791666666666665</v>
      </c>
      <c r="F1321" t="s">
        <v>1917</v>
      </c>
      <c r="G1321">
        <v>5</v>
      </c>
      <c r="H1321">
        <v>1081.1931</v>
      </c>
      <c r="I1321">
        <v>0</v>
      </c>
      <c r="J1321">
        <v>1163.79</v>
      </c>
      <c r="K1321">
        <v>0</v>
      </c>
      <c r="L1321">
        <v>1158.8800000000001</v>
      </c>
      <c r="M1321" t="s">
        <v>27</v>
      </c>
      <c r="N1321">
        <v>1</v>
      </c>
      <c r="O1321">
        <v>1254</v>
      </c>
      <c r="P1321">
        <v>1081</v>
      </c>
      <c r="Q1321">
        <v>0</v>
      </c>
      <c r="R1321">
        <v>1081</v>
      </c>
    </row>
    <row r="1322" spans="1:18" x14ac:dyDescent="0.3">
      <c r="A1322" s="5">
        <v>45965</v>
      </c>
      <c r="B1322" t="s">
        <v>1919</v>
      </c>
      <c r="C1322">
        <v>9</v>
      </c>
      <c r="D1322">
        <v>36</v>
      </c>
      <c r="E1322" s="1">
        <v>1.9791666666666665</v>
      </c>
      <c r="F1322" t="s">
        <v>1918</v>
      </c>
      <c r="G1322">
        <v>5</v>
      </c>
      <c r="H1322">
        <v>1081.1931</v>
      </c>
      <c r="I1322">
        <v>0</v>
      </c>
      <c r="J1322">
        <v>1163.79</v>
      </c>
      <c r="K1322">
        <v>0</v>
      </c>
      <c r="L1322">
        <v>1158.8800000000001</v>
      </c>
      <c r="M1322" t="s">
        <v>27</v>
      </c>
      <c r="N1322">
        <v>1</v>
      </c>
      <c r="O1322">
        <v>1254</v>
      </c>
      <c r="P1322">
        <v>1081</v>
      </c>
      <c r="Q1322">
        <v>0</v>
      </c>
      <c r="R1322">
        <v>1081</v>
      </c>
    </row>
    <row r="1323" spans="1:18" x14ac:dyDescent="0.3">
      <c r="A1323" s="5">
        <v>45965</v>
      </c>
      <c r="B1323" t="s">
        <v>1920</v>
      </c>
      <c r="C1323">
        <v>5</v>
      </c>
      <c r="D1323">
        <v>36</v>
      </c>
      <c r="E1323" s="1">
        <v>1.9791666666666665</v>
      </c>
      <c r="F1323" t="s">
        <v>1921</v>
      </c>
      <c r="G1323">
        <v>3</v>
      </c>
      <c r="H1323">
        <v>1081.2568000000001</v>
      </c>
      <c r="I1323">
        <v>10</v>
      </c>
      <c r="J1323">
        <v>1163.79</v>
      </c>
      <c r="K1323">
        <v>7.8322667998831603</v>
      </c>
      <c r="L1323">
        <v>609.91</v>
      </c>
      <c r="M1323" t="s">
        <v>20</v>
      </c>
      <c r="N1323">
        <v>1</v>
      </c>
      <c r="O1323">
        <v>1362</v>
      </c>
      <c r="P1323">
        <v>1189</v>
      </c>
      <c r="Q1323">
        <v>0.5</v>
      </c>
      <c r="R1323">
        <v>594.5</v>
      </c>
    </row>
    <row r="1324" spans="1:18" x14ac:dyDescent="0.3">
      <c r="A1324" s="5">
        <v>45965</v>
      </c>
      <c r="B1324" t="s">
        <v>1922</v>
      </c>
      <c r="C1324">
        <v>33</v>
      </c>
      <c r="D1324">
        <v>36</v>
      </c>
      <c r="E1324" s="1">
        <v>1.9993055555555554</v>
      </c>
      <c r="F1324" t="s">
        <v>1923</v>
      </c>
      <c r="G1324">
        <v>0</v>
      </c>
      <c r="H1324">
        <v>1080.6283000000001</v>
      </c>
      <c r="I1324">
        <v>2.5</v>
      </c>
      <c r="J1324">
        <v>1163.79</v>
      </c>
      <c r="K1324">
        <v>1.9580666999707901</v>
      </c>
      <c r="L1324">
        <v>1158.8800000000001</v>
      </c>
      <c r="M1324" t="s">
        <v>27</v>
      </c>
      <c r="N1324">
        <v>1</v>
      </c>
      <c r="O1324">
        <v>1281</v>
      </c>
      <c r="P1324">
        <v>1108</v>
      </c>
      <c r="Q1324">
        <v>0</v>
      </c>
      <c r="R1324">
        <v>1108</v>
      </c>
    </row>
    <row r="1325" spans="1:18" x14ac:dyDescent="0.3">
      <c r="A1325" s="5">
        <v>45965</v>
      </c>
      <c r="B1325" t="s">
        <v>1924</v>
      </c>
      <c r="C1325">
        <v>13</v>
      </c>
      <c r="D1325">
        <v>36</v>
      </c>
      <c r="E1325" s="1">
        <v>1.9652777777777777</v>
      </c>
      <c r="F1325" t="s">
        <v>1925</v>
      </c>
      <c r="G1325">
        <v>0</v>
      </c>
      <c r="H1325">
        <v>1081.3188</v>
      </c>
      <c r="I1325">
        <v>2.5</v>
      </c>
      <c r="J1325">
        <v>1163.79</v>
      </c>
      <c r="K1325">
        <v>1.9580666999707901</v>
      </c>
      <c r="L1325">
        <v>1097.8399999999999</v>
      </c>
      <c r="M1325" t="s">
        <v>27</v>
      </c>
      <c r="N1325">
        <v>1</v>
      </c>
      <c r="O1325">
        <v>1281</v>
      </c>
      <c r="P1325">
        <v>1108</v>
      </c>
      <c r="Q1325">
        <v>0</v>
      </c>
      <c r="R1325">
        <v>1108</v>
      </c>
    </row>
    <row r="1326" spans="1:18" x14ac:dyDescent="0.3">
      <c r="A1326" s="5">
        <v>45965</v>
      </c>
      <c r="B1326" t="s">
        <v>1926</v>
      </c>
      <c r="C1326">
        <v>21</v>
      </c>
      <c r="D1326">
        <v>36</v>
      </c>
      <c r="E1326" s="1">
        <v>1.4583333333333333</v>
      </c>
      <c r="F1326" t="s">
        <v>1927</v>
      </c>
      <c r="G1326">
        <v>4</v>
      </c>
      <c r="H1326">
        <v>1081.1986999999999</v>
      </c>
      <c r="I1326">
        <v>7</v>
      </c>
      <c r="J1326">
        <v>1163.79</v>
      </c>
      <c r="K1326">
        <v>5.4825867599182097</v>
      </c>
      <c r="L1326">
        <v>1158.8800000000001</v>
      </c>
      <c r="M1326" t="s">
        <v>27</v>
      </c>
      <c r="N1326">
        <v>1</v>
      </c>
      <c r="O1326">
        <v>1330</v>
      </c>
      <c r="P1326">
        <v>1157</v>
      </c>
      <c r="Q1326">
        <v>0</v>
      </c>
      <c r="R1326">
        <v>1157</v>
      </c>
    </row>
    <row r="1327" spans="1:18" x14ac:dyDescent="0.3">
      <c r="A1327" s="5">
        <v>45965</v>
      </c>
      <c r="B1327" t="s">
        <v>1928</v>
      </c>
      <c r="C1327">
        <v>2</v>
      </c>
      <c r="D1327">
        <v>36</v>
      </c>
      <c r="E1327" s="1">
        <v>1.9791666666666665</v>
      </c>
      <c r="F1327" t="s">
        <v>1929</v>
      </c>
      <c r="G1327">
        <v>1</v>
      </c>
      <c r="H1327">
        <v>1081.3107</v>
      </c>
      <c r="I1327">
        <v>8.5</v>
      </c>
      <c r="J1327">
        <v>1163.79</v>
      </c>
      <c r="K1327">
        <v>6.6574267799006801</v>
      </c>
      <c r="L1327">
        <v>1219.83</v>
      </c>
      <c r="M1327" t="s">
        <v>27</v>
      </c>
      <c r="N1327">
        <v>1</v>
      </c>
      <c r="O1327">
        <v>1346</v>
      </c>
      <c r="P1327">
        <v>1173</v>
      </c>
      <c r="Q1327">
        <v>0</v>
      </c>
      <c r="R1327">
        <v>1173</v>
      </c>
    </row>
    <row r="1328" spans="1:18" x14ac:dyDescent="0.3">
      <c r="A1328" s="5">
        <v>45965</v>
      </c>
      <c r="B1328" t="s">
        <v>1930</v>
      </c>
      <c r="C1328">
        <v>8</v>
      </c>
      <c r="D1328">
        <v>36</v>
      </c>
      <c r="E1328" s="1">
        <v>1.9993055555555554</v>
      </c>
      <c r="F1328" t="s">
        <v>1931</v>
      </c>
      <c r="G1328">
        <v>2</v>
      </c>
      <c r="H1328">
        <v>1081.203</v>
      </c>
      <c r="I1328">
        <v>5</v>
      </c>
      <c r="J1328">
        <v>1163.79</v>
      </c>
      <c r="K1328">
        <v>3.9161333999415802</v>
      </c>
      <c r="L1328">
        <v>609.91</v>
      </c>
      <c r="M1328" t="s">
        <v>60</v>
      </c>
      <c r="N1328">
        <v>1</v>
      </c>
      <c r="O1328">
        <v>1308</v>
      </c>
      <c r="P1328">
        <v>1135</v>
      </c>
      <c r="Q1328">
        <v>0.5</v>
      </c>
      <c r="R1328">
        <v>567.5</v>
      </c>
    </row>
    <row r="1329" spans="1:18" x14ac:dyDescent="0.3">
      <c r="A1329" s="5">
        <v>45965</v>
      </c>
      <c r="B1329" t="s">
        <v>1932</v>
      </c>
      <c r="C1329">
        <v>14</v>
      </c>
      <c r="D1329">
        <v>36</v>
      </c>
      <c r="E1329" s="1">
        <v>1.9993055555555554</v>
      </c>
      <c r="F1329" t="s">
        <v>1933</v>
      </c>
      <c r="G1329">
        <v>1</v>
      </c>
      <c r="H1329">
        <v>1081.0948000000001</v>
      </c>
      <c r="I1329">
        <v>8.5</v>
      </c>
      <c r="J1329">
        <v>1163.79</v>
      </c>
      <c r="K1329">
        <v>6.6574267799006801</v>
      </c>
      <c r="L1329">
        <v>1219.83</v>
      </c>
      <c r="M1329" t="s">
        <v>27</v>
      </c>
      <c r="N1329">
        <v>1</v>
      </c>
      <c r="O1329">
        <v>1346</v>
      </c>
      <c r="P1329">
        <v>1173</v>
      </c>
      <c r="Q1329">
        <v>0</v>
      </c>
      <c r="R1329">
        <v>1173</v>
      </c>
    </row>
    <row r="1330" spans="1:18" x14ac:dyDescent="0.3">
      <c r="A1330" s="5">
        <v>45965</v>
      </c>
      <c r="B1330" t="s">
        <v>1934</v>
      </c>
      <c r="C1330">
        <v>25</v>
      </c>
      <c r="D1330">
        <v>36</v>
      </c>
      <c r="E1330" s="1">
        <v>1.9791666666666665</v>
      </c>
      <c r="F1330" t="s">
        <v>1935</v>
      </c>
      <c r="G1330">
        <v>1</v>
      </c>
      <c r="H1330">
        <v>1080.7786000000001</v>
      </c>
      <c r="I1330">
        <v>8.5</v>
      </c>
      <c r="J1330">
        <v>1163.79</v>
      </c>
      <c r="K1330">
        <v>6.6574267799006801</v>
      </c>
      <c r="L1330">
        <v>1219.83</v>
      </c>
      <c r="M1330" t="s">
        <v>27</v>
      </c>
      <c r="N1330">
        <v>1</v>
      </c>
      <c r="O1330">
        <v>1346</v>
      </c>
      <c r="P1330">
        <v>1173</v>
      </c>
      <c r="Q1330">
        <v>0</v>
      </c>
      <c r="R1330">
        <v>1173</v>
      </c>
    </row>
    <row r="1331" spans="1:18" x14ac:dyDescent="0.3">
      <c r="A1331" s="5">
        <v>45965</v>
      </c>
      <c r="B1331" t="s">
        <v>1936</v>
      </c>
      <c r="C1331">
        <v>3</v>
      </c>
      <c r="D1331">
        <v>36</v>
      </c>
      <c r="E1331" s="1">
        <v>1.9791666666666665</v>
      </c>
      <c r="F1331" t="s">
        <v>1937</v>
      </c>
      <c r="G1331">
        <v>1</v>
      </c>
      <c r="H1331">
        <v>1081.2927999999999</v>
      </c>
      <c r="I1331">
        <v>8.5</v>
      </c>
      <c r="J1331">
        <v>1163.79</v>
      </c>
      <c r="K1331">
        <v>6.6574267799006801</v>
      </c>
      <c r="L1331">
        <v>1219.83</v>
      </c>
      <c r="M1331" t="s">
        <v>27</v>
      </c>
      <c r="N1331">
        <v>1</v>
      </c>
      <c r="O1331">
        <v>1346</v>
      </c>
      <c r="P1331">
        <v>1173</v>
      </c>
      <c r="Q1331">
        <v>0</v>
      </c>
      <c r="R1331">
        <v>1173</v>
      </c>
    </row>
    <row r="1332" spans="1:18" x14ac:dyDescent="0.3">
      <c r="A1332" s="5">
        <v>45965</v>
      </c>
      <c r="B1332" t="s">
        <v>1938</v>
      </c>
      <c r="C1332">
        <v>4</v>
      </c>
      <c r="D1332">
        <v>36</v>
      </c>
      <c r="E1332" s="1">
        <v>1.0833333333333333</v>
      </c>
      <c r="F1332" t="s">
        <v>1939</v>
      </c>
      <c r="G1332">
        <v>4</v>
      </c>
      <c r="H1332">
        <v>1081.3629000000001</v>
      </c>
      <c r="I1332">
        <v>7</v>
      </c>
      <c r="J1332">
        <v>1163.79</v>
      </c>
      <c r="K1332">
        <v>5.4825867599182097</v>
      </c>
      <c r="L1332">
        <v>1219.83</v>
      </c>
      <c r="M1332" t="s">
        <v>27</v>
      </c>
      <c r="N1332">
        <v>1</v>
      </c>
      <c r="O1332">
        <v>1330</v>
      </c>
      <c r="P1332">
        <v>1157</v>
      </c>
      <c r="Q1332">
        <v>0</v>
      </c>
      <c r="R1332">
        <v>1157</v>
      </c>
    </row>
    <row r="1333" spans="1:18" x14ac:dyDescent="0.3">
      <c r="A1333" s="5">
        <v>45965</v>
      </c>
      <c r="B1333" t="s">
        <v>1940</v>
      </c>
      <c r="C1333">
        <v>10</v>
      </c>
      <c r="D1333">
        <v>36</v>
      </c>
      <c r="E1333" s="1">
        <v>1.4583333333333333</v>
      </c>
      <c r="F1333" t="s">
        <v>1941</v>
      </c>
      <c r="G1333">
        <v>0</v>
      </c>
      <c r="H1333">
        <v>1081.3956000000001</v>
      </c>
      <c r="I1333">
        <v>2.5</v>
      </c>
      <c r="J1333">
        <v>1163.79</v>
      </c>
      <c r="K1333">
        <v>1.9580666999707901</v>
      </c>
      <c r="L1333">
        <v>1158.8800000000001</v>
      </c>
      <c r="M1333" t="s">
        <v>27</v>
      </c>
      <c r="N1333">
        <v>1</v>
      </c>
      <c r="O1333">
        <v>1281</v>
      </c>
      <c r="P1333">
        <v>1108</v>
      </c>
      <c r="Q1333">
        <v>0</v>
      </c>
      <c r="R1333">
        <v>1108</v>
      </c>
    </row>
    <row r="1334" spans="1:18" x14ac:dyDescent="0.3">
      <c r="A1334" s="5">
        <v>45965</v>
      </c>
      <c r="B1334" t="s">
        <v>1942</v>
      </c>
      <c r="C1334">
        <v>23</v>
      </c>
      <c r="D1334">
        <v>36</v>
      </c>
      <c r="E1334" s="1">
        <v>1.9791666666666665</v>
      </c>
      <c r="F1334" t="s">
        <v>1943</v>
      </c>
      <c r="G1334">
        <v>1</v>
      </c>
      <c r="H1334">
        <v>1080.8141000000001</v>
      </c>
      <c r="I1334">
        <v>8.5</v>
      </c>
      <c r="J1334">
        <v>1163.79</v>
      </c>
      <c r="K1334">
        <v>6.6574267799006801</v>
      </c>
      <c r="L1334">
        <v>1219.83</v>
      </c>
      <c r="M1334" t="s">
        <v>27</v>
      </c>
      <c r="N1334">
        <v>1</v>
      </c>
      <c r="O1334">
        <v>1346</v>
      </c>
      <c r="P1334">
        <v>1173</v>
      </c>
      <c r="Q1334">
        <v>0</v>
      </c>
      <c r="R1334">
        <v>1173</v>
      </c>
    </row>
    <row r="1335" spans="1:18" x14ac:dyDescent="0.3">
      <c r="A1335" s="5">
        <v>45965</v>
      </c>
      <c r="B1335" t="s">
        <v>1944</v>
      </c>
      <c r="C1335">
        <v>33</v>
      </c>
      <c r="D1335">
        <v>36</v>
      </c>
      <c r="E1335" s="1">
        <v>1.9791666666666665</v>
      </c>
      <c r="F1335" t="s">
        <v>1945</v>
      </c>
      <c r="G1335">
        <v>1</v>
      </c>
      <c r="H1335">
        <v>1080.6342</v>
      </c>
      <c r="I1335">
        <v>8.5</v>
      </c>
      <c r="J1335">
        <v>1163.79</v>
      </c>
      <c r="K1335">
        <v>6.6574267799006801</v>
      </c>
      <c r="L1335">
        <v>1219.83</v>
      </c>
      <c r="M1335" t="s">
        <v>27</v>
      </c>
      <c r="N1335">
        <v>1</v>
      </c>
      <c r="O1335">
        <v>1345</v>
      </c>
      <c r="P1335">
        <v>1172</v>
      </c>
      <c r="Q1335">
        <v>0</v>
      </c>
      <c r="R1335">
        <v>1172</v>
      </c>
    </row>
    <row r="1336" spans="1:18" x14ac:dyDescent="0.3">
      <c r="A1336" s="5">
        <v>45965</v>
      </c>
      <c r="B1336" t="s">
        <v>1946</v>
      </c>
      <c r="C1336">
        <v>34</v>
      </c>
      <c r="D1336">
        <v>36</v>
      </c>
      <c r="E1336" s="1">
        <v>1.9791666666666665</v>
      </c>
      <c r="F1336" t="s">
        <v>1947</v>
      </c>
      <c r="G1336">
        <v>1</v>
      </c>
      <c r="H1336">
        <v>1080.616</v>
      </c>
      <c r="I1336">
        <v>8.5</v>
      </c>
      <c r="J1336">
        <v>1163.79</v>
      </c>
      <c r="K1336">
        <v>6.6574267799006801</v>
      </c>
      <c r="L1336">
        <v>1219.83</v>
      </c>
      <c r="M1336" t="s">
        <v>27</v>
      </c>
      <c r="N1336">
        <v>1</v>
      </c>
      <c r="O1336">
        <v>1345</v>
      </c>
      <c r="P1336">
        <v>1172</v>
      </c>
      <c r="Q1336">
        <v>0</v>
      </c>
      <c r="R1336">
        <v>1172</v>
      </c>
    </row>
    <row r="1337" spans="1:18" x14ac:dyDescent="0.3">
      <c r="A1337" s="5">
        <v>45965</v>
      </c>
      <c r="B1337" t="s">
        <v>1948</v>
      </c>
      <c r="C1337">
        <v>12</v>
      </c>
      <c r="D1337">
        <v>36</v>
      </c>
      <c r="E1337" s="1">
        <v>1.9791666666666665</v>
      </c>
      <c r="F1337" t="s">
        <v>1949</v>
      </c>
      <c r="G1337">
        <v>1</v>
      </c>
      <c r="H1337">
        <v>1081.1304</v>
      </c>
      <c r="I1337">
        <v>8.5</v>
      </c>
      <c r="J1337">
        <v>1163.79</v>
      </c>
      <c r="K1337">
        <v>6.6574267799006801</v>
      </c>
      <c r="L1337">
        <v>1219.83</v>
      </c>
      <c r="M1337" t="s">
        <v>27</v>
      </c>
      <c r="N1337">
        <v>1</v>
      </c>
      <c r="O1337">
        <v>1346</v>
      </c>
      <c r="P1337">
        <v>1173</v>
      </c>
      <c r="Q1337">
        <v>0</v>
      </c>
      <c r="R1337">
        <v>1173</v>
      </c>
    </row>
    <row r="1338" spans="1:18" x14ac:dyDescent="0.3">
      <c r="A1338" s="5">
        <v>45965</v>
      </c>
      <c r="B1338" t="s">
        <v>1950</v>
      </c>
      <c r="C1338">
        <v>16</v>
      </c>
      <c r="D1338">
        <v>36</v>
      </c>
      <c r="E1338" s="1">
        <v>1.0833333333333333</v>
      </c>
      <c r="F1338" t="s">
        <v>1951</v>
      </c>
      <c r="G1338">
        <v>0</v>
      </c>
      <c r="H1338">
        <v>1081.2920999999999</v>
      </c>
      <c r="I1338">
        <v>2.5</v>
      </c>
      <c r="J1338">
        <v>1163.79</v>
      </c>
      <c r="K1338">
        <v>1.9580666999707901</v>
      </c>
      <c r="L1338">
        <v>1158.8800000000001</v>
      </c>
      <c r="M1338" t="s">
        <v>27</v>
      </c>
      <c r="N1338">
        <v>1</v>
      </c>
      <c r="O1338">
        <v>1281</v>
      </c>
      <c r="P1338">
        <v>1108</v>
      </c>
      <c r="Q1338">
        <v>0</v>
      </c>
      <c r="R1338">
        <v>1108</v>
      </c>
    </row>
    <row r="1339" spans="1:18" x14ac:dyDescent="0.3">
      <c r="A1339" s="5">
        <v>45965</v>
      </c>
      <c r="B1339" t="s">
        <v>1952</v>
      </c>
      <c r="C1339">
        <v>34</v>
      </c>
      <c r="D1339">
        <v>36</v>
      </c>
      <c r="E1339" s="1">
        <v>1.9993055555555554</v>
      </c>
      <c r="F1339" t="s">
        <v>1953</v>
      </c>
      <c r="G1339">
        <v>1</v>
      </c>
      <c r="H1339">
        <v>1080.616</v>
      </c>
      <c r="I1339">
        <v>8.5</v>
      </c>
      <c r="J1339">
        <v>1163.79</v>
      </c>
      <c r="K1339">
        <v>6.6574267799006801</v>
      </c>
      <c r="L1339">
        <v>1219.83</v>
      </c>
      <c r="M1339" t="s">
        <v>27</v>
      </c>
      <c r="N1339">
        <v>1</v>
      </c>
      <c r="O1339">
        <v>1345</v>
      </c>
      <c r="P1339">
        <v>1172</v>
      </c>
      <c r="Q1339">
        <v>0</v>
      </c>
      <c r="R1339">
        <v>1172</v>
      </c>
    </row>
    <row r="1340" spans="1:18" x14ac:dyDescent="0.3">
      <c r="A1340" s="5">
        <v>45966</v>
      </c>
      <c r="B1340" t="s">
        <v>1954</v>
      </c>
      <c r="C1340">
        <v>33</v>
      </c>
      <c r="D1340">
        <v>36</v>
      </c>
      <c r="E1340" s="1">
        <v>1.0833333333333333</v>
      </c>
      <c r="F1340" t="s">
        <v>1955</v>
      </c>
      <c r="G1340">
        <v>4</v>
      </c>
      <c r="H1340">
        <v>1080.8407999999999</v>
      </c>
      <c r="I1340">
        <v>7</v>
      </c>
      <c r="J1340">
        <v>1163.79</v>
      </c>
      <c r="K1340">
        <v>5.4825867599182097</v>
      </c>
      <c r="L1340">
        <v>1219.83</v>
      </c>
      <c r="M1340" t="s">
        <v>27</v>
      </c>
      <c r="N1340">
        <v>1</v>
      </c>
      <c r="O1340">
        <v>1329</v>
      </c>
      <c r="P1340">
        <v>1156</v>
      </c>
      <c r="Q1340">
        <v>0</v>
      </c>
      <c r="R1340">
        <v>1156</v>
      </c>
    </row>
    <row r="1341" spans="1:18" x14ac:dyDescent="0.3">
      <c r="A1341" s="5">
        <v>45966</v>
      </c>
      <c r="B1341" t="s">
        <v>1956</v>
      </c>
      <c r="C1341">
        <v>34</v>
      </c>
      <c r="D1341">
        <v>36</v>
      </c>
      <c r="E1341" s="1">
        <v>1.0833333333333333</v>
      </c>
      <c r="F1341" t="s">
        <v>1957</v>
      </c>
      <c r="G1341">
        <v>4</v>
      </c>
      <c r="H1341">
        <v>1080.8230000000001</v>
      </c>
      <c r="I1341">
        <v>7</v>
      </c>
      <c r="J1341">
        <v>1163.79</v>
      </c>
      <c r="K1341">
        <v>5.4825867599182097</v>
      </c>
      <c r="L1341">
        <v>1219.83</v>
      </c>
      <c r="M1341" t="s">
        <v>27</v>
      </c>
      <c r="N1341">
        <v>1</v>
      </c>
      <c r="O1341">
        <v>1329</v>
      </c>
      <c r="P1341">
        <v>1156</v>
      </c>
      <c r="Q1341">
        <v>0</v>
      </c>
      <c r="R1341">
        <v>1156</v>
      </c>
    </row>
    <row r="1342" spans="1:18" x14ac:dyDescent="0.3">
      <c r="A1342" s="5">
        <v>45966</v>
      </c>
      <c r="B1342" t="s">
        <v>1958</v>
      </c>
      <c r="C1342">
        <v>19</v>
      </c>
      <c r="D1342">
        <v>36</v>
      </c>
      <c r="E1342" s="1">
        <v>1.0833333333333333</v>
      </c>
      <c r="F1342" t="s">
        <v>1959</v>
      </c>
      <c r="G1342">
        <v>2</v>
      </c>
      <c r="H1342">
        <v>1081.2244000000001</v>
      </c>
      <c r="I1342">
        <v>5</v>
      </c>
      <c r="J1342">
        <v>1163.79</v>
      </c>
      <c r="K1342">
        <v>3.9161333999415802</v>
      </c>
      <c r="L1342">
        <v>609.91</v>
      </c>
      <c r="M1342" t="s">
        <v>60</v>
      </c>
      <c r="N1342">
        <v>1</v>
      </c>
      <c r="O1342">
        <v>1308</v>
      </c>
      <c r="P1342">
        <v>1135</v>
      </c>
      <c r="Q1342">
        <v>0.5</v>
      </c>
      <c r="R1342">
        <v>567.5</v>
      </c>
    </row>
    <row r="1343" spans="1:18" x14ac:dyDescent="0.3">
      <c r="A1343" s="5">
        <v>45966</v>
      </c>
      <c r="B1343" t="s">
        <v>1960</v>
      </c>
      <c r="C1343">
        <v>20</v>
      </c>
      <c r="D1343">
        <v>36</v>
      </c>
      <c r="E1343" s="1">
        <v>1.0833333333333333</v>
      </c>
      <c r="F1343" t="s">
        <v>1961</v>
      </c>
      <c r="G1343">
        <v>2</v>
      </c>
      <c r="H1343">
        <v>1081.2064</v>
      </c>
      <c r="I1343">
        <v>5</v>
      </c>
      <c r="J1343">
        <v>1163.79</v>
      </c>
      <c r="K1343">
        <v>3.9161333999415802</v>
      </c>
      <c r="L1343">
        <v>609.91</v>
      </c>
      <c r="M1343" t="s">
        <v>60</v>
      </c>
      <c r="N1343">
        <v>1</v>
      </c>
      <c r="O1343">
        <v>1308</v>
      </c>
      <c r="P1343">
        <v>1135</v>
      </c>
      <c r="Q1343">
        <v>0.5</v>
      </c>
      <c r="R1343">
        <v>567.5</v>
      </c>
    </row>
    <row r="1344" spans="1:18" x14ac:dyDescent="0.3">
      <c r="A1344" s="5">
        <v>45966</v>
      </c>
      <c r="B1344" t="s">
        <v>1962</v>
      </c>
      <c r="C1344">
        <v>7</v>
      </c>
      <c r="D1344">
        <v>36</v>
      </c>
      <c r="E1344" s="1">
        <v>1.0833333333333333</v>
      </c>
      <c r="F1344" t="s">
        <v>1963</v>
      </c>
      <c r="G1344">
        <v>4</v>
      </c>
      <c r="H1344">
        <v>1081.44</v>
      </c>
      <c r="I1344">
        <v>7</v>
      </c>
      <c r="J1344">
        <v>1163.79</v>
      </c>
      <c r="K1344">
        <v>5.4825867599182097</v>
      </c>
      <c r="L1344">
        <v>1219.83</v>
      </c>
      <c r="M1344" t="s">
        <v>27</v>
      </c>
      <c r="N1344">
        <v>1</v>
      </c>
      <c r="O1344">
        <v>1330</v>
      </c>
      <c r="P1344">
        <v>1157</v>
      </c>
      <c r="Q1344">
        <v>0</v>
      </c>
      <c r="R1344">
        <v>1157</v>
      </c>
    </row>
    <row r="1345" spans="1:18" x14ac:dyDescent="0.3">
      <c r="A1345" s="5">
        <v>45966</v>
      </c>
      <c r="B1345" t="s">
        <v>1964</v>
      </c>
      <c r="C1345">
        <v>13</v>
      </c>
      <c r="D1345">
        <v>36</v>
      </c>
      <c r="E1345" s="1">
        <v>1.0833333333333333</v>
      </c>
      <c r="F1345" t="s">
        <v>1965</v>
      </c>
      <c r="G1345">
        <v>5</v>
      </c>
      <c r="H1345">
        <v>1081.3453</v>
      </c>
      <c r="I1345">
        <v>0</v>
      </c>
      <c r="J1345">
        <v>1163.79</v>
      </c>
      <c r="K1345">
        <v>0</v>
      </c>
      <c r="L1345">
        <v>1158.8800000000001</v>
      </c>
      <c r="M1345" t="s">
        <v>27</v>
      </c>
      <c r="N1345">
        <v>1</v>
      </c>
      <c r="O1345">
        <v>1254</v>
      </c>
      <c r="P1345">
        <v>1081</v>
      </c>
      <c r="Q1345">
        <v>0</v>
      </c>
      <c r="R1345">
        <v>1081</v>
      </c>
    </row>
    <row r="1346" spans="1:18" x14ac:dyDescent="0.3">
      <c r="A1346" s="5">
        <v>45966</v>
      </c>
      <c r="B1346" t="s">
        <v>1966</v>
      </c>
      <c r="C1346">
        <v>21</v>
      </c>
      <c r="D1346">
        <v>36</v>
      </c>
      <c r="E1346" s="1">
        <v>1.0833333333333333</v>
      </c>
      <c r="F1346" t="s">
        <v>1967</v>
      </c>
      <c r="G1346">
        <v>5</v>
      </c>
      <c r="H1346">
        <v>1081.2008000000001</v>
      </c>
      <c r="I1346">
        <v>0</v>
      </c>
      <c r="J1346">
        <v>1163.79</v>
      </c>
      <c r="K1346">
        <v>0</v>
      </c>
      <c r="L1346">
        <v>1158.8800000000001</v>
      </c>
      <c r="M1346" t="s">
        <v>27</v>
      </c>
      <c r="N1346">
        <v>1</v>
      </c>
      <c r="O1346">
        <v>1254</v>
      </c>
      <c r="P1346">
        <v>1081</v>
      </c>
      <c r="Q1346">
        <v>0</v>
      </c>
      <c r="R1346">
        <v>1081</v>
      </c>
    </row>
    <row r="1347" spans="1:18" x14ac:dyDescent="0.3">
      <c r="A1347" s="5">
        <v>45966</v>
      </c>
      <c r="B1347" t="s">
        <v>1968</v>
      </c>
      <c r="C1347">
        <v>33</v>
      </c>
      <c r="D1347">
        <v>36</v>
      </c>
      <c r="E1347" s="1">
        <v>1.9791666666666665</v>
      </c>
      <c r="F1347" t="s">
        <v>1969</v>
      </c>
      <c r="G1347">
        <v>0</v>
      </c>
      <c r="H1347">
        <v>1080.6713999999999</v>
      </c>
      <c r="I1347">
        <v>2.5</v>
      </c>
      <c r="J1347">
        <v>1163.79</v>
      </c>
      <c r="K1347">
        <v>1.9580666999707901</v>
      </c>
      <c r="L1347">
        <v>1158.8800000000001</v>
      </c>
      <c r="M1347" t="s">
        <v>27</v>
      </c>
      <c r="N1347">
        <v>1</v>
      </c>
      <c r="O1347">
        <v>1281</v>
      </c>
      <c r="P1347">
        <v>1108</v>
      </c>
      <c r="Q1347">
        <v>0</v>
      </c>
      <c r="R1347">
        <v>1108</v>
      </c>
    </row>
    <row r="1348" spans="1:18" x14ac:dyDescent="0.3">
      <c r="A1348" s="5">
        <v>45966</v>
      </c>
      <c r="B1348" t="s">
        <v>1970</v>
      </c>
      <c r="C1348">
        <v>34</v>
      </c>
      <c r="D1348">
        <v>36</v>
      </c>
      <c r="E1348" s="1">
        <v>1.9791666666666665</v>
      </c>
      <c r="F1348" t="s">
        <v>1969</v>
      </c>
      <c r="G1348">
        <v>0</v>
      </c>
      <c r="H1348">
        <v>1080.6533999999999</v>
      </c>
      <c r="I1348">
        <v>2.5</v>
      </c>
      <c r="J1348">
        <v>1163.79</v>
      </c>
      <c r="K1348">
        <v>1.9580666999707901</v>
      </c>
      <c r="L1348">
        <v>609.91</v>
      </c>
      <c r="M1348" t="s">
        <v>60</v>
      </c>
      <c r="N1348">
        <v>1</v>
      </c>
      <c r="O1348">
        <v>1281</v>
      </c>
      <c r="P1348">
        <v>1108</v>
      </c>
      <c r="Q1348">
        <v>0.5</v>
      </c>
      <c r="R1348">
        <v>554</v>
      </c>
    </row>
    <row r="1349" spans="1:18" x14ac:dyDescent="0.3">
      <c r="A1349" s="5">
        <v>45966</v>
      </c>
      <c r="B1349" t="s">
        <v>1971</v>
      </c>
      <c r="C1349">
        <v>13</v>
      </c>
      <c r="D1349">
        <v>35</v>
      </c>
      <c r="E1349" s="1">
        <v>1.25</v>
      </c>
      <c r="F1349" t="s">
        <v>1972</v>
      </c>
      <c r="G1349">
        <v>1</v>
      </c>
      <c r="H1349">
        <v>1081.3278</v>
      </c>
      <c r="I1349">
        <v>8.5</v>
      </c>
      <c r="J1349">
        <v>1163.79</v>
      </c>
      <c r="K1349">
        <v>6.6574267799006801</v>
      </c>
      <c r="L1349">
        <v>1219.83</v>
      </c>
      <c r="M1349" t="s">
        <v>27</v>
      </c>
      <c r="N1349">
        <v>1</v>
      </c>
      <c r="O1349">
        <v>1346</v>
      </c>
      <c r="P1349">
        <v>1173</v>
      </c>
      <c r="Q1349">
        <v>0</v>
      </c>
      <c r="R1349">
        <v>1173</v>
      </c>
    </row>
    <row r="1350" spans="1:18" x14ac:dyDescent="0.3">
      <c r="A1350" s="5">
        <v>45966</v>
      </c>
      <c r="B1350" t="s">
        <v>1973</v>
      </c>
      <c r="C1350">
        <v>5</v>
      </c>
      <c r="D1350">
        <v>35</v>
      </c>
      <c r="E1350" s="1">
        <v>1.25</v>
      </c>
      <c r="F1350" t="s">
        <v>1974</v>
      </c>
      <c r="G1350">
        <v>3</v>
      </c>
      <c r="H1350">
        <v>1081.4708000000001</v>
      </c>
      <c r="I1350">
        <v>10</v>
      </c>
      <c r="J1350">
        <v>1163.79</v>
      </c>
      <c r="K1350">
        <v>7.8322667998831603</v>
      </c>
      <c r="L1350">
        <v>609.91</v>
      </c>
      <c r="M1350" t="s">
        <v>20</v>
      </c>
      <c r="N1350">
        <v>1</v>
      </c>
      <c r="O1350">
        <v>1363</v>
      </c>
      <c r="P1350">
        <v>1190</v>
      </c>
      <c r="Q1350">
        <v>0.5</v>
      </c>
      <c r="R1350">
        <v>595</v>
      </c>
    </row>
    <row r="1351" spans="1:18" x14ac:dyDescent="0.3">
      <c r="A1351" s="5">
        <v>45966</v>
      </c>
      <c r="B1351" t="s">
        <v>1975</v>
      </c>
      <c r="C1351">
        <v>6</v>
      </c>
      <c r="D1351">
        <v>35</v>
      </c>
      <c r="E1351" s="1">
        <v>1.25</v>
      </c>
      <c r="F1351" t="s">
        <v>1976</v>
      </c>
      <c r="G1351">
        <v>1</v>
      </c>
      <c r="H1351">
        <v>1081.4528</v>
      </c>
      <c r="I1351">
        <v>8.5</v>
      </c>
      <c r="J1351">
        <v>1163.79</v>
      </c>
      <c r="K1351">
        <v>6.6574267799006801</v>
      </c>
      <c r="L1351">
        <v>1219.83</v>
      </c>
      <c r="M1351" t="s">
        <v>27</v>
      </c>
      <c r="N1351">
        <v>1</v>
      </c>
      <c r="O1351">
        <v>1346</v>
      </c>
      <c r="P1351">
        <v>1173</v>
      </c>
      <c r="Q1351">
        <v>0</v>
      </c>
      <c r="R1351">
        <v>1173</v>
      </c>
    </row>
    <row r="1352" spans="1:18" x14ac:dyDescent="0.3">
      <c r="A1352" s="5">
        <v>45966</v>
      </c>
      <c r="B1352" t="s">
        <v>1977</v>
      </c>
      <c r="C1352">
        <v>8</v>
      </c>
      <c r="D1352">
        <v>35</v>
      </c>
      <c r="E1352" s="1">
        <v>1.25</v>
      </c>
      <c r="F1352" t="s">
        <v>1978</v>
      </c>
      <c r="G1352">
        <v>1</v>
      </c>
      <c r="H1352">
        <v>1081.4170999999999</v>
      </c>
      <c r="I1352">
        <v>8.5</v>
      </c>
      <c r="J1352">
        <v>1163.79</v>
      </c>
      <c r="K1352">
        <v>6.6574267799006801</v>
      </c>
      <c r="L1352">
        <v>1219.83</v>
      </c>
      <c r="M1352" t="s">
        <v>27</v>
      </c>
      <c r="N1352">
        <v>1</v>
      </c>
      <c r="O1352">
        <v>1346</v>
      </c>
      <c r="P1352">
        <v>1173</v>
      </c>
      <c r="Q1352">
        <v>0</v>
      </c>
      <c r="R1352">
        <v>1173</v>
      </c>
    </row>
    <row r="1353" spans="1:18" x14ac:dyDescent="0.3">
      <c r="A1353" s="5">
        <v>45966</v>
      </c>
      <c r="B1353" t="s">
        <v>1979</v>
      </c>
      <c r="C1353">
        <v>9</v>
      </c>
      <c r="D1353">
        <v>35</v>
      </c>
      <c r="E1353" s="1">
        <v>1.25</v>
      </c>
      <c r="F1353" t="s">
        <v>1980</v>
      </c>
      <c r="G1353">
        <v>1</v>
      </c>
      <c r="H1353">
        <v>1081.3989999999999</v>
      </c>
      <c r="I1353">
        <v>8.5</v>
      </c>
      <c r="J1353">
        <v>1163.79</v>
      </c>
      <c r="K1353">
        <v>6.6574267799006801</v>
      </c>
      <c r="L1353">
        <v>1219.83</v>
      </c>
      <c r="M1353" t="s">
        <v>27</v>
      </c>
      <c r="N1353">
        <v>1</v>
      </c>
      <c r="O1353">
        <v>1346</v>
      </c>
      <c r="P1353">
        <v>1173</v>
      </c>
      <c r="Q1353">
        <v>0</v>
      </c>
      <c r="R1353">
        <v>1173</v>
      </c>
    </row>
    <row r="1354" spans="1:18" x14ac:dyDescent="0.3">
      <c r="A1354" s="5">
        <v>45966</v>
      </c>
      <c r="B1354" t="s">
        <v>1981</v>
      </c>
      <c r="C1354">
        <v>24</v>
      </c>
      <c r="D1354">
        <v>35</v>
      </c>
      <c r="E1354" s="1">
        <v>1.25</v>
      </c>
      <c r="F1354" t="s">
        <v>1982</v>
      </c>
      <c r="G1354">
        <v>3</v>
      </c>
      <c r="H1354">
        <v>1080.9999</v>
      </c>
      <c r="I1354">
        <v>10</v>
      </c>
      <c r="J1354">
        <v>1163.79</v>
      </c>
      <c r="K1354">
        <v>7.8322667998831603</v>
      </c>
      <c r="L1354">
        <v>609.91</v>
      </c>
      <c r="M1354" t="s">
        <v>20</v>
      </c>
      <c r="N1354">
        <v>1</v>
      </c>
      <c r="O1354">
        <v>1362</v>
      </c>
      <c r="P1354">
        <v>1189</v>
      </c>
      <c r="Q1354">
        <v>0.5</v>
      </c>
      <c r="R1354">
        <v>594.5</v>
      </c>
    </row>
    <row r="1355" spans="1:18" x14ac:dyDescent="0.3">
      <c r="A1355" s="5">
        <v>45966</v>
      </c>
      <c r="B1355" t="s">
        <v>1983</v>
      </c>
      <c r="C1355">
        <v>18</v>
      </c>
      <c r="D1355">
        <v>36</v>
      </c>
      <c r="E1355" s="1">
        <v>1.0833333333333333</v>
      </c>
      <c r="F1355" t="s">
        <v>1984</v>
      </c>
      <c r="G1355">
        <v>2</v>
      </c>
      <c r="H1355">
        <v>1081.3003000000001</v>
      </c>
      <c r="I1355">
        <v>5</v>
      </c>
      <c r="J1355">
        <v>1163.79</v>
      </c>
      <c r="K1355">
        <v>3.9161333999415802</v>
      </c>
      <c r="L1355">
        <v>609.91</v>
      </c>
      <c r="M1355" t="s">
        <v>60</v>
      </c>
      <c r="N1355">
        <v>1</v>
      </c>
      <c r="O1355">
        <v>1308</v>
      </c>
      <c r="P1355">
        <v>1135</v>
      </c>
      <c r="Q1355">
        <v>0.5</v>
      </c>
      <c r="R1355">
        <v>567.5</v>
      </c>
    </row>
    <row r="1356" spans="1:18" x14ac:dyDescent="0.3">
      <c r="A1356" s="5">
        <v>45966</v>
      </c>
      <c r="B1356" t="s">
        <v>1985</v>
      </c>
      <c r="C1356">
        <v>20</v>
      </c>
      <c r="D1356">
        <v>36</v>
      </c>
      <c r="E1356" s="1">
        <v>1.4583333333333333</v>
      </c>
      <c r="F1356" t="s">
        <v>1020</v>
      </c>
      <c r="G1356">
        <v>5</v>
      </c>
      <c r="H1356">
        <v>1081.2080000000001</v>
      </c>
      <c r="I1356">
        <v>0</v>
      </c>
      <c r="J1356">
        <v>1163.79</v>
      </c>
      <c r="K1356">
        <v>0</v>
      </c>
      <c r="L1356">
        <v>1158.8800000000001</v>
      </c>
      <c r="M1356" t="s">
        <v>27</v>
      </c>
      <c r="N1356">
        <v>1</v>
      </c>
      <c r="O1356">
        <v>1254</v>
      </c>
      <c r="P1356">
        <v>1081</v>
      </c>
      <c r="Q1356">
        <v>0</v>
      </c>
      <c r="R1356">
        <v>1081</v>
      </c>
    </row>
    <row r="1357" spans="1:18" x14ac:dyDescent="0.3">
      <c r="A1357" s="5">
        <v>45966</v>
      </c>
      <c r="B1357" t="s">
        <v>1985</v>
      </c>
      <c r="C1357">
        <v>20</v>
      </c>
      <c r="D1357">
        <v>36</v>
      </c>
      <c r="E1357" s="1">
        <v>1.4583333333333333</v>
      </c>
      <c r="F1357" t="s">
        <v>1020</v>
      </c>
      <c r="G1357">
        <v>5</v>
      </c>
      <c r="H1357">
        <v>1081.2080000000001</v>
      </c>
      <c r="I1357">
        <v>0</v>
      </c>
      <c r="J1357">
        <v>1163.79</v>
      </c>
      <c r="K1357">
        <v>0</v>
      </c>
      <c r="L1357">
        <v>1158.8800000000001</v>
      </c>
      <c r="M1357" t="s">
        <v>27</v>
      </c>
      <c r="N1357">
        <v>1</v>
      </c>
      <c r="O1357">
        <v>1254</v>
      </c>
      <c r="P1357">
        <v>1081</v>
      </c>
      <c r="Q1357">
        <v>0</v>
      </c>
      <c r="R1357">
        <v>1081</v>
      </c>
    </row>
    <row r="1358" spans="1:18" x14ac:dyDescent="0.3">
      <c r="A1358" s="5">
        <v>45966</v>
      </c>
      <c r="B1358" t="s">
        <v>1986</v>
      </c>
      <c r="C1358">
        <v>19</v>
      </c>
      <c r="D1358">
        <v>36</v>
      </c>
      <c r="E1358" s="1">
        <v>1.4583333333333333</v>
      </c>
      <c r="F1358" t="s">
        <v>1020</v>
      </c>
      <c r="G1358">
        <v>5</v>
      </c>
      <c r="H1358">
        <v>1081.2260000000001</v>
      </c>
      <c r="I1358">
        <v>0</v>
      </c>
      <c r="J1358">
        <v>1163.79</v>
      </c>
      <c r="K1358">
        <v>0</v>
      </c>
      <c r="L1358">
        <v>1158.8800000000001</v>
      </c>
      <c r="M1358" t="s">
        <v>27</v>
      </c>
      <c r="N1358">
        <v>1</v>
      </c>
      <c r="O1358">
        <v>1254</v>
      </c>
      <c r="P1358">
        <v>1081</v>
      </c>
      <c r="Q1358">
        <v>0</v>
      </c>
      <c r="R1358">
        <v>1081</v>
      </c>
    </row>
    <row r="1359" spans="1:18" x14ac:dyDescent="0.3">
      <c r="A1359" s="5">
        <v>45966</v>
      </c>
      <c r="B1359" t="s">
        <v>1986</v>
      </c>
      <c r="C1359">
        <v>19</v>
      </c>
      <c r="D1359">
        <v>36</v>
      </c>
      <c r="E1359" s="1">
        <v>1.4583333333333333</v>
      </c>
      <c r="F1359" t="s">
        <v>1020</v>
      </c>
      <c r="G1359">
        <v>5</v>
      </c>
      <c r="H1359">
        <v>1081.2260000000001</v>
      </c>
      <c r="I1359">
        <v>0</v>
      </c>
      <c r="J1359">
        <v>1163.79</v>
      </c>
      <c r="K1359">
        <v>0</v>
      </c>
      <c r="L1359">
        <v>1158.8800000000001</v>
      </c>
      <c r="M1359" t="s">
        <v>27</v>
      </c>
      <c r="N1359">
        <v>1</v>
      </c>
      <c r="O1359">
        <v>1254</v>
      </c>
      <c r="P1359">
        <v>1081</v>
      </c>
      <c r="Q1359">
        <v>0</v>
      </c>
      <c r="R1359">
        <v>1081</v>
      </c>
    </row>
    <row r="1360" spans="1:18" x14ac:dyDescent="0.3">
      <c r="A1360" s="5">
        <v>45966</v>
      </c>
      <c r="B1360" t="s">
        <v>1987</v>
      </c>
      <c r="C1360">
        <v>13</v>
      </c>
      <c r="D1360">
        <v>36</v>
      </c>
      <c r="E1360" s="1">
        <v>1.4583333333333333</v>
      </c>
      <c r="F1360" t="s">
        <v>1988</v>
      </c>
      <c r="G1360">
        <v>3</v>
      </c>
      <c r="H1360">
        <v>1081.3214</v>
      </c>
      <c r="I1360">
        <v>10</v>
      </c>
      <c r="J1360">
        <v>1163.79</v>
      </c>
      <c r="K1360">
        <v>7.8322667998831603</v>
      </c>
      <c r="L1360">
        <v>609.91</v>
      </c>
      <c r="M1360" t="s">
        <v>20</v>
      </c>
      <c r="N1360">
        <v>1</v>
      </c>
      <c r="O1360">
        <v>1362</v>
      </c>
      <c r="P1360">
        <v>1189</v>
      </c>
      <c r="Q1360">
        <v>0.5</v>
      </c>
      <c r="R1360">
        <v>594.5</v>
      </c>
    </row>
    <row r="1361" spans="1:18" x14ac:dyDescent="0.3">
      <c r="A1361" s="5">
        <v>45966</v>
      </c>
      <c r="B1361" t="s">
        <v>1989</v>
      </c>
      <c r="C1361">
        <v>16</v>
      </c>
      <c r="D1361">
        <v>36</v>
      </c>
      <c r="E1361" s="1">
        <v>1.4583333333333333</v>
      </c>
      <c r="F1361" t="s">
        <v>1990</v>
      </c>
      <c r="G1361">
        <v>3</v>
      </c>
      <c r="H1361">
        <v>1081.2668000000001</v>
      </c>
      <c r="I1361">
        <v>10</v>
      </c>
      <c r="J1361">
        <v>1163.79</v>
      </c>
      <c r="K1361">
        <v>7.8322667998831603</v>
      </c>
      <c r="L1361">
        <v>609.91</v>
      </c>
      <c r="M1361" t="s">
        <v>20</v>
      </c>
      <c r="N1361">
        <v>1</v>
      </c>
      <c r="O1361">
        <v>1362</v>
      </c>
      <c r="P1361">
        <v>1189</v>
      </c>
      <c r="Q1361">
        <v>0.5</v>
      </c>
      <c r="R1361">
        <v>594.5</v>
      </c>
    </row>
    <row r="1362" spans="1:18" x14ac:dyDescent="0.3">
      <c r="A1362" s="5">
        <v>45966</v>
      </c>
      <c r="B1362" t="s">
        <v>1991</v>
      </c>
      <c r="C1362">
        <v>36</v>
      </c>
      <c r="D1362">
        <v>36</v>
      </c>
      <c r="E1362" s="1">
        <v>1.4583333333333333</v>
      </c>
      <c r="F1362" t="s">
        <v>1992</v>
      </c>
      <c r="G1362">
        <v>4</v>
      </c>
      <c r="H1362">
        <v>1080.924</v>
      </c>
      <c r="I1362">
        <v>7</v>
      </c>
      <c r="J1362">
        <v>1163.79</v>
      </c>
      <c r="K1362">
        <v>5.4825867599182097</v>
      </c>
      <c r="L1362">
        <v>1158.8800000000001</v>
      </c>
      <c r="M1362" t="s">
        <v>27</v>
      </c>
      <c r="N1362">
        <v>1</v>
      </c>
      <c r="O1362">
        <v>1330</v>
      </c>
      <c r="P1362">
        <v>1157</v>
      </c>
      <c r="Q1362">
        <v>0</v>
      </c>
      <c r="R1362">
        <v>1157</v>
      </c>
    </row>
    <row r="1363" spans="1:18" x14ac:dyDescent="0.3">
      <c r="A1363" s="5">
        <v>45966</v>
      </c>
      <c r="B1363" t="s">
        <v>1993</v>
      </c>
      <c r="C1363">
        <v>32</v>
      </c>
      <c r="D1363">
        <v>36</v>
      </c>
      <c r="E1363" s="1">
        <v>1.4583333333333333</v>
      </c>
      <c r="F1363" t="s">
        <v>1994</v>
      </c>
      <c r="G1363">
        <v>2</v>
      </c>
      <c r="H1363">
        <v>1080.9779000000001</v>
      </c>
      <c r="I1363">
        <v>5</v>
      </c>
      <c r="J1363">
        <v>1163.79</v>
      </c>
      <c r="K1363">
        <v>3.9161333999415802</v>
      </c>
      <c r="L1363">
        <v>609.91</v>
      </c>
      <c r="M1363" t="s">
        <v>60</v>
      </c>
      <c r="N1363">
        <v>1</v>
      </c>
      <c r="O1363">
        <v>1308</v>
      </c>
      <c r="P1363">
        <v>1135</v>
      </c>
      <c r="Q1363">
        <v>0.5</v>
      </c>
      <c r="R1363">
        <v>567.5</v>
      </c>
    </row>
    <row r="1364" spans="1:18" x14ac:dyDescent="0.3">
      <c r="A1364" s="5">
        <v>45966</v>
      </c>
      <c r="B1364" t="s">
        <v>1995</v>
      </c>
      <c r="C1364">
        <v>35</v>
      </c>
      <c r="D1364">
        <v>36</v>
      </c>
      <c r="E1364" s="1">
        <v>1.9652777777777777</v>
      </c>
      <c r="F1364" t="s">
        <v>1996</v>
      </c>
      <c r="G1364">
        <v>3</v>
      </c>
      <c r="H1364">
        <v>1080.6193000000001</v>
      </c>
      <c r="I1364">
        <v>10</v>
      </c>
      <c r="J1364">
        <v>1163.79</v>
      </c>
      <c r="K1364">
        <v>7.8322667998831603</v>
      </c>
      <c r="L1364">
        <v>609.91</v>
      </c>
      <c r="M1364" t="s">
        <v>20</v>
      </c>
      <c r="N1364">
        <v>1</v>
      </c>
      <c r="O1364">
        <v>1362</v>
      </c>
      <c r="P1364">
        <v>1189</v>
      </c>
      <c r="Q1364">
        <v>0.5</v>
      </c>
      <c r="R1364">
        <v>594.5</v>
      </c>
    </row>
    <row r="1365" spans="1:18" x14ac:dyDescent="0.3">
      <c r="A1365" s="5">
        <v>45966</v>
      </c>
      <c r="B1365" t="s">
        <v>1997</v>
      </c>
      <c r="C1365">
        <v>17</v>
      </c>
      <c r="D1365">
        <v>36</v>
      </c>
      <c r="E1365" s="1">
        <v>1.0833333333333333</v>
      </c>
      <c r="F1365" t="s">
        <v>1998</v>
      </c>
      <c r="G1365">
        <v>0</v>
      </c>
      <c r="H1365">
        <v>1081.2599</v>
      </c>
      <c r="I1365">
        <v>2.5</v>
      </c>
      <c r="J1365">
        <v>1163.79</v>
      </c>
      <c r="K1365">
        <v>1.9580666999707901</v>
      </c>
      <c r="L1365">
        <v>1158.8800000000001</v>
      </c>
      <c r="M1365" t="s">
        <v>27</v>
      </c>
      <c r="N1365">
        <v>1</v>
      </c>
      <c r="O1365">
        <v>1281</v>
      </c>
      <c r="P1365">
        <v>1108</v>
      </c>
      <c r="Q1365">
        <v>0</v>
      </c>
      <c r="R1365">
        <v>1108</v>
      </c>
    </row>
    <row r="1366" spans="1:18" x14ac:dyDescent="0.3">
      <c r="A1366" s="5">
        <v>45966</v>
      </c>
      <c r="B1366" t="s">
        <v>1999</v>
      </c>
      <c r="C1366">
        <v>20</v>
      </c>
      <c r="D1366">
        <v>36</v>
      </c>
      <c r="E1366" s="1">
        <v>1.9993055555555554</v>
      </c>
      <c r="F1366" t="s">
        <v>2000</v>
      </c>
      <c r="G1366">
        <v>2</v>
      </c>
      <c r="H1366">
        <v>1080.9650999999999</v>
      </c>
      <c r="I1366">
        <v>5</v>
      </c>
      <c r="J1366">
        <v>1163.79</v>
      </c>
      <c r="K1366">
        <v>3.9161333999415802</v>
      </c>
      <c r="L1366">
        <v>609.91</v>
      </c>
      <c r="M1366" t="s">
        <v>60</v>
      </c>
      <c r="N1366">
        <v>1</v>
      </c>
      <c r="O1366">
        <v>1308</v>
      </c>
      <c r="P1366">
        <v>1135</v>
      </c>
      <c r="Q1366">
        <v>0.5</v>
      </c>
      <c r="R1366">
        <v>567.5</v>
      </c>
    </row>
    <row r="1367" spans="1:18" x14ac:dyDescent="0.3">
      <c r="A1367" s="5">
        <v>45966</v>
      </c>
      <c r="B1367" t="s">
        <v>1999</v>
      </c>
      <c r="C1367">
        <v>20</v>
      </c>
      <c r="D1367">
        <v>36</v>
      </c>
      <c r="E1367" s="1">
        <v>1.9993055555555554</v>
      </c>
      <c r="F1367" t="s">
        <v>2000</v>
      </c>
      <c r="G1367">
        <v>2</v>
      </c>
      <c r="H1367">
        <v>1080.9650999999999</v>
      </c>
      <c r="I1367">
        <v>5</v>
      </c>
      <c r="J1367">
        <v>1163.79</v>
      </c>
      <c r="K1367">
        <v>3.9161333999415802</v>
      </c>
      <c r="L1367">
        <v>609.91</v>
      </c>
      <c r="M1367" t="s">
        <v>60</v>
      </c>
      <c r="N1367">
        <v>1</v>
      </c>
      <c r="O1367">
        <v>1308</v>
      </c>
      <c r="P1367">
        <v>1135</v>
      </c>
      <c r="Q1367">
        <v>0.5</v>
      </c>
      <c r="R1367">
        <v>567.5</v>
      </c>
    </row>
    <row r="1368" spans="1:18" x14ac:dyDescent="0.3">
      <c r="A1368" s="5">
        <v>45966</v>
      </c>
      <c r="B1368" t="s">
        <v>2001</v>
      </c>
      <c r="C1368">
        <v>19</v>
      </c>
      <c r="D1368">
        <v>36</v>
      </c>
      <c r="E1368" s="1">
        <v>1.9993055555555554</v>
      </c>
      <c r="F1368" t="s">
        <v>2000</v>
      </c>
      <c r="G1368">
        <v>2</v>
      </c>
      <c r="H1368">
        <v>1080.9833000000001</v>
      </c>
      <c r="I1368">
        <v>5</v>
      </c>
      <c r="J1368">
        <v>1163.79</v>
      </c>
      <c r="K1368">
        <v>3.9161333999415802</v>
      </c>
      <c r="L1368">
        <v>609.91</v>
      </c>
      <c r="M1368" t="s">
        <v>60</v>
      </c>
      <c r="N1368">
        <v>1</v>
      </c>
      <c r="O1368">
        <v>1308</v>
      </c>
      <c r="P1368">
        <v>1135</v>
      </c>
      <c r="Q1368">
        <v>0.5</v>
      </c>
      <c r="R1368">
        <v>567.5</v>
      </c>
    </row>
    <row r="1369" spans="1:18" x14ac:dyDescent="0.3">
      <c r="A1369" s="5">
        <v>45966</v>
      </c>
      <c r="B1369" t="s">
        <v>2001</v>
      </c>
      <c r="C1369">
        <v>19</v>
      </c>
      <c r="D1369">
        <v>36</v>
      </c>
      <c r="E1369" s="1">
        <v>1.9993055555555554</v>
      </c>
      <c r="F1369" t="s">
        <v>2000</v>
      </c>
      <c r="G1369">
        <v>2</v>
      </c>
      <c r="H1369">
        <v>1080.9833000000001</v>
      </c>
      <c r="I1369">
        <v>5</v>
      </c>
      <c r="J1369">
        <v>1163.79</v>
      </c>
      <c r="K1369">
        <v>3.9161333999415802</v>
      </c>
      <c r="L1369">
        <v>609.91</v>
      </c>
      <c r="M1369" t="s">
        <v>60</v>
      </c>
      <c r="N1369">
        <v>1</v>
      </c>
      <c r="O1369">
        <v>1308</v>
      </c>
      <c r="P1369">
        <v>1135</v>
      </c>
      <c r="Q1369">
        <v>0.5</v>
      </c>
      <c r="R1369">
        <v>567.5</v>
      </c>
    </row>
    <row r="1370" spans="1:18" x14ac:dyDescent="0.3">
      <c r="A1370" s="5">
        <v>45966</v>
      </c>
      <c r="B1370" t="s">
        <v>2002</v>
      </c>
      <c r="C1370">
        <v>8</v>
      </c>
      <c r="D1370">
        <v>36</v>
      </c>
      <c r="E1370" s="1">
        <v>1.25</v>
      </c>
      <c r="F1370" t="s">
        <v>2003</v>
      </c>
      <c r="G1370">
        <v>2</v>
      </c>
      <c r="H1370">
        <v>1081.4536000000001</v>
      </c>
      <c r="I1370">
        <v>5</v>
      </c>
      <c r="J1370">
        <v>1163.79</v>
      </c>
      <c r="K1370">
        <v>3.9161333999415802</v>
      </c>
      <c r="L1370">
        <v>609.91</v>
      </c>
      <c r="M1370" t="s">
        <v>60</v>
      </c>
      <c r="N1370">
        <v>1</v>
      </c>
      <c r="O1370">
        <v>1309</v>
      </c>
      <c r="P1370">
        <v>1136</v>
      </c>
      <c r="Q1370">
        <v>0.5</v>
      </c>
      <c r="R1370">
        <v>568</v>
      </c>
    </row>
    <row r="1371" spans="1:18" x14ac:dyDescent="0.3">
      <c r="A1371" s="5">
        <v>45966</v>
      </c>
      <c r="B1371" t="s">
        <v>2004</v>
      </c>
      <c r="C1371">
        <v>9</v>
      </c>
      <c r="D1371">
        <v>36</v>
      </c>
      <c r="E1371" s="1">
        <v>1.25</v>
      </c>
      <c r="F1371" t="s">
        <v>2005</v>
      </c>
      <c r="G1371">
        <v>2</v>
      </c>
      <c r="H1371">
        <v>1081.4355</v>
      </c>
      <c r="I1371">
        <v>5</v>
      </c>
      <c r="J1371">
        <v>1163.79</v>
      </c>
      <c r="K1371">
        <v>3.9161333999415802</v>
      </c>
      <c r="L1371">
        <v>609.91</v>
      </c>
      <c r="M1371" t="s">
        <v>60</v>
      </c>
      <c r="N1371">
        <v>1</v>
      </c>
      <c r="O1371">
        <v>1309</v>
      </c>
      <c r="P1371">
        <v>1136</v>
      </c>
      <c r="Q1371">
        <v>0.5</v>
      </c>
      <c r="R1371">
        <v>568</v>
      </c>
    </row>
    <row r="1372" spans="1:18" x14ac:dyDescent="0.3">
      <c r="A1372" s="5">
        <v>45966</v>
      </c>
      <c r="B1372" t="s">
        <v>2006</v>
      </c>
      <c r="C1372">
        <v>1</v>
      </c>
      <c r="D1372">
        <v>36</v>
      </c>
      <c r="E1372" s="1">
        <v>1.25</v>
      </c>
      <c r="F1372" t="s">
        <v>2007</v>
      </c>
      <c r="G1372">
        <v>4</v>
      </c>
      <c r="H1372">
        <v>1081.7528</v>
      </c>
      <c r="I1372">
        <v>7</v>
      </c>
      <c r="J1372">
        <v>1163.79</v>
      </c>
      <c r="K1372">
        <v>5.4825867599182097</v>
      </c>
      <c r="L1372">
        <v>1158.8800000000001</v>
      </c>
      <c r="M1372" t="s">
        <v>27</v>
      </c>
      <c r="N1372">
        <v>1</v>
      </c>
      <c r="O1372">
        <v>1331</v>
      </c>
      <c r="P1372">
        <v>1157</v>
      </c>
      <c r="Q1372">
        <v>0</v>
      </c>
      <c r="R1372">
        <v>1157</v>
      </c>
    </row>
    <row r="1373" spans="1:18" x14ac:dyDescent="0.3">
      <c r="A1373" s="5">
        <v>45966</v>
      </c>
      <c r="B1373" t="s">
        <v>2008</v>
      </c>
      <c r="C1373">
        <v>13</v>
      </c>
      <c r="D1373">
        <v>36</v>
      </c>
      <c r="E1373" s="1">
        <v>1.0833333333333333</v>
      </c>
      <c r="F1373" t="s">
        <v>2009</v>
      </c>
      <c r="G1373">
        <v>0</v>
      </c>
      <c r="H1373">
        <v>1081.3309999999999</v>
      </c>
      <c r="I1373">
        <v>2.5</v>
      </c>
      <c r="J1373">
        <v>1163.79</v>
      </c>
      <c r="K1373">
        <v>1.9580666999707901</v>
      </c>
      <c r="L1373">
        <v>1158.8800000000001</v>
      </c>
      <c r="M1373" t="s">
        <v>27</v>
      </c>
      <c r="N1373">
        <v>1</v>
      </c>
      <c r="O1373">
        <v>1281</v>
      </c>
      <c r="P1373">
        <v>1108</v>
      </c>
      <c r="Q1373">
        <v>0</v>
      </c>
      <c r="R1373">
        <v>1108</v>
      </c>
    </row>
    <row r="1374" spans="1:18" x14ac:dyDescent="0.3">
      <c r="A1374" s="5">
        <v>45966</v>
      </c>
      <c r="B1374" t="s">
        <v>2010</v>
      </c>
      <c r="C1374">
        <v>16</v>
      </c>
      <c r="D1374">
        <v>35</v>
      </c>
      <c r="E1374" s="1">
        <v>1.9791666666666665</v>
      </c>
      <c r="F1374" t="s">
        <v>2011</v>
      </c>
      <c r="G1374">
        <v>4</v>
      </c>
      <c r="H1374">
        <v>1080.9132999999999</v>
      </c>
      <c r="I1374">
        <v>7</v>
      </c>
      <c r="J1374">
        <v>1163.79</v>
      </c>
      <c r="K1374">
        <v>5.4825867599182097</v>
      </c>
      <c r="L1374">
        <v>1158.8800000000001</v>
      </c>
      <c r="M1374" t="s">
        <v>27</v>
      </c>
      <c r="N1374">
        <v>1</v>
      </c>
      <c r="O1374">
        <v>1330</v>
      </c>
      <c r="P1374">
        <v>1157</v>
      </c>
      <c r="Q1374">
        <v>0</v>
      </c>
      <c r="R1374">
        <v>1157</v>
      </c>
    </row>
    <row r="1375" spans="1:18" x14ac:dyDescent="0.3">
      <c r="A1375" s="5">
        <v>45966</v>
      </c>
      <c r="B1375" t="s">
        <v>2012</v>
      </c>
      <c r="C1375">
        <v>16</v>
      </c>
      <c r="D1375">
        <v>36</v>
      </c>
      <c r="E1375" s="1">
        <v>1.0833333333333333</v>
      </c>
      <c r="F1375" t="s">
        <v>2013</v>
      </c>
      <c r="G1375">
        <v>4</v>
      </c>
      <c r="H1375">
        <v>1081.2772</v>
      </c>
      <c r="I1375">
        <v>7</v>
      </c>
      <c r="J1375">
        <v>1163.79</v>
      </c>
      <c r="K1375">
        <v>5.4825867599182097</v>
      </c>
      <c r="L1375">
        <v>1158.8800000000001</v>
      </c>
      <c r="M1375" t="s">
        <v>27</v>
      </c>
      <c r="N1375">
        <v>1</v>
      </c>
      <c r="O1375">
        <v>1330</v>
      </c>
      <c r="P1375">
        <v>1157</v>
      </c>
      <c r="Q1375">
        <v>0</v>
      </c>
      <c r="R1375">
        <v>1157</v>
      </c>
    </row>
    <row r="1376" spans="1:18" x14ac:dyDescent="0.3">
      <c r="A1376" s="5">
        <v>45966</v>
      </c>
      <c r="B1376" t="s">
        <v>2014</v>
      </c>
      <c r="C1376">
        <v>18</v>
      </c>
      <c r="D1376">
        <v>36</v>
      </c>
      <c r="E1376" s="1">
        <v>1.9993055555555554</v>
      </c>
      <c r="F1376" t="s">
        <v>2015</v>
      </c>
      <c r="G1376">
        <v>5</v>
      </c>
      <c r="H1376">
        <v>1081.0139999999999</v>
      </c>
      <c r="I1376">
        <v>0</v>
      </c>
      <c r="J1376">
        <v>1163.79</v>
      </c>
      <c r="K1376">
        <v>0</v>
      </c>
      <c r="L1376">
        <v>1158.8800000000001</v>
      </c>
      <c r="M1376" t="s">
        <v>27</v>
      </c>
      <c r="N1376">
        <v>1</v>
      </c>
      <c r="O1376">
        <v>1254</v>
      </c>
      <c r="P1376">
        <v>1081</v>
      </c>
      <c r="Q1376">
        <v>0</v>
      </c>
      <c r="R1376">
        <v>1081</v>
      </c>
    </row>
    <row r="1377" spans="1:18" x14ac:dyDescent="0.3">
      <c r="A1377" s="5">
        <v>45966</v>
      </c>
      <c r="B1377" t="s">
        <v>2016</v>
      </c>
      <c r="C1377">
        <v>18</v>
      </c>
      <c r="D1377">
        <v>36</v>
      </c>
      <c r="E1377" s="1">
        <v>1.9791666666666665</v>
      </c>
      <c r="F1377" t="s">
        <v>2017</v>
      </c>
      <c r="G1377">
        <v>0</v>
      </c>
      <c r="H1377">
        <v>1081.0657000000001</v>
      </c>
      <c r="I1377">
        <v>2.5</v>
      </c>
      <c r="J1377">
        <v>1163.79</v>
      </c>
      <c r="K1377">
        <v>1.9580666999707901</v>
      </c>
      <c r="L1377">
        <v>1158.8800000000001</v>
      </c>
      <c r="M1377" t="s">
        <v>27</v>
      </c>
      <c r="N1377">
        <v>1</v>
      </c>
      <c r="O1377">
        <v>1281</v>
      </c>
      <c r="P1377">
        <v>1108</v>
      </c>
      <c r="Q1377">
        <v>0</v>
      </c>
      <c r="R1377">
        <v>1108</v>
      </c>
    </row>
    <row r="1378" spans="1:18" x14ac:dyDescent="0.3">
      <c r="A1378" s="5">
        <v>45966</v>
      </c>
      <c r="B1378" t="s">
        <v>2018</v>
      </c>
      <c r="C1378">
        <v>21</v>
      </c>
      <c r="D1378">
        <v>36</v>
      </c>
      <c r="E1378" s="1">
        <v>1.9791666666666665</v>
      </c>
      <c r="F1378" t="s">
        <v>2017</v>
      </c>
      <c r="G1378">
        <v>0</v>
      </c>
      <c r="H1378">
        <v>1081.0118</v>
      </c>
      <c r="I1378">
        <v>2.5</v>
      </c>
      <c r="J1378">
        <v>1163.79</v>
      </c>
      <c r="K1378">
        <v>1.9580666999707901</v>
      </c>
      <c r="L1378">
        <v>1158.8800000000001</v>
      </c>
      <c r="M1378" t="s">
        <v>27</v>
      </c>
      <c r="N1378">
        <v>1</v>
      </c>
      <c r="O1378">
        <v>1281</v>
      </c>
      <c r="P1378">
        <v>1108</v>
      </c>
      <c r="Q1378">
        <v>0</v>
      </c>
      <c r="R1378">
        <v>1108</v>
      </c>
    </row>
    <row r="1379" spans="1:18" x14ac:dyDescent="0.3">
      <c r="A1379" s="5">
        <v>45966</v>
      </c>
      <c r="B1379" t="s">
        <v>2019</v>
      </c>
      <c r="C1379">
        <v>17</v>
      </c>
      <c r="D1379">
        <v>36</v>
      </c>
      <c r="E1379" s="1">
        <v>1.9791666666666665</v>
      </c>
      <c r="F1379" t="s">
        <v>2017</v>
      </c>
      <c r="G1379">
        <v>0</v>
      </c>
      <c r="H1379">
        <v>1081.0836999999999</v>
      </c>
      <c r="I1379">
        <v>2.5</v>
      </c>
      <c r="J1379">
        <v>1163.79</v>
      </c>
      <c r="K1379">
        <v>1.9580666999707901</v>
      </c>
      <c r="L1379">
        <v>1158.8800000000001</v>
      </c>
      <c r="M1379" t="s">
        <v>27</v>
      </c>
      <c r="N1379">
        <v>1</v>
      </c>
      <c r="O1379">
        <v>1281</v>
      </c>
      <c r="P1379">
        <v>1108</v>
      </c>
      <c r="Q1379">
        <v>0</v>
      </c>
      <c r="R1379">
        <v>1108</v>
      </c>
    </row>
    <row r="1380" spans="1:18" x14ac:dyDescent="0.3">
      <c r="A1380" s="5">
        <v>45966</v>
      </c>
      <c r="B1380" t="s">
        <v>2020</v>
      </c>
      <c r="C1380">
        <v>24</v>
      </c>
      <c r="D1380">
        <v>36</v>
      </c>
      <c r="E1380" s="1">
        <v>1.9791666666666665</v>
      </c>
      <c r="F1380" t="s">
        <v>2017</v>
      </c>
      <c r="G1380">
        <v>0</v>
      </c>
      <c r="H1380">
        <v>1080.8253</v>
      </c>
      <c r="I1380">
        <v>2.5</v>
      </c>
      <c r="J1380">
        <v>1163.79</v>
      </c>
      <c r="K1380">
        <v>1.9580666999707901</v>
      </c>
      <c r="L1380">
        <v>1158.8800000000001</v>
      </c>
      <c r="M1380" t="s">
        <v>27</v>
      </c>
      <c r="N1380">
        <v>1</v>
      </c>
      <c r="O1380">
        <v>1281</v>
      </c>
      <c r="P1380">
        <v>1108</v>
      </c>
      <c r="Q1380">
        <v>0</v>
      </c>
      <c r="R1380">
        <v>1108</v>
      </c>
    </row>
    <row r="1381" spans="1:18" x14ac:dyDescent="0.3">
      <c r="A1381" s="5">
        <v>45966</v>
      </c>
      <c r="B1381" t="s">
        <v>2021</v>
      </c>
      <c r="C1381">
        <v>16</v>
      </c>
      <c r="D1381">
        <v>36</v>
      </c>
      <c r="E1381" s="1">
        <v>1.9993055555555554</v>
      </c>
      <c r="F1381" t="s">
        <v>2022</v>
      </c>
      <c r="G1381">
        <v>2</v>
      </c>
      <c r="H1381">
        <v>1081.1011000000001</v>
      </c>
      <c r="I1381">
        <v>5</v>
      </c>
      <c r="J1381">
        <v>1163.79</v>
      </c>
      <c r="K1381">
        <v>3.9161333999415802</v>
      </c>
      <c r="L1381">
        <v>609.91</v>
      </c>
      <c r="M1381" t="s">
        <v>60</v>
      </c>
      <c r="N1381">
        <v>1</v>
      </c>
      <c r="O1381">
        <v>1308</v>
      </c>
      <c r="P1381">
        <v>1135</v>
      </c>
      <c r="Q1381">
        <v>0.5</v>
      </c>
      <c r="R1381">
        <v>567.5</v>
      </c>
    </row>
    <row r="1382" spans="1:18" x14ac:dyDescent="0.3">
      <c r="A1382" s="5">
        <v>45966</v>
      </c>
      <c r="B1382" t="s">
        <v>2023</v>
      </c>
      <c r="C1382">
        <v>4</v>
      </c>
      <c r="D1382">
        <v>36</v>
      </c>
      <c r="E1382" s="1">
        <v>1.9652777777777777</v>
      </c>
      <c r="F1382" t="s">
        <v>2024</v>
      </c>
      <c r="G1382">
        <v>4</v>
      </c>
      <c r="H1382">
        <v>1081.1746000000001</v>
      </c>
      <c r="I1382">
        <v>7</v>
      </c>
      <c r="J1382">
        <v>1163.79</v>
      </c>
      <c r="K1382">
        <v>5.4825867599182097</v>
      </c>
      <c r="L1382">
        <v>1158.8800000000001</v>
      </c>
      <c r="M1382" t="s">
        <v>27</v>
      </c>
      <c r="N1382">
        <v>1</v>
      </c>
      <c r="O1382">
        <v>1330</v>
      </c>
      <c r="P1382">
        <v>1157</v>
      </c>
      <c r="Q1382">
        <v>0</v>
      </c>
      <c r="R1382">
        <v>1157</v>
      </c>
    </row>
    <row r="1383" spans="1:18" x14ac:dyDescent="0.3">
      <c r="A1383" s="5">
        <v>45966</v>
      </c>
      <c r="B1383" t="s">
        <v>2025</v>
      </c>
      <c r="C1383">
        <v>23</v>
      </c>
      <c r="D1383">
        <v>36</v>
      </c>
      <c r="E1383" s="1">
        <v>1.25</v>
      </c>
      <c r="F1383" t="s">
        <v>2026</v>
      </c>
      <c r="G1383">
        <v>0</v>
      </c>
      <c r="H1383">
        <v>1081.0718999999999</v>
      </c>
      <c r="I1383">
        <v>2.5</v>
      </c>
      <c r="J1383">
        <v>1163.79</v>
      </c>
      <c r="K1383">
        <v>1.9580666999707901</v>
      </c>
      <c r="L1383">
        <v>1158.8800000000001</v>
      </c>
      <c r="M1383" t="s">
        <v>27</v>
      </c>
      <c r="N1383">
        <v>1</v>
      </c>
      <c r="O1383">
        <v>1281</v>
      </c>
      <c r="P1383">
        <v>1108</v>
      </c>
      <c r="Q1383">
        <v>0</v>
      </c>
      <c r="R1383">
        <v>1108</v>
      </c>
    </row>
    <row r="1384" spans="1:18" x14ac:dyDescent="0.3">
      <c r="A1384" s="5">
        <v>45966</v>
      </c>
      <c r="B1384" t="s">
        <v>2027</v>
      </c>
      <c r="C1384">
        <v>27</v>
      </c>
      <c r="D1384">
        <v>36</v>
      </c>
      <c r="E1384" s="1">
        <v>1.25</v>
      </c>
      <c r="F1384" t="s">
        <v>2026</v>
      </c>
      <c r="G1384">
        <v>0</v>
      </c>
      <c r="H1384">
        <v>1081</v>
      </c>
      <c r="I1384">
        <v>2.5</v>
      </c>
      <c r="J1384">
        <v>1163.79</v>
      </c>
      <c r="K1384">
        <v>1.9580666999707901</v>
      </c>
      <c r="L1384">
        <v>1158.8800000000001</v>
      </c>
      <c r="M1384" t="s">
        <v>27</v>
      </c>
      <c r="N1384">
        <v>1</v>
      </c>
      <c r="O1384">
        <v>1281</v>
      </c>
      <c r="P1384">
        <v>1108</v>
      </c>
      <c r="Q1384">
        <v>0</v>
      </c>
      <c r="R1384">
        <v>1108</v>
      </c>
    </row>
    <row r="1385" spans="1:18" x14ac:dyDescent="0.3">
      <c r="A1385" s="5">
        <v>45966</v>
      </c>
      <c r="B1385" t="s">
        <v>2028</v>
      </c>
      <c r="C1385">
        <v>22</v>
      </c>
      <c r="D1385">
        <v>36</v>
      </c>
      <c r="E1385" s="1">
        <v>1.25</v>
      </c>
      <c r="F1385" t="s">
        <v>2026</v>
      </c>
      <c r="G1385">
        <v>0</v>
      </c>
      <c r="H1385">
        <v>1081.0898</v>
      </c>
      <c r="I1385">
        <v>2.5</v>
      </c>
      <c r="J1385">
        <v>1163.79</v>
      </c>
      <c r="K1385">
        <v>1.9580666999707901</v>
      </c>
      <c r="L1385">
        <v>1158.8800000000001</v>
      </c>
      <c r="M1385" t="s">
        <v>27</v>
      </c>
      <c r="N1385">
        <v>1</v>
      </c>
      <c r="O1385">
        <v>1281</v>
      </c>
      <c r="P1385">
        <v>1108</v>
      </c>
      <c r="Q1385">
        <v>0</v>
      </c>
      <c r="R1385">
        <v>1108</v>
      </c>
    </row>
    <row r="1386" spans="1:18" x14ac:dyDescent="0.3">
      <c r="A1386" s="5">
        <v>45966</v>
      </c>
      <c r="B1386" t="s">
        <v>2029</v>
      </c>
      <c r="C1386">
        <v>24</v>
      </c>
      <c r="D1386">
        <v>36</v>
      </c>
      <c r="E1386" s="1">
        <v>1.25</v>
      </c>
      <c r="F1386" t="s">
        <v>2026</v>
      </c>
      <c r="G1386">
        <v>0</v>
      </c>
      <c r="H1386">
        <v>1081.0537999999999</v>
      </c>
      <c r="I1386">
        <v>2.5</v>
      </c>
      <c r="J1386">
        <v>1163.79</v>
      </c>
      <c r="K1386">
        <v>1.9580666999707901</v>
      </c>
      <c r="L1386">
        <v>1158.8800000000001</v>
      </c>
      <c r="M1386" t="s">
        <v>27</v>
      </c>
      <c r="N1386">
        <v>1</v>
      </c>
      <c r="O1386">
        <v>1281</v>
      </c>
      <c r="P1386">
        <v>1108</v>
      </c>
      <c r="Q1386">
        <v>0</v>
      </c>
      <c r="R1386">
        <v>1108</v>
      </c>
    </row>
    <row r="1387" spans="1:18" x14ac:dyDescent="0.3">
      <c r="A1387" s="5">
        <v>45966</v>
      </c>
      <c r="B1387" t="s">
        <v>2030</v>
      </c>
      <c r="C1387">
        <v>25</v>
      </c>
      <c r="D1387">
        <v>36</v>
      </c>
      <c r="E1387" s="1">
        <v>1.25</v>
      </c>
      <c r="F1387" t="s">
        <v>2026</v>
      </c>
      <c r="G1387">
        <v>0</v>
      </c>
      <c r="H1387">
        <v>1081.0361</v>
      </c>
      <c r="I1387">
        <v>2.5</v>
      </c>
      <c r="J1387">
        <v>1163.79</v>
      </c>
      <c r="K1387">
        <v>1.9580666999707901</v>
      </c>
      <c r="L1387">
        <v>1158.8800000000001</v>
      </c>
      <c r="M1387" t="s">
        <v>27</v>
      </c>
      <c r="N1387">
        <v>1</v>
      </c>
      <c r="O1387">
        <v>1281</v>
      </c>
      <c r="P1387">
        <v>1108</v>
      </c>
      <c r="Q1387">
        <v>0</v>
      </c>
      <c r="R1387">
        <v>1108</v>
      </c>
    </row>
    <row r="1388" spans="1:18" x14ac:dyDescent="0.3">
      <c r="A1388" s="5">
        <v>45966</v>
      </c>
      <c r="B1388" t="s">
        <v>2031</v>
      </c>
      <c r="C1388">
        <v>26</v>
      </c>
      <c r="D1388">
        <v>36</v>
      </c>
      <c r="E1388" s="1">
        <v>1.25</v>
      </c>
      <c r="F1388" t="s">
        <v>2026</v>
      </c>
      <c r="G1388">
        <v>0</v>
      </c>
      <c r="H1388">
        <v>1081.018</v>
      </c>
      <c r="I1388">
        <v>2.5</v>
      </c>
      <c r="J1388">
        <v>1163.79</v>
      </c>
      <c r="K1388">
        <v>1.9580666999707901</v>
      </c>
      <c r="L1388">
        <v>1158.8800000000001</v>
      </c>
      <c r="M1388" t="s">
        <v>27</v>
      </c>
      <c r="N1388">
        <v>1</v>
      </c>
      <c r="O1388">
        <v>1281</v>
      </c>
      <c r="P1388">
        <v>1108</v>
      </c>
      <c r="Q1388">
        <v>0</v>
      </c>
      <c r="R1388">
        <v>1108</v>
      </c>
    </row>
    <row r="1389" spans="1:18" x14ac:dyDescent="0.3">
      <c r="A1389" s="5">
        <v>45966</v>
      </c>
      <c r="B1389" t="s">
        <v>2032</v>
      </c>
      <c r="C1389">
        <v>21</v>
      </c>
      <c r="D1389">
        <v>36</v>
      </c>
      <c r="E1389" s="1">
        <v>1.25</v>
      </c>
      <c r="F1389" t="s">
        <v>2026</v>
      </c>
      <c r="G1389">
        <v>0</v>
      </c>
      <c r="H1389">
        <v>1081.2406000000001</v>
      </c>
      <c r="I1389">
        <v>2.5</v>
      </c>
      <c r="J1389">
        <v>1163.79</v>
      </c>
      <c r="K1389">
        <v>1.9580666999707901</v>
      </c>
      <c r="L1389">
        <v>1158.8800000000001</v>
      </c>
      <c r="M1389" t="s">
        <v>27</v>
      </c>
      <c r="N1389">
        <v>1</v>
      </c>
      <c r="O1389">
        <v>1281</v>
      </c>
      <c r="P1389">
        <v>1108</v>
      </c>
      <c r="Q1389">
        <v>0</v>
      </c>
      <c r="R1389">
        <v>1108</v>
      </c>
    </row>
    <row r="1390" spans="1:18" x14ac:dyDescent="0.3">
      <c r="A1390" s="5">
        <v>45966</v>
      </c>
      <c r="B1390" t="s">
        <v>2033</v>
      </c>
      <c r="C1390">
        <v>1</v>
      </c>
      <c r="D1390">
        <v>36</v>
      </c>
      <c r="E1390" s="1">
        <v>1.9993055555555554</v>
      </c>
      <c r="F1390" t="s">
        <v>2034</v>
      </c>
      <c r="G1390">
        <v>4</v>
      </c>
      <c r="H1390">
        <v>1081.4431999999999</v>
      </c>
      <c r="I1390">
        <v>7</v>
      </c>
      <c r="J1390">
        <v>1163.79</v>
      </c>
      <c r="K1390">
        <v>5.4825867599182097</v>
      </c>
      <c r="L1390">
        <v>1219.83</v>
      </c>
      <c r="M1390" t="s">
        <v>27</v>
      </c>
      <c r="N1390">
        <v>1</v>
      </c>
      <c r="O1390">
        <v>1330</v>
      </c>
      <c r="P1390">
        <v>1157</v>
      </c>
      <c r="Q1390">
        <v>0</v>
      </c>
      <c r="R1390">
        <v>1157</v>
      </c>
    </row>
    <row r="1391" spans="1:18" x14ac:dyDescent="0.3">
      <c r="A1391" s="5">
        <v>45966</v>
      </c>
      <c r="B1391" t="s">
        <v>2035</v>
      </c>
      <c r="C1391">
        <v>2</v>
      </c>
      <c r="D1391">
        <v>36</v>
      </c>
      <c r="E1391" s="1">
        <v>1.9993055555555554</v>
      </c>
      <c r="F1391" t="s">
        <v>2036</v>
      </c>
      <c r="G1391">
        <v>4</v>
      </c>
      <c r="H1391">
        <v>1081.4253000000001</v>
      </c>
      <c r="I1391">
        <v>7</v>
      </c>
      <c r="J1391">
        <v>1163.79</v>
      </c>
      <c r="K1391">
        <v>5.4825867599182097</v>
      </c>
      <c r="L1391">
        <v>1219.83</v>
      </c>
      <c r="M1391" t="s">
        <v>27</v>
      </c>
      <c r="N1391">
        <v>1</v>
      </c>
      <c r="O1391">
        <v>1330</v>
      </c>
      <c r="P1391">
        <v>1157</v>
      </c>
      <c r="Q1391">
        <v>0</v>
      </c>
      <c r="R1391">
        <v>1157</v>
      </c>
    </row>
    <row r="1392" spans="1:18" x14ac:dyDescent="0.3">
      <c r="A1392" s="5">
        <v>45966</v>
      </c>
      <c r="B1392" t="s">
        <v>2037</v>
      </c>
      <c r="C1392">
        <v>21</v>
      </c>
      <c r="D1392">
        <v>36</v>
      </c>
      <c r="E1392" s="1">
        <v>1.9993055555555554</v>
      </c>
      <c r="F1392" t="s">
        <v>2038</v>
      </c>
      <c r="G1392">
        <v>5</v>
      </c>
      <c r="H1392">
        <v>1080.9592</v>
      </c>
      <c r="I1392">
        <v>0</v>
      </c>
      <c r="J1392">
        <v>1163.79</v>
      </c>
      <c r="K1392">
        <v>0</v>
      </c>
      <c r="L1392">
        <v>1158.8800000000001</v>
      </c>
      <c r="M1392" t="s">
        <v>27</v>
      </c>
      <c r="N1392">
        <v>1</v>
      </c>
      <c r="O1392">
        <v>1254</v>
      </c>
      <c r="P1392">
        <v>1081</v>
      </c>
      <c r="Q1392">
        <v>0</v>
      </c>
      <c r="R1392">
        <v>1081</v>
      </c>
    </row>
    <row r="1393" spans="1:18" x14ac:dyDescent="0.3">
      <c r="A1393" s="5">
        <v>45966</v>
      </c>
      <c r="B1393" t="s">
        <v>2039</v>
      </c>
      <c r="C1393">
        <v>13</v>
      </c>
      <c r="D1393">
        <v>35</v>
      </c>
      <c r="E1393" s="1">
        <v>1.9791666666666665</v>
      </c>
      <c r="F1393" t="s">
        <v>2040</v>
      </c>
      <c r="G1393">
        <v>0</v>
      </c>
      <c r="H1393">
        <v>1081.0980999999999</v>
      </c>
      <c r="I1393">
        <v>2.5</v>
      </c>
      <c r="J1393">
        <v>1163.79</v>
      </c>
      <c r="K1393">
        <v>1.9580666999707901</v>
      </c>
      <c r="L1393">
        <v>1082.33</v>
      </c>
      <c r="M1393" t="s">
        <v>27</v>
      </c>
      <c r="N1393">
        <v>1</v>
      </c>
      <c r="O1393">
        <v>1281</v>
      </c>
      <c r="P1393">
        <v>1108</v>
      </c>
      <c r="Q1393">
        <v>0</v>
      </c>
      <c r="R1393">
        <v>1108</v>
      </c>
    </row>
    <row r="1394" spans="1:18" x14ac:dyDescent="0.3">
      <c r="A1394" s="5">
        <v>45966</v>
      </c>
      <c r="B1394" t="s">
        <v>2041</v>
      </c>
      <c r="C1394">
        <v>13</v>
      </c>
      <c r="D1394">
        <v>36</v>
      </c>
      <c r="E1394" s="1">
        <v>1.9791666666666665</v>
      </c>
      <c r="F1394" t="s">
        <v>2042</v>
      </c>
      <c r="G1394">
        <v>0</v>
      </c>
      <c r="H1394">
        <v>1081.1031</v>
      </c>
      <c r="I1394">
        <v>2.5</v>
      </c>
      <c r="J1394">
        <v>1163.79</v>
      </c>
      <c r="K1394">
        <v>1.9580666999707901</v>
      </c>
      <c r="L1394">
        <v>1158.8800000000001</v>
      </c>
      <c r="M1394" t="s">
        <v>27</v>
      </c>
      <c r="N1394">
        <v>1</v>
      </c>
      <c r="O1394">
        <v>1281</v>
      </c>
      <c r="P1394">
        <v>1108</v>
      </c>
      <c r="Q1394">
        <v>0</v>
      </c>
      <c r="R1394">
        <v>1108</v>
      </c>
    </row>
    <row r="1395" spans="1:18" x14ac:dyDescent="0.3">
      <c r="A1395" s="5">
        <v>45966</v>
      </c>
      <c r="B1395" t="s">
        <v>2043</v>
      </c>
      <c r="C1395">
        <v>10</v>
      </c>
      <c r="D1395">
        <v>36</v>
      </c>
      <c r="E1395" s="1">
        <v>1.0833333333333333</v>
      </c>
      <c r="F1395" t="s">
        <v>2044</v>
      </c>
      <c r="G1395">
        <v>4</v>
      </c>
      <c r="H1395">
        <v>1081.3825999999999</v>
      </c>
      <c r="I1395">
        <v>7</v>
      </c>
      <c r="J1395">
        <v>1163.79</v>
      </c>
      <c r="K1395">
        <v>5.4825867599182097</v>
      </c>
      <c r="L1395">
        <v>1158.8800000000001</v>
      </c>
      <c r="M1395" t="s">
        <v>27</v>
      </c>
      <c r="N1395">
        <v>1</v>
      </c>
      <c r="O1395">
        <v>1330</v>
      </c>
      <c r="P1395">
        <v>1157</v>
      </c>
      <c r="Q1395">
        <v>0</v>
      </c>
      <c r="R1395">
        <v>1157</v>
      </c>
    </row>
    <row r="1396" spans="1:18" x14ac:dyDescent="0.3">
      <c r="A1396" s="5">
        <v>45966</v>
      </c>
      <c r="B1396" t="s">
        <v>2045</v>
      </c>
      <c r="C1396">
        <v>24</v>
      </c>
      <c r="D1396">
        <v>27</v>
      </c>
      <c r="E1396" s="1">
        <v>1.25</v>
      </c>
      <c r="F1396" t="s">
        <v>2046</v>
      </c>
      <c r="G1396">
        <v>0</v>
      </c>
      <c r="H1396">
        <v>1080.9965999999999</v>
      </c>
      <c r="I1396">
        <v>2.5</v>
      </c>
      <c r="J1396">
        <v>1163.79</v>
      </c>
      <c r="K1396">
        <v>1.9580666999707901</v>
      </c>
      <c r="L1396">
        <v>1158.8800000000001</v>
      </c>
      <c r="M1396" t="s">
        <v>27</v>
      </c>
      <c r="N1396">
        <v>1</v>
      </c>
      <c r="O1396">
        <v>1281</v>
      </c>
      <c r="P1396">
        <v>1108</v>
      </c>
      <c r="Q1396">
        <v>0</v>
      </c>
      <c r="R1396">
        <v>1108</v>
      </c>
    </row>
    <row r="1397" spans="1:18" x14ac:dyDescent="0.3">
      <c r="A1397" s="5">
        <v>45966</v>
      </c>
      <c r="B1397" t="s">
        <v>2047</v>
      </c>
      <c r="C1397">
        <v>24</v>
      </c>
      <c r="D1397">
        <v>36</v>
      </c>
      <c r="E1397" s="1">
        <v>1.9791666666666665</v>
      </c>
      <c r="F1397" t="s">
        <v>2048</v>
      </c>
      <c r="G1397">
        <v>0</v>
      </c>
      <c r="H1397">
        <v>1080.7711999999999</v>
      </c>
      <c r="I1397">
        <v>2.5</v>
      </c>
      <c r="J1397">
        <v>1163.79</v>
      </c>
      <c r="K1397">
        <v>1.9580666999707901</v>
      </c>
      <c r="L1397">
        <v>1158.8800000000001</v>
      </c>
      <c r="M1397" t="s">
        <v>27</v>
      </c>
      <c r="N1397">
        <v>1</v>
      </c>
      <c r="O1397">
        <v>1281</v>
      </c>
      <c r="P1397">
        <v>1108</v>
      </c>
      <c r="Q1397">
        <v>0</v>
      </c>
      <c r="R1397">
        <v>1108</v>
      </c>
    </row>
    <row r="1398" spans="1:18" x14ac:dyDescent="0.3">
      <c r="A1398" s="5">
        <v>45966</v>
      </c>
      <c r="B1398" t="s">
        <v>2049</v>
      </c>
      <c r="C1398">
        <v>1</v>
      </c>
      <c r="D1398">
        <v>36</v>
      </c>
      <c r="E1398" s="1">
        <v>1.9993055555555554</v>
      </c>
      <c r="F1398" t="s">
        <v>2050</v>
      </c>
      <c r="G1398">
        <v>2</v>
      </c>
      <c r="H1398">
        <v>1081.3688999999999</v>
      </c>
      <c r="I1398">
        <v>5</v>
      </c>
      <c r="J1398">
        <v>1163.79</v>
      </c>
      <c r="K1398">
        <v>3.9161333999415802</v>
      </c>
      <c r="L1398">
        <v>609.91</v>
      </c>
      <c r="M1398" t="s">
        <v>60</v>
      </c>
      <c r="N1398">
        <v>1</v>
      </c>
      <c r="O1398">
        <v>1308</v>
      </c>
      <c r="P1398">
        <v>1135</v>
      </c>
      <c r="Q1398">
        <v>0.5</v>
      </c>
      <c r="R1398">
        <v>567.5</v>
      </c>
    </row>
    <row r="1399" spans="1:18" x14ac:dyDescent="0.3">
      <c r="A1399" s="5">
        <v>45966</v>
      </c>
      <c r="B1399" t="s">
        <v>2051</v>
      </c>
      <c r="C1399">
        <v>32</v>
      </c>
      <c r="D1399">
        <v>36</v>
      </c>
      <c r="E1399" s="1">
        <v>1.0833333333333333</v>
      </c>
      <c r="F1399" t="s">
        <v>2052</v>
      </c>
      <c r="G1399">
        <v>0</v>
      </c>
      <c r="H1399">
        <v>1080.854</v>
      </c>
      <c r="I1399">
        <v>2.5</v>
      </c>
      <c r="J1399">
        <v>1163.79</v>
      </c>
      <c r="K1399">
        <v>1.9580666999707901</v>
      </c>
      <c r="L1399">
        <v>1158.8800000000001</v>
      </c>
      <c r="M1399" t="s">
        <v>27</v>
      </c>
      <c r="N1399">
        <v>1</v>
      </c>
      <c r="O1399">
        <v>1281</v>
      </c>
      <c r="P1399">
        <v>1108</v>
      </c>
      <c r="Q1399">
        <v>0</v>
      </c>
      <c r="R1399">
        <v>1108</v>
      </c>
    </row>
    <row r="1400" spans="1:18" x14ac:dyDescent="0.3">
      <c r="A1400" s="5">
        <v>45966</v>
      </c>
      <c r="B1400" t="s">
        <v>2053</v>
      </c>
      <c r="C1400">
        <v>36</v>
      </c>
      <c r="D1400">
        <v>36</v>
      </c>
      <c r="E1400" s="1">
        <v>1.4583333333333333</v>
      </c>
      <c r="F1400" t="s">
        <v>2054</v>
      </c>
      <c r="G1400">
        <v>0</v>
      </c>
      <c r="H1400">
        <v>1080.8342</v>
      </c>
      <c r="I1400">
        <v>2.5</v>
      </c>
      <c r="J1400">
        <v>1163.79</v>
      </c>
      <c r="K1400">
        <v>1.9580666999707901</v>
      </c>
      <c r="L1400">
        <v>1158.8800000000001</v>
      </c>
      <c r="M1400" t="s">
        <v>27</v>
      </c>
      <c r="N1400">
        <v>1</v>
      </c>
      <c r="O1400">
        <v>1281</v>
      </c>
      <c r="P1400">
        <v>1108</v>
      </c>
      <c r="Q1400">
        <v>0</v>
      </c>
      <c r="R1400">
        <v>1108</v>
      </c>
    </row>
    <row r="1401" spans="1:18" x14ac:dyDescent="0.3">
      <c r="A1401" s="5">
        <v>45966</v>
      </c>
      <c r="B1401" t="s">
        <v>2055</v>
      </c>
      <c r="C1401">
        <v>21</v>
      </c>
      <c r="D1401">
        <v>36</v>
      </c>
      <c r="E1401" s="1">
        <v>1.0833333333333333</v>
      </c>
      <c r="F1401" t="s">
        <v>1273</v>
      </c>
      <c r="G1401">
        <v>0</v>
      </c>
      <c r="H1401">
        <v>1081.1842999999999</v>
      </c>
      <c r="I1401">
        <v>2.5</v>
      </c>
      <c r="J1401">
        <v>1163.79</v>
      </c>
      <c r="K1401">
        <v>1.9580666999707901</v>
      </c>
      <c r="L1401">
        <v>1158.8800000000001</v>
      </c>
      <c r="M1401" t="s">
        <v>27</v>
      </c>
      <c r="N1401">
        <v>1</v>
      </c>
      <c r="O1401">
        <v>1281</v>
      </c>
      <c r="P1401">
        <v>1108</v>
      </c>
      <c r="Q1401">
        <v>0</v>
      </c>
      <c r="R1401">
        <v>1108</v>
      </c>
    </row>
    <row r="1402" spans="1:18" x14ac:dyDescent="0.3">
      <c r="A1402" s="5">
        <v>45966</v>
      </c>
      <c r="B1402" t="s">
        <v>2055</v>
      </c>
      <c r="C1402">
        <v>21</v>
      </c>
      <c r="D1402">
        <v>36</v>
      </c>
      <c r="E1402" s="1">
        <v>1.0833333333333333</v>
      </c>
      <c r="F1402" t="s">
        <v>1273</v>
      </c>
      <c r="G1402">
        <v>0</v>
      </c>
      <c r="H1402">
        <v>1081.1842999999999</v>
      </c>
      <c r="I1402">
        <v>2.5</v>
      </c>
      <c r="J1402">
        <v>1163.79</v>
      </c>
      <c r="K1402">
        <v>1.9580666999707901</v>
      </c>
      <c r="L1402">
        <v>1158.8800000000001</v>
      </c>
      <c r="M1402" t="s">
        <v>27</v>
      </c>
      <c r="N1402">
        <v>1</v>
      </c>
      <c r="O1402">
        <v>1281</v>
      </c>
      <c r="P1402">
        <v>1108</v>
      </c>
      <c r="Q1402">
        <v>0</v>
      </c>
      <c r="R1402">
        <v>1108</v>
      </c>
    </row>
    <row r="1403" spans="1:18" x14ac:dyDescent="0.3">
      <c r="A1403" s="5">
        <v>45966</v>
      </c>
      <c r="B1403" t="s">
        <v>2055</v>
      </c>
      <c r="C1403">
        <v>21</v>
      </c>
      <c r="D1403">
        <v>36</v>
      </c>
      <c r="E1403" s="1">
        <v>1.0833333333333333</v>
      </c>
      <c r="F1403" t="s">
        <v>1273</v>
      </c>
      <c r="G1403">
        <v>0</v>
      </c>
      <c r="H1403">
        <v>1081.1842999999999</v>
      </c>
      <c r="I1403">
        <v>2.5</v>
      </c>
      <c r="J1403">
        <v>1163.79</v>
      </c>
      <c r="K1403">
        <v>1.9580666999707901</v>
      </c>
      <c r="L1403">
        <v>1158.8800000000001</v>
      </c>
      <c r="M1403" t="s">
        <v>27</v>
      </c>
      <c r="N1403">
        <v>1</v>
      </c>
      <c r="O1403">
        <v>1281</v>
      </c>
      <c r="P1403">
        <v>1108</v>
      </c>
      <c r="Q1403">
        <v>0</v>
      </c>
      <c r="R1403">
        <v>1108</v>
      </c>
    </row>
    <row r="1404" spans="1:18" x14ac:dyDescent="0.3">
      <c r="A1404" s="5">
        <v>45966</v>
      </c>
      <c r="B1404" t="s">
        <v>2056</v>
      </c>
      <c r="C1404">
        <v>27</v>
      </c>
      <c r="D1404">
        <v>36</v>
      </c>
      <c r="E1404" s="1">
        <v>1.0833333333333333</v>
      </c>
      <c r="F1404" t="s">
        <v>1273</v>
      </c>
      <c r="G1404">
        <v>0</v>
      </c>
      <c r="H1404">
        <v>1080.9438</v>
      </c>
      <c r="I1404">
        <v>2.5</v>
      </c>
      <c r="J1404">
        <v>1163.79</v>
      </c>
      <c r="K1404">
        <v>1.9580666999707901</v>
      </c>
      <c r="L1404">
        <v>1158.8800000000001</v>
      </c>
      <c r="M1404" t="s">
        <v>27</v>
      </c>
      <c r="N1404">
        <v>1</v>
      </c>
      <c r="O1404">
        <v>1281</v>
      </c>
      <c r="P1404">
        <v>1108</v>
      </c>
      <c r="Q1404">
        <v>0</v>
      </c>
      <c r="R1404">
        <v>1108</v>
      </c>
    </row>
    <row r="1405" spans="1:18" x14ac:dyDescent="0.3">
      <c r="A1405" s="5">
        <v>45966</v>
      </c>
      <c r="B1405" t="s">
        <v>2056</v>
      </c>
      <c r="C1405">
        <v>27</v>
      </c>
      <c r="D1405">
        <v>36</v>
      </c>
      <c r="E1405" s="1">
        <v>1.0833333333333333</v>
      </c>
      <c r="F1405" t="s">
        <v>1273</v>
      </c>
      <c r="G1405">
        <v>0</v>
      </c>
      <c r="H1405">
        <v>1080.9438</v>
      </c>
      <c r="I1405">
        <v>2.5</v>
      </c>
      <c r="J1405">
        <v>1163.79</v>
      </c>
      <c r="K1405">
        <v>1.9580666999707901</v>
      </c>
      <c r="L1405">
        <v>1158.8800000000001</v>
      </c>
      <c r="M1405" t="s">
        <v>27</v>
      </c>
      <c r="N1405">
        <v>1</v>
      </c>
      <c r="O1405">
        <v>1281</v>
      </c>
      <c r="P1405">
        <v>1108</v>
      </c>
      <c r="Q1405">
        <v>0</v>
      </c>
      <c r="R1405">
        <v>1108</v>
      </c>
    </row>
    <row r="1406" spans="1:18" x14ac:dyDescent="0.3">
      <c r="A1406" s="5">
        <v>45966</v>
      </c>
      <c r="B1406" t="s">
        <v>2056</v>
      </c>
      <c r="C1406">
        <v>27</v>
      </c>
      <c r="D1406">
        <v>36</v>
      </c>
      <c r="E1406" s="1">
        <v>1.0833333333333333</v>
      </c>
      <c r="F1406" t="s">
        <v>1273</v>
      </c>
      <c r="G1406">
        <v>0</v>
      </c>
      <c r="H1406">
        <v>1080.9438</v>
      </c>
      <c r="I1406">
        <v>2.5</v>
      </c>
      <c r="J1406">
        <v>1163.79</v>
      </c>
      <c r="K1406">
        <v>1.9580666999707901</v>
      </c>
      <c r="L1406">
        <v>1158.8800000000001</v>
      </c>
      <c r="M1406" t="s">
        <v>27</v>
      </c>
      <c r="N1406">
        <v>1</v>
      </c>
      <c r="O1406">
        <v>1281</v>
      </c>
      <c r="P1406">
        <v>1108</v>
      </c>
      <c r="Q1406">
        <v>0</v>
      </c>
      <c r="R1406">
        <v>1108</v>
      </c>
    </row>
    <row r="1407" spans="1:18" x14ac:dyDescent="0.3">
      <c r="A1407" s="5">
        <v>45966</v>
      </c>
      <c r="B1407" t="s">
        <v>2057</v>
      </c>
      <c r="C1407">
        <v>36</v>
      </c>
      <c r="D1407">
        <v>36</v>
      </c>
      <c r="E1407" s="1">
        <v>1.0833333333333333</v>
      </c>
      <c r="F1407" t="s">
        <v>1273</v>
      </c>
      <c r="G1407">
        <v>0</v>
      </c>
      <c r="H1407">
        <v>1080.7819</v>
      </c>
      <c r="I1407">
        <v>2.5</v>
      </c>
      <c r="J1407">
        <v>1163.79</v>
      </c>
      <c r="K1407">
        <v>1.9580666999707901</v>
      </c>
      <c r="L1407">
        <v>1158.8800000000001</v>
      </c>
      <c r="M1407" t="s">
        <v>27</v>
      </c>
      <c r="N1407">
        <v>1</v>
      </c>
      <c r="O1407">
        <v>1281</v>
      </c>
      <c r="P1407">
        <v>1108</v>
      </c>
      <c r="Q1407">
        <v>0</v>
      </c>
      <c r="R1407">
        <v>1108</v>
      </c>
    </row>
    <row r="1408" spans="1:18" x14ac:dyDescent="0.3">
      <c r="A1408" s="5">
        <v>45966</v>
      </c>
      <c r="B1408" t="s">
        <v>2057</v>
      </c>
      <c r="C1408">
        <v>36</v>
      </c>
      <c r="D1408">
        <v>36</v>
      </c>
      <c r="E1408" s="1">
        <v>1.0833333333333333</v>
      </c>
      <c r="F1408" t="s">
        <v>1273</v>
      </c>
      <c r="G1408">
        <v>0</v>
      </c>
      <c r="H1408">
        <v>1080.7819</v>
      </c>
      <c r="I1408">
        <v>2.5</v>
      </c>
      <c r="J1408">
        <v>1163.79</v>
      </c>
      <c r="K1408">
        <v>1.9580666999707901</v>
      </c>
      <c r="L1408">
        <v>1158.8800000000001</v>
      </c>
      <c r="M1408" t="s">
        <v>27</v>
      </c>
      <c r="N1408">
        <v>1</v>
      </c>
      <c r="O1408">
        <v>1281</v>
      </c>
      <c r="P1408">
        <v>1108</v>
      </c>
      <c r="Q1408">
        <v>0</v>
      </c>
      <c r="R1408">
        <v>1108</v>
      </c>
    </row>
    <row r="1409" spans="1:18" x14ac:dyDescent="0.3">
      <c r="A1409" s="5">
        <v>45966</v>
      </c>
      <c r="B1409" t="s">
        <v>2057</v>
      </c>
      <c r="C1409">
        <v>36</v>
      </c>
      <c r="D1409">
        <v>36</v>
      </c>
      <c r="E1409" s="1">
        <v>1.0833333333333333</v>
      </c>
      <c r="F1409" t="s">
        <v>1273</v>
      </c>
      <c r="G1409">
        <v>0</v>
      </c>
      <c r="H1409">
        <v>1080.7819</v>
      </c>
      <c r="I1409">
        <v>2.5</v>
      </c>
      <c r="J1409">
        <v>1163.79</v>
      </c>
      <c r="K1409">
        <v>1.9580666999707901</v>
      </c>
      <c r="L1409">
        <v>1158.8800000000001</v>
      </c>
      <c r="M1409" t="s">
        <v>27</v>
      </c>
      <c r="N1409">
        <v>1</v>
      </c>
      <c r="O1409">
        <v>1281</v>
      </c>
      <c r="P1409">
        <v>1108</v>
      </c>
      <c r="Q1409">
        <v>0</v>
      </c>
      <c r="R1409">
        <v>1108</v>
      </c>
    </row>
    <row r="1410" spans="1:18" x14ac:dyDescent="0.3">
      <c r="A1410" s="5">
        <v>45966</v>
      </c>
      <c r="B1410" t="s">
        <v>2058</v>
      </c>
      <c r="C1410">
        <v>24</v>
      </c>
      <c r="D1410">
        <v>36</v>
      </c>
      <c r="E1410" s="1">
        <v>1.0833333333333333</v>
      </c>
      <c r="F1410" t="s">
        <v>1273</v>
      </c>
      <c r="G1410">
        <v>0</v>
      </c>
      <c r="H1410">
        <v>1080.9975999999999</v>
      </c>
      <c r="I1410">
        <v>2.5</v>
      </c>
      <c r="J1410">
        <v>1163.79</v>
      </c>
      <c r="K1410">
        <v>1.9580666999707901</v>
      </c>
      <c r="L1410">
        <v>1158.8800000000001</v>
      </c>
      <c r="M1410" t="s">
        <v>27</v>
      </c>
      <c r="N1410">
        <v>1</v>
      </c>
      <c r="O1410">
        <v>1281</v>
      </c>
      <c r="P1410">
        <v>1108</v>
      </c>
      <c r="Q1410">
        <v>0</v>
      </c>
      <c r="R1410">
        <v>1108</v>
      </c>
    </row>
    <row r="1411" spans="1:18" x14ac:dyDescent="0.3">
      <c r="A1411" s="5">
        <v>45966</v>
      </c>
      <c r="B1411" t="s">
        <v>2058</v>
      </c>
      <c r="C1411">
        <v>24</v>
      </c>
      <c r="D1411">
        <v>36</v>
      </c>
      <c r="E1411" s="1">
        <v>1.0833333333333333</v>
      </c>
      <c r="F1411" t="s">
        <v>1273</v>
      </c>
      <c r="G1411">
        <v>0</v>
      </c>
      <c r="H1411">
        <v>1080.9975999999999</v>
      </c>
      <c r="I1411">
        <v>2.5</v>
      </c>
      <c r="J1411">
        <v>1163.79</v>
      </c>
      <c r="K1411">
        <v>1.9580666999707901</v>
      </c>
      <c r="L1411">
        <v>1158.8800000000001</v>
      </c>
      <c r="M1411" t="s">
        <v>27</v>
      </c>
      <c r="N1411">
        <v>1</v>
      </c>
      <c r="O1411">
        <v>1281</v>
      </c>
      <c r="P1411">
        <v>1108</v>
      </c>
      <c r="Q1411">
        <v>0</v>
      </c>
      <c r="R1411">
        <v>1108</v>
      </c>
    </row>
    <row r="1412" spans="1:18" x14ac:dyDescent="0.3">
      <c r="A1412" s="5">
        <v>45966</v>
      </c>
      <c r="B1412" t="s">
        <v>2058</v>
      </c>
      <c r="C1412">
        <v>24</v>
      </c>
      <c r="D1412">
        <v>36</v>
      </c>
      <c r="E1412" s="1">
        <v>1.0833333333333333</v>
      </c>
      <c r="F1412" t="s">
        <v>1273</v>
      </c>
      <c r="G1412">
        <v>0</v>
      </c>
      <c r="H1412">
        <v>1080.9975999999999</v>
      </c>
      <c r="I1412">
        <v>2.5</v>
      </c>
      <c r="J1412">
        <v>1163.79</v>
      </c>
      <c r="K1412">
        <v>1.9580666999707901</v>
      </c>
      <c r="L1412">
        <v>1158.8800000000001</v>
      </c>
      <c r="M1412" t="s">
        <v>27</v>
      </c>
      <c r="N1412">
        <v>1</v>
      </c>
      <c r="O1412">
        <v>1281</v>
      </c>
      <c r="P1412">
        <v>1108</v>
      </c>
      <c r="Q1412">
        <v>0</v>
      </c>
      <c r="R1412">
        <v>1108</v>
      </c>
    </row>
    <row r="1413" spans="1:18" x14ac:dyDescent="0.3">
      <c r="A1413" s="5">
        <v>45966</v>
      </c>
      <c r="B1413" t="s">
        <v>2059</v>
      </c>
      <c r="C1413">
        <v>9</v>
      </c>
      <c r="D1413">
        <v>36</v>
      </c>
      <c r="E1413" s="1">
        <v>1.9993055555555554</v>
      </c>
      <c r="F1413" t="s">
        <v>2060</v>
      </c>
      <c r="G1413">
        <v>5</v>
      </c>
      <c r="H1413">
        <v>1081.1727000000001</v>
      </c>
      <c r="I1413">
        <v>0</v>
      </c>
      <c r="J1413">
        <v>1163.79</v>
      </c>
      <c r="K1413">
        <v>0</v>
      </c>
      <c r="L1413">
        <v>1116.3800000000001</v>
      </c>
      <c r="M1413" t="s">
        <v>27</v>
      </c>
      <c r="N1413">
        <v>1</v>
      </c>
      <c r="O1413">
        <v>1254</v>
      </c>
      <c r="P1413">
        <v>1081</v>
      </c>
      <c r="Q1413">
        <v>0</v>
      </c>
      <c r="R1413">
        <v>1081</v>
      </c>
    </row>
    <row r="1414" spans="1:18" x14ac:dyDescent="0.3">
      <c r="A1414" s="5">
        <v>45966</v>
      </c>
      <c r="B1414" t="s">
        <v>2061</v>
      </c>
      <c r="C1414">
        <v>24</v>
      </c>
      <c r="D1414">
        <v>36</v>
      </c>
      <c r="E1414" s="1">
        <v>1.9993055555555554</v>
      </c>
      <c r="F1414" t="s">
        <v>2062</v>
      </c>
      <c r="G1414">
        <v>0</v>
      </c>
      <c r="H1414">
        <v>1080.7705000000001</v>
      </c>
      <c r="I1414">
        <v>2.5</v>
      </c>
      <c r="J1414">
        <v>1163.79</v>
      </c>
      <c r="K1414">
        <v>1.9580666999707901</v>
      </c>
      <c r="L1414">
        <v>1158.8800000000001</v>
      </c>
      <c r="M1414" t="s">
        <v>27</v>
      </c>
      <c r="N1414">
        <v>1</v>
      </c>
      <c r="O1414">
        <v>1281</v>
      </c>
      <c r="P1414">
        <v>1108</v>
      </c>
      <c r="Q1414">
        <v>0</v>
      </c>
      <c r="R1414">
        <v>1108</v>
      </c>
    </row>
    <row r="1415" spans="1:18" x14ac:dyDescent="0.3">
      <c r="A1415" s="5">
        <v>45966</v>
      </c>
      <c r="B1415" t="s">
        <v>2063</v>
      </c>
      <c r="C1415">
        <v>27</v>
      </c>
      <c r="D1415">
        <v>36</v>
      </c>
      <c r="E1415" s="1">
        <v>1.9993055555555554</v>
      </c>
      <c r="F1415" t="s">
        <v>2062</v>
      </c>
      <c r="G1415">
        <v>0</v>
      </c>
      <c r="H1415">
        <v>1080.7164</v>
      </c>
      <c r="I1415">
        <v>2.5</v>
      </c>
      <c r="J1415">
        <v>1163.79</v>
      </c>
      <c r="K1415">
        <v>1.9580666999707901</v>
      </c>
      <c r="L1415">
        <v>1158.8800000000001</v>
      </c>
      <c r="M1415" t="s">
        <v>27</v>
      </c>
      <c r="N1415">
        <v>1</v>
      </c>
      <c r="O1415">
        <v>1281</v>
      </c>
      <c r="P1415">
        <v>1108</v>
      </c>
      <c r="Q1415">
        <v>0</v>
      </c>
      <c r="R1415">
        <v>1108</v>
      </c>
    </row>
    <row r="1416" spans="1:18" x14ac:dyDescent="0.3">
      <c r="A1416" s="5">
        <v>45966</v>
      </c>
      <c r="B1416" t="s">
        <v>2064</v>
      </c>
      <c r="C1416">
        <v>27</v>
      </c>
      <c r="D1416">
        <v>36</v>
      </c>
      <c r="E1416" s="1">
        <v>1.4583333333333333</v>
      </c>
      <c r="F1416" t="s">
        <v>2065</v>
      </c>
      <c r="G1416">
        <v>4</v>
      </c>
      <c r="H1416">
        <v>1080.9951000000001</v>
      </c>
      <c r="I1416">
        <v>7</v>
      </c>
      <c r="J1416">
        <v>1163.79</v>
      </c>
      <c r="K1416">
        <v>5.4825867599182097</v>
      </c>
      <c r="L1416">
        <v>1158.8800000000001</v>
      </c>
      <c r="M1416" t="s">
        <v>27</v>
      </c>
      <c r="N1416">
        <v>1</v>
      </c>
      <c r="O1416">
        <v>1330</v>
      </c>
      <c r="P1416">
        <v>1157</v>
      </c>
      <c r="Q1416">
        <v>0</v>
      </c>
      <c r="R1416">
        <v>1157</v>
      </c>
    </row>
    <row r="1417" spans="1:18" x14ac:dyDescent="0.3">
      <c r="A1417" s="5">
        <v>45966</v>
      </c>
      <c r="B1417" t="s">
        <v>2066</v>
      </c>
      <c r="C1417">
        <v>33</v>
      </c>
      <c r="D1417">
        <v>36</v>
      </c>
      <c r="E1417" s="1">
        <v>1.9652777777777777</v>
      </c>
      <c r="F1417" t="s">
        <v>2067</v>
      </c>
      <c r="G1417">
        <v>3</v>
      </c>
      <c r="H1417">
        <v>1080.6151</v>
      </c>
      <c r="I1417">
        <v>10</v>
      </c>
      <c r="J1417">
        <v>1163.79</v>
      </c>
      <c r="K1417">
        <v>7.8322667998831603</v>
      </c>
      <c r="L1417">
        <v>609.91</v>
      </c>
      <c r="M1417" t="s">
        <v>20</v>
      </c>
      <c r="N1417">
        <v>1</v>
      </c>
      <c r="O1417">
        <v>1362</v>
      </c>
      <c r="P1417">
        <v>1189</v>
      </c>
      <c r="Q1417">
        <v>0.5</v>
      </c>
      <c r="R1417">
        <v>594.5</v>
      </c>
    </row>
    <row r="1418" spans="1:18" x14ac:dyDescent="0.3">
      <c r="A1418" s="5">
        <v>45966</v>
      </c>
      <c r="B1418" t="s">
        <v>2068</v>
      </c>
      <c r="C1418">
        <v>34</v>
      </c>
      <c r="D1418">
        <v>36</v>
      </c>
      <c r="E1418" s="1">
        <v>1.9652777777777777</v>
      </c>
      <c r="F1418" t="s">
        <v>2069</v>
      </c>
      <c r="G1418">
        <v>3</v>
      </c>
      <c r="H1418">
        <v>1080.5969</v>
      </c>
      <c r="I1418">
        <v>10</v>
      </c>
      <c r="J1418">
        <v>1163.79</v>
      </c>
      <c r="K1418">
        <v>7.8322667998831603</v>
      </c>
      <c r="L1418">
        <v>609.91</v>
      </c>
      <c r="M1418" t="s">
        <v>20</v>
      </c>
      <c r="N1418">
        <v>1</v>
      </c>
      <c r="O1418">
        <v>1362</v>
      </c>
      <c r="P1418">
        <v>1189</v>
      </c>
      <c r="Q1418">
        <v>0.5</v>
      </c>
      <c r="R1418">
        <v>594.5</v>
      </c>
    </row>
    <row r="1419" spans="1:18" x14ac:dyDescent="0.3">
      <c r="A1419" s="5">
        <v>45966</v>
      </c>
      <c r="B1419" t="s">
        <v>2070</v>
      </c>
      <c r="C1419">
        <v>35</v>
      </c>
      <c r="D1419">
        <v>36</v>
      </c>
      <c r="E1419" s="1">
        <v>1.9993055555555554</v>
      </c>
      <c r="F1419" t="s">
        <v>2071</v>
      </c>
      <c r="G1419">
        <v>5</v>
      </c>
      <c r="H1419">
        <v>1080.5726</v>
      </c>
      <c r="I1419">
        <v>0</v>
      </c>
      <c r="J1419">
        <v>1163.79</v>
      </c>
      <c r="K1419">
        <v>0</v>
      </c>
      <c r="L1419">
        <v>609.91</v>
      </c>
      <c r="M1419" t="s">
        <v>77</v>
      </c>
      <c r="N1419">
        <v>1</v>
      </c>
      <c r="O1419">
        <v>1253</v>
      </c>
      <c r="P1419">
        <v>1081</v>
      </c>
      <c r="Q1419">
        <v>0.5</v>
      </c>
      <c r="R1419">
        <v>540.5</v>
      </c>
    </row>
    <row r="1420" spans="1:18" x14ac:dyDescent="0.3">
      <c r="A1420" s="5">
        <v>45966</v>
      </c>
      <c r="B1420" t="s">
        <v>2072</v>
      </c>
      <c r="C1420">
        <v>35</v>
      </c>
      <c r="D1420">
        <v>36</v>
      </c>
      <c r="E1420" s="1">
        <v>1.9652777777777777</v>
      </c>
      <c r="F1420" t="s">
        <v>2073</v>
      </c>
      <c r="G1420">
        <v>1</v>
      </c>
      <c r="H1420">
        <v>1080.5784000000001</v>
      </c>
      <c r="I1420">
        <v>8.5</v>
      </c>
      <c r="J1420">
        <v>1163.79</v>
      </c>
      <c r="K1420">
        <v>6.6574267799006801</v>
      </c>
      <c r="L1420">
        <v>1219.83</v>
      </c>
      <c r="M1420" t="s">
        <v>27</v>
      </c>
      <c r="N1420">
        <v>1</v>
      </c>
      <c r="O1420">
        <v>1345</v>
      </c>
      <c r="P1420">
        <v>1172</v>
      </c>
      <c r="Q1420">
        <v>0</v>
      </c>
      <c r="R1420">
        <v>1172</v>
      </c>
    </row>
    <row r="1421" spans="1:18" x14ac:dyDescent="0.3">
      <c r="A1421" s="5">
        <v>45966</v>
      </c>
      <c r="B1421" t="s">
        <v>2074</v>
      </c>
      <c r="C1421">
        <v>1</v>
      </c>
      <c r="D1421">
        <v>36</v>
      </c>
      <c r="E1421" s="1">
        <v>1.9791666666666665</v>
      </c>
      <c r="F1421" t="s">
        <v>2075</v>
      </c>
      <c r="G1421">
        <v>5</v>
      </c>
      <c r="H1421">
        <v>1081.3085000000001</v>
      </c>
      <c r="I1421">
        <v>0</v>
      </c>
      <c r="J1421">
        <v>1163.79</v>
      </c>
      <c r="K1421">
        <v>0</v>
      </c>
      <c r="L1421">
        <v>1116.3800000000001</v>
      </c>
      <c r="M1421" t="s">
        <v>27</v>
      </c>
      <c r="N1421">
        <v>1</v>
      </c>
      <c r="O1421">
        <v>1254</v>
      </c>
      <c r="P1421">
        <v>1081</v>
      </c>
      <c r="Q1421">
        <v>0</v>
      </c>
      <c r="R1421">
        <v>1081</v>
      </c>
    </row>
    <row r="1422" spans="1:18" x14ac:dyDescent="0.3">
      <c r="A1422" s="5">
        <v>45966</v>
      </c>
      <c r="B1422" t="s">
        <v>2074</v>
      </c>
      <c r="C1422">
        <v>5</v>
      </c>
      <c r="D1422">
        <v>36</v>
      </c>
      <c r="E1422" s="1">
        <v>1.9791666666666665</v>
      </c>
      <c r="F1422" t="s">
        <v>2075</v>
      </c>
      <c r="G1422">
        <v>5</v>
      </c>
      <c r="H1422">
        <v>1081.2366</v>
      </c>
      <c r="I1422">
        <v>0</v>
      </c>
      <c r="J1422">
        <v>1163.79</v>
      </c>
      <c r="K1422">
        <v>0</v>
      </c>
      <c r="L1422">
        <v>1219.83</v>
      </c>
      <c r="M1422" t="s">
        <v>27</v>
      </c>
      <c r="N1422">
        <v>1</v>
      </c>
      <c r="O1422">
        <v>1254</v>
      </c>
      <c r="P1422">
        <v>1081</v>
      </c>
      <c r="Q1422">
        <v>0</v>
      </c>
      <c r="R1422">
        <v>1081</v>
      </c>
    </row>
    <row r="1423" spans="1:18" x14ac:dyDescent="0.3">
      <c r="A1423" s="5">
        <v>45966</v>
      </c>
      <c r="B1423" t="s">
        <v>2076</v>
      </c>
      <c r="C1423">
        <v>6</v>
      </c>
      <c r="D1423">
        <v>36</v>
      </c>
      <c r="E1423" s="1">
        <v>1.9791666666666665</v>
      </c>
      <c r="F1423" t="s">
        <v>2077</v>
      </c>
      <c r="G1423">
        <v>1</v>
      </c>
      <c r="H1423">
        <v>1081.2184999999999</v>
      </c>
      <c r="I1423">
        <v>8.5</v>
      </c>
      <c r="J1423">
        <v>1163.79</v>
      </c>
      <c r="K1423">
        <v>6.6574267799006801</v>
      </c>
      <c r="L1423">
        <v>1219.83</v>
      </c>
      <c r="M1423" t="s">
        <v>27</v>
      </c>
      <c r="N1423">
        <v>1</v>
      </c>
      <c r="O1423">
        <v>1346</v>
      </c>
      <c r="P1423">
        <v>1173</v>
      </c>
      <c r="Q1423">
        <v>0</v>
      </c>
      <c r="R1423">
        <v>1173</v>
      </c>
    </row>
    <row r="1424" spans="1:18" x14ac:dyDescent="0.3">
      <c r="A1424" s="5">
        <v>45966</v>
      </c>
      <c r="B1424" t="s">
        <v>2078</v>
      </c>
      <c r="C1424">
        <v>12</v>
      </c>
      <c r="D1424">
        <v>36</v>
      </c>
      <c r="E1424" s="1">
        <v>1.9993055555555554</v>
      </c>
      <c r="F1424" t="s">
        <v>2079</v>
      </c>
      <c r="G1424">
        <v>5</v>
      </c>
      <c r="H1424">
        <v>1081.1178</v>
      </c>
      <c r="I1424">
        <v>0</v>
      </c>
      <c r="J1424">
        <v>1163.79</v>
      </c>
      <c r="K1424">
        <v>0</v>
      </c>
      <c r="L1424">
        <v>1158.8800000000001</v>
      </c>
      <c r="M1424" t="s">
        <v>27</v>
      </c>
      <c r="N1424">
        <v>1</v>
      </c>
      <c r="O1424">
        <v>1254</v>
      </c>
      <c r="P1424">
        <v>1081</v>
      </c>
      <c r="Q1424">
        <v>0</v>
      </c>
      <c r="R1424">
        <v>1081</v>
      </c>
    </row>
    <row r="1425" spans="1:18" x14ac:dyDescent="0.3">
      <c r="A1425" s="5">
        <v>45966</v>
      </c>
      <c r="B1425" t="s">
        <v>2080</v>
      </c>
      <c r="C1425">
        <v>26</v>
      </c>
      <c r="D1425">
        <v>36</v>
      </c>
      <c r="E1425" s="1">
        <v>1.9993055555555554</v>
      </c>
      <c r="F1425" t="s">
        <v>2081</v>
      </c>
      <c r="G1425">
        <v>4</v>
      </c>
      <c r="H1425">
        <v>1080.7289000000001</v>
      </c>
      <c r="I1425">
        <v>7</v>
      </c>
      <c r="J1425">
        <v>1163.79</v>
      </c>
      <c r="K1425">
        <v>5.4825867599182097</v>
      </c>
      <c r="L1425">
        <v>1158.8800000000001</v>
      </c>
      <c r="M1425" t="s">
        <v>27</v>
      </c>
      <c r="N1425">
        <v>1</v>
      </c>
      <c r="O1425">
        <v>1329</v>
      </c>
      <c r="P1425">
        <v>1156</v>
      </c>
      <c r="Q1425">
        <v>0</v>
      </c>
      <c r="R1425">
        <v>1156</v>
      </c>
    </row>
    <row r="1426" spans="1:18" x14ac:dyDescent="0.3">
      <c r="A1426" s="5">
        <v>45966</v>
      </c>
      <c r="B1426" t="s">
        <v>2080</v>
      </c>
      <c r="C1426">
        <v>26</v>
      </c>
      <c r="D1426">
        <v>36</v>
      </c>
      <c r="E1426" s="1">
        <v>1.9993055555555554</v>
      </c>
      <c r="F1426" t="s">
        <v>2082</v>
      </c>
      <c r="G1426">
        <v>0</v>
      </c>
      <c r="H1426">
        <v>1080.7289000000001</v>
      </c>
      <c r="I1426">
        <v>2.5</v>
      </c>
      <c r="J1426">
        <v>1163.79</v>
      </c>
      <c r="K1426">
        <v>1.9580666999707901</v>
      </c>
      <c r="L1426">
        <v>1158.8800000000001</v>
      </c>
      <c r="M1426" t="s">
        <v>27</v>
      </c>
      <c r="N1426">
        <v>1</v>
      </c>
      <c r="O1426">
        <v>1281</v>
      </c>
      <c r="P1426">
        <v>1108</v>
      </c>
      <c r="Q1426">
        <v>0</v>
      </c>
      <c r="R1426">
        <v>1108</v>
      </c>
    </row>
    <row r="1427" spans="1:18" x14ac:dyDescent="0.3">
      <c r="A1427" s="5">
        <v>45966</v>
      </c>
      <c r="B1427" t="s">
        <v>2083</v>
      </c>
      <c r="C1427">
        <v>25</v>
      </c>
      <c r="D1427">
        <v>36</v>
      </c>
      <c r="E1427" s="1">
        <v>1.9993055555555554</v>
      </c>
      <c r="F1427" t="s">
        <v>2081</v>
      </c>
      <c r="G1427">
        <v>4</v>
      </c>
      <c r="H1427">
        <v>1080.7467999999999</v>
      </c>
      <c r="I1427">
        <v>7</v>
      </c>
      <c r="J1427">
        <v>1163.79</v>
      </c>
      <c r="K1427">
        <v>5.4825867599182097</v>
      </c>
      <c r="L1427">
        <v>1158.8800000000001</v>
      </c>
      <c r="M1427" t="s">
        <v>27</v>
      </c>
      <c r="N1427">
        <v>1</v>
      </c>
      <c r="O1427">
        <v>1329</v>
      </c>
      <c r="P1427">
        <v>1156</v>
      </c>
      <c r="Q1427">
        <v>0</v>
      </c>
      <c r="R1427">
        <v>1156</v>
      </c>
    </row>
    <row r="1428" spans="1:18" x14ac:dyDescent="0.3">
      <c r="A1428" s="5">
        <v>45966</v>
      </c>
      <c r="B1428" t="s">
        <v>2083</v>
      </c>
      <c r="C1428">
        <v>25</v>
      </c>
      <c r="D1428">
        <v>36</v>
      </c>
      <c r="E1428" s="1">
        <v>1.9993055555555554</v>
      </c>
      <c r="F1428" t="s">
        <v>2082</v>
      </c>
      <c r="G1428">
        <v>0</v>
      </c>
      <c r="H1428">
        <v>1080.7467999999999</v>
      </c>
      <c r="I1428">
        <v>2.5</v>
      </c>
      <c r="J1428">
        <v>1163.79</v>
      </c>
      <c r="K1428">
        <v>1.9580666999707901</v>
      </c>
      <c r="L1428">
        <v>1158.8800000000001</v>
      </c>
      <c r="M1428" t="s">
        <v>27</v>
      </c>
      <c r="N1428">
        <v>1</v>
      </c>
      <c r="O1428">
        <v>1281</v>
      </c>
      <c r="P1428">
        <v>1108</v>
      </c>
      <c r="Q1428">
        <v>0</v>
      </c>
      <c r="R1428">
        <v>1108</v>
      </c>
    </row>
    <row r="1429" spans="1:18" x14ac:dyDescent="0.3">
      <c r="A1429" s="5">
        <v>45966</v>
      </c>
      <c r="B1429" t="s">
        <v>2084</v>
      </c>
      <c r="C1429">
        <v>15</v>
      </c>
      <c r="D1429">
        <v>36</v>
      </c>
      <c r="E1429" s="1">
        <v>1.9993055555555554</v>
      </c>
      <c r="F1429" t="s">
        <v>2085</v>
      </c>
      <c r="G1429">
        <v>5</v>
      </c>
      <c r="H1429">
        <v>1081.0640000000001</v>
      </c>
      <c r="I1429">
        <v>0</v>
      </c>
      <c r="J1429">
        <v>1163.79</v>
      </c>
      <c r="K1429">
        <v>0</v>
      </c>
      <c r="L1429">
        <v>1158.8800000000001</v>
      </c>
      <c r="M1429" t="s">
        <v>27</v>
      </c>
      <c r="N1429">
        <v>1</v>
      </c>
      <c r="O1429">
        <v>1254</v>
      </c>
      <c r="P1429">
        <v>1081</v>
      </c>
      <c r="Q1429">
        <v>0</v>
      </c>
      <c r="R1429">
        <v>1081</v>
      </c>
    </row>
    <row r="1430" spans="1:18" x14ac:dyDescent="0.3">
      <c r="A1430" s="5">
        <v>45966</v>
      </c>
      <c r="B1430" t="s">
        <v>2086</v>
      </c>
      <c r="C1430">
        <v>14</v>
      </c>
      <c r="D1430">
        <v>36</v>
      </c>
      <c r="E1430" s="1">
        <v>1.9993055555555554</v>
      </c>
      <c r="F1430" t="s">
        <v>2087</v>
      </c>
      <c r="G1430">
        <v>2</v>
      </c>
      <c r="H1430">
        <v>1081.2849000000001</v>
      </c>
      <c r="I1430">
        <v>5</v>
      </c>
      <c r="J1430">
        <v>1163.79</v>
      </c>
      <c r="K1430">
        <v>3.9161333999415802</v>
      </c>
      <c r="L1430">
        <v>609.91</v>
      </c>
      <c r="M1430" t="s">
        <v>60</v>
      </c>
      <c r="N1430">
        <v>1</v>
      </c>
      <c r="O1430">
        <v>1308</v>
      </c>
      <c r="P1430">
        <v>1135</v>
      </c>
      <c r="Q1430">
        <v>0.5</v>
      </c>
      <c r="R1430">
        <v>567.5</v>
      </c>
    </row>
    <row r="1431" spans="1:18" x14ac:dyDescent="0.3">
      <c r="A1431" s="5">
        <v>45966</v>
      </c>
      <c r="B1431" t="s">
        <v>2086</v>
      </c>
      <c r="C1431">
        <v>14</v>
      </c>
      <c r="D1431">
        <v>36</v>
      </c>
      <c r="E1431" s="1">
        <v>1.9993055555555554</v>
      </c>
      <c r="F1431" t="s">
        <v>2087</v>
      </c>
      <c r="G1431">
        <v>2</v>
      </c>
      <c r="H1431">
        <v>1081.2849000000001</v>
      </c>
      <c r="I1431">
        <v>5</v>
      </c>
      <c r="J1431">
        <v>1163.79</v>
      </c>
      <c r="K1431">
        <v>3.9161333999415802</v>
      </c>
      <c r="L1431">
        <v>609.91</v>
      </c>
      <c r="M1431" t="s">
        <v>60</v>
      </c>
      <c r="N1431">
        <v>1</v>
      </c>
      <c r="O1431">
        <v>1308</v>
      </c>
      <c r="P1431">
        <v>1135</v>
      </c>
      <c r="Q1431">
        <v>0.5</v>
      </c>
      <c r="R1431">
        <v>567.5</v>
      </c>
    </row>
    <row r="1432" spans="1:18" x14ac:dyDescent="0.3">
      <c r="A1432" s="5">
        <v>45966</v>
      </c>
      <c r="B1432" t="s">
        <v>2088</v>
      </c>
      <c r="C1432">
        <v>15</v>
      </c>
      <c r="D1432">
        <v>36</v>
      </c>
      <c r="E1432" s="1">
        <v>1.9993055555555554</v>
      </c>
      <c r="F1432" t="s">
        <v>2087</v>
      </c>
      <c r="G1432">
        <v>2</v>
      </c>
      <c r="H1432">
        <v>1081.2673</v>
      </c>
      <c r="I1432">
        <v>5</v>
      </c>
      <c r="J1432">
        <v>1163.79</v>
      </c>
      <c r="K1432">
        <v>3.9161333999415802</v>
      </c>
      <c r="L1432">
        <v>609.91</v>
      </c>
      <c r="M1432" t="s">
        <v>60</v>
      </c>
      <c r="N1432">
        <v>1</v>
      </c>
      <c r="O1432">
        <v>1308</v>
      </c>
      <c r="P1432">
        <v>1135</v>
      </c>
      <c r="Q1432">
        <v>0.5</v>
      </c>
      <c r="R1432">
        <v>567.5</v>
      </c>
    </row>
    <row r="1433" spans="1:18" x14ac:dyDescent="0.3">
      <c r="A1433" s="5">
        <v>45966</v>
      </c>
      <c r="B1433" t="s">
        <v>2088</v>
      </c>
      <c r="C1433">
        <v>15</v>
      </c>
      <c r="D1433">
        <v>36</v>
      </c>
      <c r="E1433" s="1">
        <v>1.9993055555555554</v>
      </c>
      <c r="F1433" t="s">
        <v>2087</v>
      </c>
      <c r="G1433">
        <v>2</v>
      </c>
      <c r="H1433">
        <v>1081.2673</v>
      </c>
      <c r="I1433">
        <v>5</v>
      </c>
      <c r="J1433">
        <v>1163.79</v>
      </c>
      <c r="K1433">
        <v>3.9161333999415802</v>
      </c>
      <c r="L1433">
        <v>609.91</v>
      </c>
      <c r="M1433" t="s">
        <v>60</v>
      </c>
      <c r="N1433">
        <v>1</v>
      </c>
      <c r="O1433">
        <v>1308</v>
      </c>
      <c r="P1433">
        <v>1135</v>
      </c>
      <c r="Q1433">
        <v>0.5</v>
      </c>
      <c r="R1433">
        <v>567.5</v>
      </c>
    </row>
    <row r="1434" spans="1:18" x14ac:dyDescent="0.3">
      <c r="A1434" s="5">
        <v>45966</v>
      </c>
      <c r="B1434" t="s">
        <v>2089</v>
      </c>
      <c r="C1434">
        <v>32</v>
      </c>
      <c r="D1434">
        <v>36</v>
      </c>
      <c r="E1434" s="1">
        <v>1.25</v>
      </c>
      <c r="F1434" t="s">
        <v>2090</v>
      </c>
      <c r="G1434">
        <v>0</v>
      </c>
      <c r="H1434">
        <v>1080.8400999999999</v>
      </c>
      <c r="I1434">
        <v>2.5</v>
      </c>
      <c r="J1434">
        <v>1163.79</v>
      </c>
      <c r="K1434">
        <v>1.9580666999707901</v>
      </c>
      <c r="L1434">
        <v>1158.8800000000001</v>
      </c>
      <c r="M1434" t="s">
        <v>27</v>
      </c>
      <c r="N1434">
        <v>1</v>
      </c>
      <c r="O1434">
        <v>1281</v>
      </c>
      <c r="P1434">
        <v>1108</v>
      </c>
      <c r="Q1434">
        <v>0</v>
      </c>
      <c r="R1434">
        <v>1108</v>
      </c>
    </row>
    <row r="1435" spans="1:18" x14ac:dyDescent="0.3">
      <c r="A1435" s="5">
        <v>45966</v>
      </c>
      <c r="B1435" t="s">
        <v>1845</v>
      </c>
      <c r="C1435">
        <v>10</v>
      </c>
      <c r="D1435">
        <v>36</v>
      </c>
      <c r="E1435" s="1">
        <v>1.9993055555555554</v>
      </c>
      <c r="F1435" t="s">
        <v>1846</v>
      </c>
      <c r="G1435">
        <v>4</v>
      </c>
      <c r="H1435">
        <v>1081.1261</v>
      </c>
      <c r="I1435">
        <v>7</v>
      </c>
      <c r="J1435">
        <v>1163.79</v>
      </c>
      <c r="K1435">
        <v>5.4825867599182097</v>
      </c>
      <c r="L1435">
        <v>1219.83</v>
      </c>
      <c r="M1435" t="s">
        <v>27</v>
      </c>
      <c r="N1435">
        <v>1</v>
      </c>
      <c r="O1435">
        <v>1330</v>
      </c>
      <c r="P1435">
        <v>1157</v>
      </c>
      <c r="Q1435">
        <v>0</v>
      </c>
      <c r="R1435">
        <v>1157</v>
      </c>
    </row>
    <row r="1436" spans="1:18" x14ac:dyDescent="0.3">
      <c r="A1436" s="5">
        <v>45966</v>
      </c>
      <c r="B1436" t="s">
        <v>2091</v>
      </c>
      <c r="C1436">
        <v>32</v>
      </c>
      <c r="D1436">
        <v>36</v>
      </c>
      <c r="E1436" s="1">
        <v>1.4583333333333333</v>
      </c>
      <c r="F1436" t="s">
        <v>2092</v>
      </c>
      <c r="G1436">
        <v>3</v>
      </c>
      <c r="H1436">
        <v>1080.8425</v>
      </c>
      <c r="I1436">
        <v>10</v>
      </c>
      <c r="J1436">
        <v>1163.79</v>
      </c>
      <c r="K1436">
        <v>7.8322667998831603</v>
      </c>
      <c r="L1436">
        <v>609.91</v>
      </c>
      <c r="M1436" t="s">
        <v>20</v>
      </c>
      <c r="N1436">
        <v>1</v>
      </c>
      <c r="O1436">
        <v>1362</v>
      </c>
      <c r="P1436">
        <v>1189</v>
      </c>
      <c r="Q1436">
        <v>0.5</v>
      </c>
      <c r="R1436">
        <v>594.5</v>
      </c>
    </row>
    <row r="1437" spans="1:18" x14ac:dyDescent="0.3">
      <c r="A1437" s="5">
        <v>45966</v>
      </c>
      <c r="B1437" t="s">
        <v>2093</v>
      </c>
      <c r="C1437">
        <v>2</v>
      </c>
      <c r="D1437">
        <v>36</v>
      </c>
      <c r="E1437" s="1">
        <v>1.25</v>
      </c>
      <c r="F1437" t="s">
        <v>2094</v>
      </c>
      <c r="G1437">
        <v>0</v>
      </c>
      <c r="H1437">
        <v>1081.5684000000001</v>
      </c>
      <c r="I1437">
        <v>2.5</v>
      </c>
      <c r="J1437">
        <v>1163.79</v>
      </c>
      <c r="K1437">
        <v>1.9580666999707901</v>
      </c>
      <c r="L1437">
        <v>1158.8800000000001</v>
      </c>
      <c r="M1437" t="s">
        <v>27</v>
      </c>
      <c r="N1437">
        <v>1</v>
      </c>
      <c r="O1437">
        <v>1282</v>
      </c>
      <c r="P1437">
        <v>1109</v>
      </c>
      <c r="Q1437">
        <v>0</v>
      </c>
      <c r="R1437">
        <v>1109</v>
      </c>
    </row>
    <row r="1438" spans="1:18" x14ac:dyDescent="0.3">
      <c r="A1438" s="5">
        <v>45966</v>
      </c>
      <c r="B1438" t="s">
        <v>2093</v>
      </c>
      <c r="C1438">
        <v>2</v>
      </c>
      <c r="D1438">
        <v>36</v>
      </c>
      <c r="E1438" s="1">
        <v>1.25</v>
      </c>
      <c r="F1438" t="s">
        <v>2095</v>
      </c>
      <c r="G1438">
        <v>0</v>
      </c>
      <c r="H1438">
        <v>1081.5684000000001</v>
      </c>
      <c r="I1438">
        <v>2.5</v>
      </c>
      <c r="J1438">
        <v>1163.79</v>
      </c>
      <c r="K1438">
        <v>1.9580666999707901</v>
      </c>
      <c r="L1438">
        <v>1158.8800000000001</v>
      </c>
      <c r="M1438" t="s">
        <v>27</v>
      </c>
      <c r="N1438">
        <v>1</v>
      </c>
      <c r="O1438">
        <v>1282</v>
      </c>
      <c r="P1438">
        <v>1109</v>
      </c>
      <c r="Q1438">
        <v>0</v>
      </c>
      <c r="R1438">
        <v>1109</v>
      </c>
    </row>
    <row r="1439" spans="1:18" x14ac:dyDescent="0.3">
      <c r="A1439" s="5">
        <v>45966</v>
      </c>
      <c r="B1439" t="s">
        <v>2096</v>
      </c>
      <c r="C1439">
        <v>3</v>
      </c>
      <c r="D1439">
        <v>36</v>
      </c>
      <c r="E1439" s="1">
        <v>1.25</v>
      </c>
      <c r="F1439" t="s">
        <v>2094</v>
      </c>
      <c r="G1439">
        <v>0</v>
      </c>
      <c r="H1439">
        <v>1081.5503000000001</v>
      </c>
      <c r="I1439">
        <v>2.5</v>
      </c>
      <c r="J1439">
        <v>1163.79</v>
      </c>
      <c r="K1439">
        <v>1.9580666999707901</v>
      </c>
      <c r="L1439">
        <v>1158.8800000000001</v>
      </c>
      <c r="M1439" t="s">
        <v>27</v>
      </c>
      <c r="N1439">
        <v>1</v>
      </c>
      <c r="O1439">
        <v>1282</v>
      </c>
      <c r="P1439">
        <v>1109</v>
      </c>
      <c r="Q1439">
        <v>0</v>
      </c>
      <c r="R1439">
        <v>1109</v>
      </c>
    </row>
    <row r="1440" spans="1:18" x14ac:dyDescent="0.3">
      <c r="A1440" s="5">
        <v>45966</v>
      </c>
      <c r="B1440" t="s">
        <v>2096</v>
      </c>
      <c r="C1440">
        <v>3</v>
      </c>
      <c r="D1440">
        <v>36</v>
      </c>
      <c r="E1440" s="1">
        <v>1.25</v>
      </c>
      <c r="F1440" t="s">
        <v>2095</v>
      </c>
      <c r="G1440">
        <v>0</v>
      </c>
      <c r="H1440">
        <v>1081.5503000000001</v>
      </c>
      <c r="I1440">
        <v>2.5</v>
      </c>
      <c r="J1440">
        <v>1163.79</v>
      </c>
      <c r="K1440">
        <v>1.9580666999707901</v>
      </c>
      <c r="L1440">
        <v>1158.8800000000001</v>
      </c>
      <c r="M1440" t="s">
        <v>27</v>
      </c>
      <c r="N1440">
        <v>1</v>
      </c>
      <c r="O1440">
        <v>1282</v>
      </c>
      <c r="P1440">
        <v>1109</v>
      </c>
      <c r="Q1440">
        <v>0</v>
      </c>
      <c r="R1440">
        <v>1109</v>
      </c>
    </row>
    <row r="1441" spans="1:18" x14ac:dyDescent="0.3">
      <c r="A1441" s="5">
        <v>45966</v>
      </c>
      <c r="B1441" t="s">
        <v>2097</v>
      </c>
      <c r="C1441">
        <v>20</v>
      </c>
      <c r="D1441">
        <v>36</v>
      </c>
      <c r="E1441" s="1">
        <v>1.9791666666666665</v>
      </c>
      <c r="F1441" t="s">
        <v>2098</v>
      </c>
      <c r="G1441">
        <v>4</v>
      </c>
      <c r="H1441">
        <v>1081.1052999999999</v>
      </c>
      <c r="I1441">
        <v>7</v>
      </c>
      <c r="J1441">
        <v>1163.79</v>
      </c>
      <c r="K1441">
        <v>5.4825867599182097</v>
      </c>
      <c r="L1441">
        <v>1097.8399999999999</v>
      </c>
      <c r="M1441" t="s">
        <v>27</v>
      </c>
      <c r="N1441">
        <v>1</v>
      </c>
      <c r="O1441">
        <v>1330</v>
      </c>
      <c r="P1441">
        <v>1157</v>
      </c>
      <c r="Q1441">
        <v>0</v>
      </c>
      <c r="R1441">
        <v>1157</v>
      </c>
    </row>
    <row r="1442" spans="1:18" x14ac:dyDescent="0.3">
      <c r="A1442" s="5">
        <v>45966</v>
      </c>
      <c r="B1442" t="s">
        <v>2097</v>
      </c>
      <c r="C1442">
        <v>20</v>
      </c>
      <c r="D1442">
        <v>36</v>
      </c>
      <c r="E1442" s="1">
        <v>1.9791666666666665</v>
      </c>
      <c r="F1442" t="s">
        <v>2098</v>
      </c>
      <c r="G1442">
        <v>4</v>
      </c>
      <c r="H1442">
        <v>1081.1052999999999</v>
      </c>
      <c r="I1442">
        <v>7</v>
      </c>
      <c r="J1442">
        <v>1163.79</v>
      </c>
      <c r="K1442">
        <v>5.4825867599182097</v>
      </c>
      <c r="L1442">
        <v>1097.8399999999999</v>
      </c>
      <c r="M1442" t="s">
        <v>27</v>
      </c>
      <c r="N1442">
        <v>1</v>
      </c>
      <c r="O1442">
        <v>1330</v>
      </c>
      <c r="P1442">
        <v>1157</v>
      </c>
      <c r="Q1442">
        <v>0</v>
      </c>
      <c r="R1442">
        <v>1157</v>
      </c>
    </row>
    <row r="1443" spans="1:18" x14ac:dyDescent="0.3">
      <c r="A1443" s="5">
        <v>45966</v>
      </c>
      <c r="B1443" t="s">
        <v>2099</v>
      </c>
      <c r="C1443">
        <v>19</v>
      </c>
      <c r="D1443">
        <v>36</v>
      </c>
      <c r="E1443" s="1">
        <v>1.9791666666666665</v>
      </c>
      <c r="F1443" t="s">
        <v>2098</v>
      </c>
      <c r="G1443">
        <v>4</v>
      </c>
      <c r="H1443">
        <v>1081.1233999999999</v>
      </c>
      <c r="I1443">
        <v>7</v>
      </c>
      <c r="J1443">
        <v>1163.79</v>
      </c>
      <c r="K1443">
        <v>5.4825867599182097</v>
      </c>
      <c r="L1443">
        <v>609.91</v>
      </c>
      <c r="M1443" t="s">
        <v>20</v>
      </c>
      <c r="N1443">
        <v>1</v>
      </c>
      <c r="O1443">
        <v>1330</v>
      </c>
      <c r="P1443">
        <v>1157</v>
      </c>
      <c r="Q1443">
        <v>0.5</v>
      </c>
      <c r="R1443">
        <v>578.5</v>
      </c>
    </row>
    <row r="1444" spans="1:18" x14ac:dyDescent="0.3">
      <c r="A1444" s="5">
        <v>45966</v>
      </c>
      <c r="B1444" t="s">
        <v>2099</v>
      </c>
      <c r="C1444">
        <v>19</v>
      </c>
      <c r="D1444">
        <v>36</v>
      </c>
      <c r="E1444" s="1">
        <v>1.9791666666666665</v>
      </c>
      <c r="F1444" t="s">
        <v>2098</v>
      </c>
      <c r="G1444">
        <v>4</v>
      </c>
      <c r="H1444">
        <v>1081.1233999999999</v>
      </c>
      <c r="I1444">
        <v>7</v>
      </c>
      <c r="J1444">
        <v>1163.79</v>
      </c>
      <c r="K1444">
        <v>5.4825867599182097</v>
      </c>
      <c r="L1444">
        <v>609.91</v>
      </c>
      <c r="M1444" t="s">
        <v>20</v>
      </c>
      <c r="N1444">
        <v>1</v>
      </c>
      <c r="O1444">
        <v>1330</v>
      </c>
      <c r="P1444">
        <v>1157</v>
      </c>
      <c r="Q1444">
        <v>0.5</v>
      </c>
      <c r="R1444">
        <v>578.5</v>
      </c>
    </row>
    <row r="1445" spans="1:18" x14ac:dyDescent="0.3">
      <c r="A1445" s="5">
        <v>45966</v>
      </c>
      <c r="B1445" t="s">
        <v>2100</v>
      </c>
      <c r="C1445">
        <v>1</v>
      </c>
      <c r="D1445">
        <v>36</v>
      </c>
      <c r="E1445" s="1">
        <v>1.9791666666666665</v>
      </c>
      <c r="F1445" t="s">
        <v>1496</v>
      </c>
      <c r="G1445">
        <v>5</v>
      </c>
      <c r="H1445">
        <v>1081.3150000000001</v>
      </c>
      <c r="I1445">
        <v>0</v>
      </c>
      <c r="J1445">
        <v>1163.79</v>
      </c>
      <c r="K1445">
        <v>0</v>
      </c>
      <c r="L1445">
        <v>1158.8800000000001</v>
      </c>
      <c r="M1445" t="s">
        <v>27</v>
      </c>
      <c r="N1445">
        <v>1</v>
      </c>
      <c r="O1445">
        <v>1254</v>
      </c>
      <c r="P1445">
        <v>1081</v>
      </c>
      <c r="Q1445">
        <v>0</v>
      </c>
      <c r="R1445">
        <v>1081</v>
      </c>
    </row>
    <row r="1446" spans="1:18" x14ac:dyDescent="0.3">
      <c r="A1446" s="5">
        <v>45966</v>
      </c>
      <c r="B1446" t="s">
        <v>2101</v>
      </c>
      <c r="C1446">
        <v>7</v>
      </c>
      <c r="D1446">
        <v>36</v>
      </c>
      <c r="E1446" s="1">
        <v>1.9993055555555554</v>
      </c>
      <c r="F1446" t="s">
        <v>2102</v>
      </c>
      <c r="G1446">
        <v>3</v>
      </c>
      <c r="H1446">
        <v>1081.1896999999999</v>
      </c>
      <c r="I1446">
        <v>10</v>
      </c>
      <c r="J1446">
        <v>1163.79</v>
      </c>
      <c r="K1446">
        <v>7.8322667998831603</v>
      </c>
      <c r="L1446">
        <v>609.91</v>
      </c>
      <c r="M1446" t="s">
        <v>20</v>
      </c>
      <c r="N1446">
        <v>1</v>
      </c>
      <c r="O1446">
        <v>1362</v>
      </c>
      <c r="P1446">
        <v>1189</v>
      </c>
      <c r="Q1446">
        <v>0.5</v>
      </c>
      <c r="R1446">
        <v>594.5</v>
      </c>
    </row>
    <row r="1447" spans="1:18" x14ac:dyDescent="0.3">
      <c r="A1447" s="5">
        <v>45966</v>
      </c>
      <c r="B1447" t="s">
        <v>2103</v>
      </c>
      <c r="C1447">
        <v>23</v>
      </c>
      <c r="D1447">
        <v>36</v>
      </c>
      <c r="E1447" s="1">
        <v>1.9993055555555554</v>
      </c>
      <c r="F1447" t="s">
        <v>1020</v>
      </c>
      <c r="G1447">
        <v>5</v>
      </c>
      <c r="H1447">
        <v>1080.7860000000001</v>
      </c>
      <c r="I1447">
        <v>0</v>
      </c>
      <c r="J1447">
        <v>1163.79</v>
      </c>
      <c r="K1447">
        <v>0</v>
      </c>
      <c r="L1447">
        <v>1158.8800000000001</v>
      </c>
      <c r="M1447" t="s">
        <v>27</v>
      </c>
      <c r="N1447">
        <v>1</v>
      </c>
      <c r="O1447">
        <v>1254</v>
      </c>
      <c r="P1447">
        <v>1081</v>
      </c>
      <c r="Q1447">
        <v>0</v>
      </c>
      <c r="R1447">
        <v>1081</v>
      </c>
    </row>
    <row r="1448" spans="1:18" x14ac:dyDescent="0.3">
      <c r="A1448" s="5">
        <v>45966</v>
      </c>
      <c r="B1448" t="s">
        <v>2103</v>
      </c>
      <c r="C1448">
        <v>23</v>
      </c>
      <c r="D1448">
        <v>36</v>
      </c>
      <c r="E1448" s="1">
        <v>1.9993055555555554</v>
      </c>
      <c r="F1448" t="s">
        <v>1020</v>
      </c>
      <c r="G1448">
        <v>5</v>
      </c>
      <c r="H1448">
        <v>1080.7860000000001</v>
      </c>
      <c r="I1448">
        <v>0</v>
      </c>
      <c r="J1448">
        <v>1163.79</v>
      </c>
      <c r="K1448">
        <v>0</v>
      </c>
      <c r="L1448">
        <v>1158.8800000000001</v>
      </c>
      <c r="M1448" t="s">
        <v>27</v>
      </c>
      <c r="N1448">
        <v>1</v>
      </c>
      <c r="O1448">
        <v>1254</v>
      </c>
      <c r="P1448">
        <v>1081</v>
      </c>
      <c r="Q1448">
        <v>0</v>
      </c>
      <c r="R1448">
        <v>1081</v>
      </c>
    </row>
    <row r="1449" spans="1:18" x14ac:dyDescent="0.3">
      <c r="A1449" s="5">
        <v>45966</v>
      </c>
      <c r="B1449" t="s">
        <v>2104</v>
      </c>
      <c r="C1449">
        <v>22</v>
      </c>
      <c r="D1449">
        <v>36</v>
      </c>
      <c r="E1449" s="1">
        <v>1.9993055555555554</v>
      </c>
      <c r="F1449" t="s">
        <v>1020</v>
      </c>
      <c r="G1449">
        <v>5</v>
      </c>
      <c r="H1449">
        <v>1080.8041000000001</v>
      </c>
      <c r="I1449">
        <v>0</v>
      </c>
      <c r="J1449">
        <v>1163.79</v>
      </c>
      <c r="K1449">
        <v>0</v>
      </c>
      <c r="L1449">
        <v>1158.8800000000001</v>
      </c>
      <c r="M1449" t="s">
        <v>27</v>
      </c>
      <c r="N1449">
        <v>1</v>
      </c>
      <c r="O1449">
        <v>1254</v>
      </c>
      <c r="P1449">
        <v>1081</v>
      </c>
      <c r="Q1449">
        <v>0</v>
      </c>
      <c r="R1449">
        <v>1081</v>
      </c>
    </row>
    <row r="1450" spans="1:18" x14ac:dyDescent="0.3">
      <c r="A1450" s="5">
        <v>45966</v>
      </c>
      <c r="B1450" t="s">
        <v>2104</v>
      </c>
      <c r="C1450">
        <v>22</v>
      </c>
      <c r="D1450">
        <v>36</v>
      </c>
      <c r="E1450" s="1">
        <v>1.9993055555555554</v>
      </c>
      <c r="F1450" t="s">
        <v>1020</v>
      </c>
      <c r="G1450">
        <v>5</v>
      </c>
      <c r="H1450">
        <v>1080.8041000000001</v>
      </c>
      <c r="I1450">
        <v>0</v>
      </c>
      <c r="J1450">
        <v>1163.79</v>
      </c>
      <c r="K1450">
        <v>0</v>
      </c>
      <c r="L1450">
        <v>1158.8800000000001</v>
      </c>
      <c r="M1450" t="s">
        <v>27</v>
      </c>
      <c r="N1450">
        <v>1</v>
      </c>
      <c r="O1450">
        <v>1254</v>
      </c>
      <c r="P1450">
        <v>1081</v>
      </c>
      <c r="Q1450">
        <v>0</v>
      </c>
      <c r="R1450">
        <v>1081</v>
      </c>
    </row>
    <row r="1451" spans="1:18" x14ac:dyDescent="0.3">
      <c r="A1451" s="5">
        <v>45966</v>
      </c>
      <c r="B1451" t="s">
        <v>2105</v>
      </c>
      <c r="C1451">
        <v>24</v>
      </c>
      <c r="D1451">
        <v>36</v>
      </c>
      <c r="E1451" s="1">
        <v>1.0833333333333333</v>
      </c>
      <c r="F1451" t="s">
        <v>2106</v>
      </c>
      <c r="G1451">
        <v>0</v>
      </c>
      <c r="H1451">
        <v>1081.0509999999999</v>
      </c>
      <c r="I1451">
        <v>2.5</v>
      </c>
      <c r="J1451">
        <v>1163.79</v>
      </c>
      <c r="K1451">
        <v>1.9580666999707901</v>
      </c>
      <c r="L1451">
        <v>1175.17</v>
      </c>
      <c r="M1451" t="s">
        <v>27</v>
      </c>
      <c r="N1451">
        <v>1</v>
      </c>
      <c r="O1451">
        <v>1281</v>
      </c>
      <c r="P1451">
        <v>1108</v>
      </c>
      <c r="Q1451">
        <v>0</v>
      </c>
      <c r="R1451">
        <v>1108</v>
      </c>
    </row>
    <row r="1452" spans="1:18" x14ac:dyDescent="0.3">
      <c r="A1452" s="5">
        <v>45966</v>
      </c>
      <c r="B1452" t="s">
        <v>2107</v>
      </c>
      <c r="C1452">
        <v>21</v>
      </c>
      <c r="D1452">
        <v>35</v>
      </c>
      <c r="E1452" s="1">
        <v>1.9791666666666665</v>
      </c>
      <c r="F1452" t="s">
        <v>2108</v>
      </c>
      <c r="G1452">
        <v>4</v>
      </c>
      <c r="H1452">
        <v>1080.8190999999999</v>
      </c>
      <c r="I1452">
        <v>7</v>
      </c>
      <c r="J1452">
        <v>1163.79</v>
      </c>
      <c r="K1452">
        <v>5.4825867599182097</v>
      </c>
      <c r="L1452">
        <v>1219.83</v>
      </c>
      <c r="M1452" t="s">
        <v>27</v>
      </c>
      <c r="N1452">
        <v>1</v>
      </c>
      <c r="O1452">
        <v>1329</v>
      </c>
      <c r="P1452">
        <v>1156</v>
      </c>
      <c r="Q1452">
        <v>0</v>
      </c>
      <c r="R1452">
        <v>1156</v>
      </c>
    </row>
    <row r="1453" spans="1:18" x14ac:dyDescent="0.3">
      <c r="A1453" s="5">
        <v>45966</v>
      </c>
      <c r="B1453" t="s">
        <v>2109</v>
      </c>
      <c r="C1453">
        <v>7</v>
      </c>
      <c r="D1453">
        <v>36</v>
      </c>
      <c r="E1453" s="1">
        <v>1.9791666666666665</v>
      </c>
      <c r="F1453" t="s">
        <v>2110</v>
      </c>
      <c r="G1453">
        <v>0</v>
      </c>
      <c r="H1453">
        <v>1081.2578000000001</v>
      </c>
      <c r="I1453">
        <v>2.5</v>
      </c>
      <c r="J1453">
        <v>1163.79</v>
      </c>
      <c r="K1453">
        <v>1.9580666999707901</v>
      </c>
      <c r="L1453">
        <v>1158.8800000000001</v>
      </c>
      <c r="M1453" t="s">
        <v>27</v>
      </c>
      <c r="N1453">
        <v>1</v>
      </c>
      <c r="O1453">
        <v>1281</v>
      </c>
      <c r="P1453">
        <v>1108</v>
      </c>
      <c r="Q1453">
        <v>0</v>
      </c>
      <c r="R1453">
        <v>1108</v>
      </c>
    </row>
    <row r="1454" spans="1:18" x14ac:dyDescent="0.3">
      <c r="A1454" s="5">
        <v>45966</v>
      </c>
      <c r="B1454" t="s">
        <v>2111</v>
      </c>
      <c r="C1454">
        <v>25</v>
      </c>
      <c r="D1454">
        <v>36</v>
      </c>
      <c r="E1454" s="1">
        <v>1.9993055555555554</v>
      </c>
      <c r="F1454" t="s">
        <v>2112</v>
      </c>
      <c r="G1454">
        <v>3</v>
      </c>
      <c r="H1454">
        <v>1080.7573</v>
      </c>
      <c r="I1454">
        <v>10</v>
      </c>
      <c r="J1454">
        <v>1163.79</v>
      </c>
      <c r="K1454">
        <v>7.8322667998831603</v>
      </c>
      <c r="L1454">
        <v>609.91</v>
      </c>
      <c r="M1454" t="s">
        <v>20</v>
      </c>
      <c r="N1454">
        <v>1</v>
      </c>
      <c r="O1454">
        <v>1362</v>
      </c>
      <c r="P1454">
        <v>1189</v>
      </c>
      <c r="Q1454">
        <v>0.5</v>
      </c>
      <c r="R1454">
        <v>594.5</v>
      </c>
    </row>
    <row r="1455" spans="1:18" x14ac:dyDescent="0.3">
      <c r="A1455" s="5">
        <v>45966</v>
      </c>
      <c r="B1455" t="s">
        <v>2113</v>
      </c>
      <c r="C1455">
        <v>30</v>
      </c>
      <c r="D1455">
        <v>36</v>
      </c>
      <c r="E1455" s="1">
        <v>1.9993055555555554</v>
      </c>
      <c r="F1455" t="s">
        <v>2114</v>
      </c>
      <c r="G1455">
        <v>5</v>
      </c>
      <c r="H1455">
        <v>1080.6603</v>
      </c>
      <c r="I1455">
        <v>0</v>
      </c>
      <c r="J1455">
        <v>1163.79</v>
      </c>
      <c r="K1455">
        <v>0</v>
      </c>
      <c r="L1455">
        <v>1158.8800000000001</v>
      </c>
      <c r="M1455" t="s">
        <v>27</v>
      </c>
      <c r="N1455">
        <v>1</v>
      </c>
      <c r="O1455">
        <v>1254</v>
      </c>
      <c r="P1455">
        <v>1081</v>
      </c>
      <c r="Q1455">
        <v>0</v>
      </c>
      <c r="R1455">
        <v>1081</v>
      </c>
    </row>
    <row r="1456" spans="1:18" x14ac:dyDescent="0.3">
      <c r="A1456" s="5">
        <v>45966</v>
      </c>
      <c r="B1456" t="s">
        <v>2115</v>
      </c>
      <c r="C1456">
        <v>36</v>
      </c>
      <c r="D1456">
        <v>36</v>
      </c>
      <c r="E1456" s="1">
        <v>1.9993055555555554</v>
      </c>
      <c r="F1456" t="s">
        <v>2116</v>
      </c>
      <c r="G1456">
        <v>4</v>
      </c>
      <c r="H1456">
        <v>1080.5945999999999</v>
      </c>
      <c r="I1456">
        <v>7</v>
      </c>
      <c r="J1456">
        <v>1163.79</v>
      </c>
      <c r="K1456">
        <v>5.4825867599182097</v>
      </c>
      <c r="L1456">
        <v>1158.8800000000001</v>
      </c>
      <c r="M1456" t="s">
        <v>27</v>
      </c>
      <c r="N1456">
        <v>1</v>
      </c>
      <c r="O1456">
        <v>1329</v>
      </c>
      <c r="P1456">
        <v>1156</v>
      </c>
      <c r="Q1456">
        <v>0</v>
      </c>
      <c r="R1456">
        <v>1156</v>
      </c>
    </row>
    <row r="1457" spans="1:18" x14ac:dyDescent="0.3">
      <c r="A1457" s="5">
        <v>45966</v>
      </c>
      <c r="B1457" t="s">
        <v>2117</v>
      </c>
      <c r="C1457">
        <v>3</v>
      </c>
      <c r="D1457">
        <v>36</v>
      </c>
      <c r="E1457" s="1">
        <v>1.0833333333333333</v>
      </c>
      <c r="F1457" t="s">
        <v>2118</v>
      </c>
      <c r="G1457">
        <v>0</v>
      </c>
      <c r="H1457">
        <v>1081.5612000000001</v>
      </c>
      <c r="I1457">
        <v>2.5</v>
      </c>
      <c r="J1457">
        <v>1163.79</v>
      </c>
      <c r="K1457">
        <v>1.9580666999707901</v>
      </c>
      <c r="L1457">
        <v>1158.8800000000001</v>
      </c>
      <c r="M1457" t="s">
        <v>27</v>
      </c>
      <c r="N1457">
        <v>1</v>
      </c>
      <c r="O1457">
        <v>1282</v>
      </c>
      <c r="P1457">
        <v>1109</v>
      </c>
      <c r="Q1457">
        <v>0</v>
      </c>
      <c r="R1457">
        <v>1109</v>
      </c>
    </row>
    <row r="1458" spans="1:18" x14ac:dyDescent="0.3">
      <c r="A1458" s="5">
        <v>45966</v>
      </c>
      <c r="B1458" t="s">
        <v>2119</v>
      </c>
      <c r="C1458">
        <v>16</v>
      </c>
      <c r="D1458">
        <v>27</v>
      </c>
      <c r="E1458" s="1">
        <v>1.25</v>
      </c>
      <c r="F1458" t="s">
        <v>2120</v>
      </c>
      <c r="G1458">
        <v>0</v>
      </c>
      <c r="H1458">
        <v>1081.1356000000001</v>
      </c>
      <c r="I1458">
        <v>2.5</v>
      </c>
      <c r="J1458">
        <v>1163.79</v>
      </c>
      <c r="K1458">
        <v>1.9580666999707901</v>
      </c>
      <c r="L1458">
        <v>1158.8800000000001</v>
      </c>
      <c r="M1458" t="s">
        <v>27</v>
      </c>
      <c r="N1458">
        <v>1</v>
      </c>
      <c r="O1458">
        <v>1281</v>
      </c>
      <c r="P1458">
        <v>1108</v>
      </c>
      <c r="Q1458">
        <v>0</v>
      </c>
      <c r="R1458">
        <v>1108</v>
      </c>
    </row>
    <row r="1459" spans="1:18" x14ac:dyDescent="0.3">
      <c r="A1459" s="5">
        <v>45966</v>
      </c>
      <c r="B1459" t="s">
        <v>1554</v>
      </c>
      <c r="C1459">
        <v>1</v>
      </c>
      <c r="D1459">
        <v>36</v>
      </c>
      <c r="E1459" s="1">
        <v>1.0833333333333333</v>
      </c>
      <c r="F1459" t="s">
        <v>1555</v>
      </c>
      <c r="G1459">
        <v>0</v>
      </c>
      <c r="H1459">
        <v>1081.5963999999999</v>
      </c>
      <c r="I1459">
        <v>2.5</v>
      </c>
      <c r="J1459">
        <v>1163.79</v>
      </c>
      <c r="K1459">
        <v>1.9580666999707901</v>
      </c>
      <c r="L1459">
        <v>1158.8800000000001</v>
      </c>
      <c r="M1459" t="s">
        <v>27</v>
      </c>
      <c r="N1459">
        <v>1</v>
      </c>
      <c r="O1459">
        <v>1282</v>
      </c>
      <c r="P1459">
        <v>1109</v>
      </c>
      <c r="Q1459">
        <v>0</v>
      </c>
      <c r="R1459">
        <v>1109</v>
      </c>
    </row>
    <row r="1460" spans="1:18" x14ac:dyDescent="0.3">
      <c r="A1460" s="5">
        <v>45966</v>
      </c>
      <c r="B1460" t="s">
        <v>2121</v>
      </c>
      <c r="C1460">
        <v>5</v>
      </c>
      <c r="D1460">
        <v>36</v>
      </c>
      <c r="E1460" s="1">
        <v>1.9993055555555554</v>
      </c>
      <c r="F1460" t="s">
        <v>2122</v>
      </c>
      <c r="G1460">
        <v>5</v>
      </c>
      <c r="H1460">
        <v>1081.2412999999999</v>
      </c>
      <c r="I1460">
        <v>0</v>
      </c>
      <c r="J1460">
        <v>1163.79</v>
      </c>
      <c r="K1460">
        <v>0</v>
      </c>
      <c r="L1460">
        <v>1158.8800000000001</v>
      </c>
      <c r="M1460" t="s">
        <v>27</v>
      </c>
      <c r="N1460">
        <v>1</v>
      </c>
      <c r="O1460">
        <v>1254</v>
      </c>
      <c r="P1460">
        <v>1081</v>
      </c>
      <c r="Q1460">
        <v>0</v>
      </c>
      <c r="R1460">
        <v>1081</v>
      </c>
    </row>
    <row r="1461" spans="1:18" x14ac:dyDescent="0.3">
      <c r="A1461" s="5">
        <v>45966</v>
      </c>
      <c r="B1461" t="s">
        <v>2123</v>
      </c>
      <c r="C1461">
        <v>6</v>
      </c>
      <c r="D1461">
        <v>36</v>
      </c>
      <c r="E1461" s="1">
        <v>1.9993055555555554</v>
      </c>
      <c r="F1461" t="s">
        <v>2122</v>
      </c>
      <c r="G1461">
        <v>5</v>
      </c>
      <c r="H1461">
        <v>1081.2233000000001</v>
      </c>
      <c r="I1461">
        <v>0</v>
      </c>
      <c r="J1461">
        <v>1163.79</v>
      </c>
      <c r="K1461">
        <v>0</v>
      </c>
      <c r="L1461">
        <v>1158.8800000000001</v>
      </c>
      <c r="M1461" t="s">
        <v>27</v>
      </c>
      <c r="N1461">
        <v>1</v>
      </c>
      <c r="O1461">
        <v>1254</v>
      </c>
      <c r="P1461">
        <v>1081</v>
      </c>
      <c r="Q1461">
        <v>0</v>
      </c>
      <c r="R1461">
        <v>1081</v>
      </c>
    </row>
    <row r="1462" spans="1:18" x14ac:dyDescent="0.3">
      <c r="A1462" s="5">
        <v>45966</v>
      </c>
      <c r="B1462" t="s">
        <v>2124</v>
      </c>
      <c r="C1462">
        <v>9</v>
      </c>
      <c r="D1462">
        <v>36</v>
      </c>
      <c r="E1462" s="1">
        <v>1.9791666666666665</v>
      </c>
      <c r="F1462" t="s">
        <v>97</v>
      </c>
      <c r="G1462">
        <v>4</v>
      </c>
      <c r="H1462">
        <v>1079.1253999999999</v>
      </c>
      <c r="I1462">
        <v>7</v>
      </c>
      <c r="J1462">
        <v>1163.79</v>
      </c>
      <c r="K1462">
        <v>5.4825867599182097</v>
      </c>
      <c r="L1462">
        <v>1219.83</v>
      </c>
      <c r="M1462" t="s">
        <v>27</v>
      </c>
      <c r="N1462">
        <v>1</v>
      </c>
      <c r="O1462">
        <v>1327</v>
      </c>
      <c r="P1462">
        <v>1155</v>
      </c>
      <c r="Q1462">
        <v>0</v>
      </c>
      <c r="R1462">
        <v>1155</v>
      </c>
    </row>
    <row r="1463" spans="1:18" x14ac:dyDescent="0.3">
      <c r="A1463" s="5">
        <v>45966</v>
      </c>
      <c r="B1463" t="s">
        <v>2125</v>
      </c>
      <c r="C1463">
        <v>18</v>
      </c>
      <c r="D1463">
        <v>36</v>
      </c>
      <c r="E1463" s="1">
        <v>1.25</v>
      </c>
      <c r="F1463" t="s">
        <v>2126</v>
      </c>
      <c r="G1463">
        <v>0</v>
      </c>
      <c r="H1463">
        <v>1081.44</v>
      </c>
      <c r="I1463">
        <v>2.5</v>
      </c>
      <c r="J1463">
        <v>1163.79</v>
      </c>
      <c r="K1463">
        <v>1.9580666999707901</v>
      </c>
      <c r="L1463">
        <v>1158.8800000000001</v>
      </c>
      <c r="M1463" t="s">
        <v>27</v>
      </c>
      <c r="N1463">
        <v>1</v>
      </c>
      <c r="O1463">
        <v>1282</v>
      </c>
      <c r="P1463">
        <v>1108</v>
      </c>
      <c r="Q1463">
        <v>0</v>
      </c>
      <c r="R1463">
        <v>1108</v>
      </c>
    </row>
    <row r="1464" spans="1:18" x14ac:dyDescent="0.3">
      <c r="A1464" s="5">
        <v>45966</v>
      </c>
      <c r="B1464" t="s">
        <v>2127</v>
      </c>
      <c r="C1464">
        <v>23</v>
      </c>
      <c r="D1464">
        <v>36</v>
      </c>
      <c r="E1464" s="1">
        <v>1.9791666666666665</v>
      </c>
      <c r="F1464" t="s">
        <v>2128</v>
      </c>
      <c r="G1464">
        <v>5</v>
      </c>
      <c r="H1464">
        <v>1080.7844</v>
      </c>
      <c r="I1464">
        <v>0</v>
      </c>
      <c r="J1464">
        <v>1163.79</v>
      </c>
      <c r="K1464">
        <v>0</v>
      </c>
      <c r="L1464">
        <v>1158.8800000000001</v>
      </c>
      <c r="M1464" t="s">
        <v>27</v>
      </c>
      <c r="N1464">
        <v>1</v>
      </c>
      <c r="O1464">
        <v>1254</v>
      </c>
      <c r="P1464">
        <v>1081</v>
      </c>
      <c r="Q1464">
        <v>0</v>
      </c>
      <c r="R1464">
        <v>1081</v>
      </c>
    </row>
    <row r="1465" spans="1:18" x14ac:dyDescent="0.3">
      <c r="A1465" s="5">
        <v>45966</v>
      </c>
      <c r="B1465" t="s">
        <v>2129</v>
      </c>
      <c r="C1465">
        <v>12</v>
      </c>
      <c r="D1465">
        <v>36</v>
      </c>
      <c r="E1465" s="1">
        <v>1.9791666666666665</v>
      </c>
      <c r="F1465" t="s">
        <v>2128</v>
      </c>
      <c r="G1465">
        <v>5</v>
      </c>
      <c r="H1465">
        <v>1081.1146000000001</v>
      </c>
      <c r="I1465">
        <v>0</v>
      </c>
      <c r="J1465">
        <v>1163.79</v>
      </c>
      <c r="K1465">
        <v>0</v>
      </c>
      <c r="L1465">
        <v>1158.8800000000001</v>
      </c>
      <c r="M1465" t="s">
        <v>27</v>
      </c>
      <c r="N1465">
        <v>1</v>
      </c>
      <c r="O1465">
        <v>1254</v>
      </c>
      <c r="P1465">
        <v>1081</v>
      </c>
      <c r="Q1465">
        <v>0</v>
      </c>
      <c r="R1465">
        <v>1081</v>
      </c>
    </row>
    <row r="1466" spans="1:18" x14ac:dyDescent="0.3">
      <c r="A1466" s="5">
        <v>45966</v>
      </c>
      <c r="B1466" t="s">
        <v>2130</v>
      </c>
      <c r="C1466">
        <v>11</v>
      </c>
      <c r="D1466">
        <v>36</v>
      </c>
      <c r="E1466" s="1">
        <v>1.9791666666666665</v>
      </c>
      <c r="F1466" t="s">
        <v>2128</v>
      </c>
      <c r="G1466">
        <v>5</v>
      </c>
      <c r="H1466">
        <v>1081.1325999999999</v>
      </c>
      <c r="I1466">
        <v>0</v>
      </c>
      <c r="J1466">
        <v>1163.79</v>
      </c>
      <c r="K1466">
        <v>0</v>
      </c>
      <c r="L1466">
        <v>1158.8800000000001</v>
      </c>
      <c r="M1466" t="s">
        <v>27</v>
      </c>
      <c r="N1466">
        <v>1</v>
      </c>
      <c r="O1466">
        <v>1254</v>
      </c>
      <c r="P1466">
        <v>1081</v>
      </c>
      <c r="Q1466">
        <v>0</v>
      </c>
      <c r="R1466">
        <v>1081</v>
      </c>
    </row>
    <row r="1467" spans="1:18" x14ac:dyDescent="0.3">
      <c r="A1467" s="5">
        <v>45966</v>
      </c>
      <c r="B1467" t="s">
        <v>2131</v>
      </c>
      <c r="C1467">
        <v>22</v>
      </c>
      <c r="D1467">
        <v>36</v>
      </c>
      <c r="E1467" s="1">
        <v>1.9791666666666665</v>
      </c>
      <c r="F1467" t="s">
        <v>2128</v>
      </c>
      <c r="G1467">
        <v>5</v>
      </c>
      <c r="H1467">
        <v>1080.8025</v>
      </c>
      <c r="I1467">
        <v>0</v>
      </c>
      <c r="J1467">
        <v>1163.79</v>
      </c>
      <c r="K1467">
        <v>0</v>
      </c>
      <c r="L1467">
        <v>1158.8800000000001</v>
      </c>
      <c r="M1467" t="s">
        <v>27</v>
      </c>
      <c r="N1467">
        <v>1</v>
      </c>
      <c r="O1467">
        <v>1254</v>
      </c>
      <c r="P1467">
        <v>1081</v>
      </c>
      <c r="Q1467">
        <v>0</v>
      </c>
      <c r="R1467">
        <v>1081</v>
      </c>
    </row>
    <row r="1468" spans="1:18" x14ac:dyDescent="0.3">
      <c r="A1468" s="5">
        <v>45966</v>
      </c>
      <c r="B1468" t="s">
        <v>2132</v>
      </c>
      <c r="C1468">
        <v>29</v>
      </c>
      <c r="D1468">
        <v>36</v>
      </c>
      <c r="E1468" s="1">
        <v>1.9791666666666665</v>
      </c>
      <c r="F1468" t="s">
        <v>2133</v>
      </c>
      <c r="G1468">
        <v>1</v>
      </c>
      <c r="H1468">
        <v>1080.6844000000001</v>
      </c>
      <c r="I1468">
        <v>8.5</v>
      </c>
      <c r="J1468">
        <v>1163.79</v>
      </c>
      <c r="K1468">
        <v>6.6574267799006801</v>
      </c>
      <c r="L1468">
        <v>1097.8399999999999</v>
      </c>
      <c r="M1468" t="s">
        <v>27</v>
      </c>
      <c r="N1468">
        <v>1</v>
      </c>
      <c r="O1468">
        <v>1345</v>
      </c>
      <c r="P1468">
        <v>1173</v>
      </c>
      <c r="Q1468">
        <v>0</v>
      </c>
      <c r="R1468">
        <v>1173</v>
      </c>
    </row>
    <row r="1469" spans="1:18" x14ac:dyDescent="0.3">
      <c r="A1469" s="5">
        <v>45966</v>
      </c>
      <c r="B1469" t="s">
        <v>2134</v>
      </c>
      <c r="C1469">
        <v>8</v>
      </c>
      <c r="D1469">
        <v>36</v>
      </c>
      <c r="E1469" s="1">
        <v>1.9791666666666665</v>
      </c>
      <c r="F1469" t="s">
        <v>2135</v>
      </c>
      <c r="G1469">
        <v>1</v>
      </c>
      <c r="H1469">
        <v>1081.1866</v>
      </c>
      <c r="I1469">
        <v>8.5</v>
      </c>
      <c r="J1469">
        <v>1163.79</v>
      </c>
      <c r="K1469">
        <v>6.6574267799006801</v>
      </c>
      <c r="L1469">
        <v>1219.83</v>
      </c>
      <c r="M1469" t="s">
        <v>27</v>
      </c>
      <c r="N1469">
        <v>1</v>
      </c>
      <c r="O1469">
        <v>1346</v>
      </c>
      <c r="P1469">
        <v>1173</v>
      </c>
      <c r="Q1469">
        <v>0</v>
      </c>
      <c r="R1469">
        <v>1173</v>
      </c>
    </row>
    <row r="1470" spans="1:18" x14ac:dyDescent="0.3">
      <c r="A1470" s="5">
        <v>45966</v>
      </c>
      <c r="B1470" t="s">
        <v>2136</v>
      </c>
      <c r="C1470">
        <v>25</v>
      </c>
      <c r="D1470">
        <v>36</v>
      </c>
      <c r="E1470" s="1">
        <v>1.9791666666666665</v>
      </c>
      <c r="F1470" t="s">
        <v>2137</v>
      </c>
      <c r="G1470">
        <v>1</v>
      </c>
      <c r="H1470">
        <v>1080.7562</v>
      </c>
      <c r="I1470">
        <v>8.5</v>
      </c>
      <c r="J1470">
        <v>1163.79</v>
      </c>
      <c r="K1470">
        <v>6.6574267799006801</v>
      </c>
      <c r="L1470">
        <v>1219.83</v>
      </c>
      <c r="M1470" t="s">
        <v>27</v>
      </c>
      <c r="N1470">
        <v>1</v>
      </c>
      <c r="O1470">
        <v>1346</v>
      </c>
      <c r="P1470">
        <v>1173</v>
      </c>
      <c r="Q1470">
        <v>0</v>
      </c>
      <c r="R1470">
        <v>1173</v>
      </c>
    </row>
    <row r="1471" spans="1:18" x14ac:dyDescent="0.3">
      <c r="A1471" s="5">
        <v>45966</v>
      </c>
      <c r="B1471" t="s">
        <v>1861</v>
      </c>
      <c r="C1471">
        <v>28</v>
      </c>
      <c r="D1471">
        <v>36</v>
      </c>
      <c r="E1471" s="1">
        <v>1.9791666666666665</v>
      </c>
      <c r="F1471" t="s">
        <v>1862</v>
      </c>
      <c r="G1471">
        <v>0</v>
      </c>
      <c r="H1471">
        <v>1080.7023999999999</v>
      </c>
      <c r="I1471">
        <v>2.5</v>
      </c>
      <c r="J1471">
        <v>1163.79</v>
      </c>
      <c r="K1471">
        <v>1.9580666999707901</v>
      </c>
      <c r="L1471">
        <v>1158.8800000000001</v>
      </c>
      <c r="M1471" t="s">
        <v>27</v>
      </c>
      <c r="N1471">
        <v>1</v>
      </c>
      <c r="O1471">
        <v>1281</v>
      </c>
      <c r="P1471">
        <v>1108</v>
      </c>
      <c r="Q1471">
        <v>0</v>
      </c>
      <c r="R1471">
        <v>1108</v>
      </c>
    </row>
    <row r="1472" spans="1:18" x14ac:dyDescent="0.3">
      <c r="A1472" s="5">
        <v>45966</v>
      </c>
      <c r="B1472" t="s">
        <v>2138</v>
      </c>
      <c r="C1472">
        <v>10</v>
      </c>
      <c r="D1472">
        <v>36</v>
      </c>
      <c r="E1472" s="1">
        <v>1.0833333333333333</v>
      </c>
      <c r="F1472" t="s">
        <v>2139</v>
      </c>
      <c r="G1472">
        <v>0</v>
      </c>
      <c r="H1472">
        <v>1081.4337</v>
      </c>
      <c r="I1472">
        <v>2.5</v>
      </c>
      <c r="J1472">
        <v>1163.79</v>
      </c>
      <c r="K1472">
        <v>1.9580666999707901</v>
      </c>
      <c r="L1472">
        <v>1158.8800000000001</v>
      </c>
      <c r="M1472" t="s">
        <v>27</v>
      </c>
      <c r="N1472">
        <v>1</v>
      </c>
      <c r="O1472">
        <v>1281</v>
      </c>
      <c r="P1472">
        <v>1108</v>
      </c>
      <c r="Q1472">
        <v>0</v>
      </c>
      <c r="R1472">
        <v>1108</v>
      </c>
    </row>
    <row r="1473" spans="1:18" x14ac:dyDescent="0.3">
      <c r="A1473" s="5">
        <v>45966</v>
      </c>
      <c r="B1473" t="s">
        <v>2140</v>
      </c>
      <c r="C1473">
        <v>36</v>
      </c>
      <c r="D1473">
        <v>36</v>
      </c>
      <c r="E1473" s="1">
        <v>1.9993055555555554</v>
      </c>
      <c r="F1473" t="s">
        <v>2141</v>
      </c>
      <c r="G1473">
        <v>5</v>
      </c>
      <c r="H1473">
        <v>1080.5507</v>
      </c>
      <c r="I1473">
        <v>0</v>
      </c>
      <c r="J1473">
        <v>1163.79</v>
      </c>
      <c r="K1473">
        <v>0</v>
      </c>
      <c r="L1473">
        <v>1158.8800000000001</v>
      </c>
      <c r="M1473" t="s">
        <v>27</v>
      </c>
      <c r="N1473">
        <v>1</v>
      </c>
      <c r="O1473">
        <v>1253</v>
      </c>
      <c r="P1473">
        <v>1081</v>
      </c>
      <c r="Q1473">
        <v>0</v>
      </c>
      <c r="R1473">
        <v>1081</v>
      </c>
    </row>
    <row r="1474" spans="1:18" x14ac:dyDescent="0.3">
      <c r="A1474" s="5">
        <v>45966</v>
      </c>
      <c r="B1474" t="s">
        <v>2142</v>
      </c>
      <c r="C1474">
        <v>19</v>
      </c>
      <c r="D1474">
        <v>36</v>
      </c>
      <c r="E1474" s="1">
        <v>1.9791666666666665</v>
      </c>
      <c r="F1474" t="s">
        <v>2143</v>
      </c>
      <c r="G1474">
        <v>1</v>
      </c>
      <c r="H1474">
        <v>1080.9822999999999</v>
      </c>
      <c r="I1474">
        <v>8.5</v>
      </c>
      <c r="J1474">
        <v>1163.79</v>
      </c>
      <c r="K1474">
        <v>6.6574267799006801</v>
      </c>
      <c r="L1474">
        <v>1097.8399999999999</v>
      </c>
      <c r="M1474" t="s">
        <v>27</v>
      </c>
      <c r="N1474">
        <v>1</v>
      </c>
      <c r="O1474">
        <v>1346</v>
      </c>
      <c r="P1474">
        <v>1173</v>
      </c>
      <c r="Q1474">
        <v>0</v>
      </c>
      <c r="R1474">
        <v>1173</v>
      </c>
    </row>
    <row r="1475" spans="1:18" x14ac:dyDescent="0.3">
      <c r="A1475" s="5">
        <v>45966</v>
      </c>
      <c r="B1475" t="s">
        <v>2144</v>
      </c>
      <c r="C1475">
        <v>20</v>
      </c>
      <c r="D1475">
        <v>36</v>
      </c>
      <c r="E1475" s="1">
        <v>1.9791666666666665</v>
      </c>
      <c r="F1475" t="s">
        <v>2145</v>
      </c>
      <c r="G1475">
        <v>1</v>
      </c>
      <c r="H1475">
        <v>1080.9644000000001</v>
      </c>
      <c r="I1475">
        <v>8.5</v>
      </c>
      <c r="J1475">
        <v>1163.79</v>
      </c>
      <c r="K1475">
        <v>6.6574267799006801</v>
      </c>
      <c r="L1475">
        <v>1097.8399999999999</v>
      </c>
      <c r="M1475" t="s">
        <v>27</v>
      </c>
      <c r="N1475">
        <v>1</v>
      </c>
      <c r="O1475">
        <v>1346</v>
      </c>
      <c r="P1475">
        <v>1173</v>
      </c>
      <c r="Q1475">
        <v>0</v>
      </c>
      <c r="R1475">
        <v>1173</v>
      </c>
    </row>
    <row r="1476" spans="1:18" x14ac:dyDescent="0.3">
      <c r="A1476" s="5">
        <v>45966</v>
      </c>
      <c r="B1476" t="s">
        <v>2146</v>
      </c>
      <c r="C1476">
        <v>27</v>
      </c>
      <c r="D1476">
        <v>36</v>
      </c>
      <c r="E1476" s="1">
        <v>1.9791666666666665</v>
      </c>
      <c r="F1476" t="s">
        <v>2147</v>
      </c>
      <c r="G1476">
        <v>1</v>
      </c>
      <c r="H1476">
        <v>1080.72</v>
      </c>
      <c r="I1476">
        <v>8.5</v>
      </c>
      <c r="J1476">
        <v>1163.79</v>
      </c>
      <c r="K1476">
        <v>6.6574267799006801</v>
      </c>
      <c r="L1476">
        <v>1097.8399999999999</v>
      </c>
      <c r="M1476" t="s">
        <v>27</v>
      </c>
      <c r="N1476">
        <v>1</v>
      </c>
      <c r="O1476">
        <v>1345</v>
      </c>
      <c r="P1476">
        <v>1173</v>
      </c>
      <c r="Q1476">
        <v>0</v>
      </c>
      <c r="R1476">
        <v>1173</v>
      </c>
    </row>
    <row r="1477" spans="1:18" x14ac:dyDescent="0.3">
      <c r="A1477" s="5">
        <v>45966</v>
      </c>
      <c r="B1477" t="s">
        <v>2148</v>
      </c>
      <c r="C1477">
        <v>36</v>
      </c>
      <c r="D1477">
        <v>36</v>
      </c>
      <c r="E1477" s="1">
        <v>1.9791666666666665</v>
      </c>
      <c r="F1477" t="s">
        <v>2149</v>
      </c>
      <c r="G1477">
        <v>1</v>
      </c>
      <c r="H1477">
        <v>1080.5579</v>
      </c>
      <c r="I1477">
        <v>8.5</v>
      </c>
      <c r="J1477">
        <v>1163.79</v>
      </c>
      <c r="K1477">
        <v>6.6574267799006801</v>
      </c>
      <c r="L1477">
        <v>1097.8399999999999</v>
      </c>
      <c r="M1477" t="s">
        <v>27</v>
      </c>
      <c r="N1477">
        <v>1</v>
      </c>
      <c r="O1477">
        <v>1345</v>
      </c>
      <c r="P1477">
        <v>1172</v>
      </c>
      <c r="Q1477">
        <v>0</v>
      </c>
      <c r="R1477">
        <v>1172</v>
      </c>
    </row>
    <row r="1478" spans="1:18" x14ac:dyDescent="0.3">
      <c r="A1478" s="5">
        <v>45966</v>
      </c>
      <c r="B1478" t="s">
        <v>2150</v>
      </c>
      <c r="C1478">
        <v>29</v>
      </c>
      <c r="D1478">
        <v>36</v>
      </c>
      <c r="E1478" s="1">
        <v>1.9993055555555554</v>
      </c>
      <c r="F1478" t="s">
        <v>2151</v>
      </c>
      <c r="G1478">
        <v>1</v>
      </c>
      <c r="H1478">
        <v>1080.6836000000001</v>
      </c>
      <c r="I1478">
        <v>8.5</v>
      </c>
      <c r="J1478">
        <v>1163.79</v>
      </c>
      <c r="K1478">
        <v>6.6574267799006801</v>
      </c>
      <c r="L1478">
        <v>1219.83</v>
      </c>
      <c r="M1478" t="s">
        <v>27</v>
      </c>
      <c r="N1478">
        <v>1</v>
      </c>
      <c r="O1478">
        <v>1345</v>
      </c>
      <c r="P1478">
        <v>1173</v>
      </c>
      <c r="Q1478">
        <v>0</v>
      </c>
      <c r="R1478">
        <v>1173</v>
      </c>
    </row>
    <row r="1479" spans="1:18" x14ac:dyDescent="0.3">
      <c r="A1479" s="5">
        <v>45966</v>
      </c>
      <c r="B1479" t="s">
        <v>2152</v>
      </c>
      <c r="C1479">
        <v>26</v>
      </c>
      <c r="D1479">
        <v>36</v>
      </c>
      <c r="E1479" s="1">
        <v>1.9993055555555554</v>
      </c>
      <c r="F1479" t="s">
        <v>2153</v>
      </c>
      <c r="G1479">
        <v>1</v>
      </c>
      <c r="H1479">
        <v>1080.7378000000001</v>
      </c>
      <c r="I1479">
        <v>8.5</v>
      </c>
      <c r="J1479">
        <v>1163.79</v>
      </c>
      <c r="K1479">
        <v>6.6574267799006801</v>
      </c>
      <c r="L1479">
        <v>1219.83</v>
      </c>
      <c r="M1479" t="s">
        <v>27</v>
      </c>
      <c r="N1479">
        <v>1</v>
      </c>
      <c r="O1479">
        <v>1346</v>
      </c>
      <c r="P1479">
        <v>1173</v>
      </c>
      <c r="Q1479">
        <v>0</v>
      </c>
      <c r="R1479">
        <v>1173</v>
      </c>
    </row>
    <row r="1480" spans="1:18" x14ac:dyDescent="0.3">
      <c r="A1480" s="5">
        <v>45966</v>
      </c>
      <c r="B1480" t="s">
        <v>2154</v>
      </c>
      <c r="C1480">
        <v>6</v>
      </c>
      <c r="D1480">
        <v>36</v>
      </c>
      <c r="E1480" s="1">
        <v>1.9993055555555554</v>
      </c>
      <c r="F1480" t="s">
        <v>2155</v>
      </c>
      <c r="G1480">
        <v>0</v>
      </c>
      <c r="H1480">
        <v>1081.2168999999999</v>
      </c>
      <c r="I1480">
        <v>2.5</v>
      </c>
      <c r="J1480">
        <v>1163.79</v>
      </c>
      <c r="K1480">
        <v>1.9580666999707901</v>
      </c>
      <c r="L1480">
        <v>1158.8800000000001</v>
      </c>
      <c r="M1480" t="s">
        <v>27</v>
      </c>
      <c r="N1480">
        <v>1</v>
      </c>
      <c r="O1480">
        <v>1281</v>
      </c>
      <c r="P1480">
        <v>1108</v>
      </c>
      <c r="Q1480">
        <v>0</v>
      </c>
      <c r="R1480">
        <v>1108</v>
      </c>
    </row>
    <row r="1481" spans="1:18" x14ac:dyDescent="0.3">
      <c r="A1481" s="5">
        <v>45966</v>
      </c>
      <c r="B1481" t="s">
        <v>2154</v>
      </c>
      <c r="C1481">
        <v>6</v>
      </c>
      <c r="D1481">
        <v>36</v>
      </c>
      <c r="E1481" s="1">
        <v>1.9993055555555554</v>
      </c>
      <c r="F1481" t="s">
        <v>2156</v>
      </c>
      <c r="G1481">
        <v>0</v>
      </c>
      <c r="H1481">
        <v>1081.2168999999999</v>
      </c>
      <c r="I1481">
        <v>2.5</v>
      </c>
      <c r="J1481">
        <v>1163.79</v>
      </c>
      <c r="K1481">
        <v>1.9580666999707901</v>
      </c>
      <c r="L1481">
        <v>1158.8800000000001</v>
      </c>
      <c r="M1481" t="s">
        <v>27</v>
      </c>
      <c r="N1481">
        <v>1</v>
      </c>
      <c r="O1481">
        <v>1281</v>
      </c>
      <c r="P1481">
        <v>1108</v>
      </c>
      <c r="Q1481">
        <v>0</v>
      </c>
      <c r="R1481">
        <v>1108</v>
      </c>
    </row>
    <row r="1482" spans="1:18" x14ac:dyDescent="0.3">
      <c r="A1482" s="5">
        <v>45966</v>
      </c>
      <c r="B1482" t="s">
        <v>2157</v>
      </c>
      <c r="C1482">
        <v>5</v>
      </c>
      <c r="D1482">
        <v>36</v>
      </c>
      <c r="E1482" s="1">
        <v>1.9993055555555554</v>
      </c>
      <c r="F1482" t="s">
        <v>2155</v>
      </c>
      <c r="G1482">
        <v>0</v>
      </c>
      <c r="H1482">
        <v>1081.2348999999999</v>
      </c>
      <c r="I1482">
        <v>2.5</v>
      </c>
      <c r="J1482">
        <v>1163.79</v>
      </c>
      <c r="K1482">
        <v>1.9580666999707901</v>
      </c>
      <c r="L1482">
        <v>1158.8800000000001</v>
      </c>
      <c r="M1482" t="s">
        <v>27</v>
      </c>
      <c r="N1482">
        <v>1</v>
      </c>
      <c r="O1482">
        <v>1281</v>
      </c>
      <c r="P1482">
        <v>1108</v>
      </c>
      <c r="Q1482">
        <v>0</v>
      </c>
      <c r="R1482">
        <v>1108</v>
      </c>
    </row>
    <row r="1483" spans="1:18" x14ac:dyDescent="0.3">
      <c r="A1483" s="5">
        <v>45966</v>
      </c>
      <c r="B1483" t="s">
        <v>2157</v>
      </c>
      <c r="C1483">
        <v>5</v>
      </c>
      <c r="D1483">
        <v>36</v>
      </c>
      <c r="E1483" s="1">
        <v>1.9993055555555554</v>
      </c>
      <c r="F1483" t="s">
        <v>2156</v>
      </c>
      <c r="G1483">
        <v>0</v>
      </c>
      <c r="H1483">
        <v>1081.2348999999999</v>
      </c>
      <c r="I1483">
        <v>2.5</v>
      </c>
      <c r="J1483">
        <v>1163.79</v>
      </c>
      <c r="K1483">
        <v>1.9580666999707901</v>
      </c>
      <c r="L1483">
        <v>1158.8800000000001</v>
      </c>
      <c r="M1483" t="s">
        <v>27</v>
      </c>
      <c r="N1483">
        <v>1</v>
      </c>
      <c r="O1483">
        <v>1281</v>
      </c>
      <c r="P1483">
        <v>1108</v>
      </c>
      <c r="Q1483">
        <v>0</v>
      </c>
      <c r="R1483">
        <v>1108</v>
      </c>
    </row>
    <row r="1484" spans="1:18" x14ac:dyDescent="0.3">
      <c r="A1484" s="5">
        <v>45966</v>
      </c>
      <c r="B1484" t="s">
        <v>2158</v>
      </c>
      <c r="C1484">
        <v>30</v>
      </c>
      <c r="D1484">
        <v>36</v>
      </c>
      <c r="E1484" s="1">
        <v>1.0833333333333333</v>
      </c>
      <c r="F1484" t="s">
        <v>2159</v>
      </c>
      <c r="G1484">
        <v>2</v>
      </c>
      <c r="H1484">
        <v>1080.8717999999999</v>
      </c>
      <c r="I1484">
        <v>5</v>
      </c>
      <c r="J1484">
        <v>1163.79</v>
      </c>
      <c r="K1484">
        <v>3.9161333999415802</v>
      </c>
      <c r="L1484">
        <v>609.91</v>
      </c>
      <c r="M1484" t="s">
        <v>60</v>
      </c>
      <c r="N1484">
        <v>1</v>
      </c>
      <c r="O1484">
        <v>1308</v>
      </c>
      <c r="P1484">
        <v>1135</v>
      </c>
      <c r="Q1484">
        <v>0.5</v>
      </c>
      <c r="R1484">
        <v>567.5</v>
      </c>
    </row>
    <row r="1485" spans="1:18" x14ac:dyDescent="0.3">
      <c r="A1485" s="5">
        <v>45966</v>
      </c>
      <c r="B1485" t="s">
        <v>2160</v>
      </c>
      <c r="C1485">
        <v>31</v>
      </c>
      <c r="D1485">
        <v>36</v>
      </c>
      <c r="E1485" s="1">
        <v>1.0833333333333333</v>
      </c>
      <c r="F1485" t="s">
        <v>2161</v>
      </c>
      <c r="G1485">
        <v>2</v>
      </c>
      <c r="H1485">
        <v>1080.8539000000001</v>
      </c>
      <c r="I1485">
        <v>5</v>
      </c>
      <c r="J1485">
        <v>1163.79</v>
      </c>
      <c r="K1485">
        <v>3.9161333999415802</v>
      </c>
      <c r="L1485">
        <v>609.91</v>
      </c>
      <c r="M1485" t="s">
        <v>60</v>
      </c>
      <c r="N1485">
        <v>1</v>
      </c>
      <c r="O1485">
        <v>1308</v>
      </c>
      <c r="P1485">
        <v>1135</v>
      </c>
      <c r="Q1485">
        <v>0.5</v>
      </c>
      <c r="R1485">
        <v>567.5</v>
      </c>
    </row>
    <row r="1486" spans="1:18" x14ac:dyDescent="0.3">
      <c r="A1486" s="5">
        <v>45966</v>
      </c>
      <c r="B1486" t="s">
        <v>2162</v>
      </c>
      <c r="C1486">
        <v>33</v>
      </c>
      <c r="D1486">
        <v>36</v>
      </c>
      <c r="E1486" s="1">
        <v>1.9993055555555554</v>
      </c>
      <c r="F1486" t="s">
        <v>2163</v>
      </c>
      <c r="G1486">
        <v>3</v>
      </c>
      <c r="H1486">
        <v>1078.5598</v>
      </c>
      <c r="I1486">
        <v>10</v>
      </c>
      <c r="J1486">
        <v>1163.79</v>
      </c>
      <c r="K1486">
        <v>7.8322667998831603</v>
      </c>
      <c r="L1486">
        <v>1219.83</v>
      </c>
      <c r="M1486" t="s">
        <v>27</v>
      </c>
      <c r="N1486">
        <v>1</v>
      </c>
      <c r="O1486">
        <v>1359</v>
      </c>
      <c r="P1486">
        <v>1186</v>
      </c>
      <c r="Q1486">
        <v>0</v>
      </c>
      <c r="R1486">
        <v>1186</v>
      </c>
    </row>
    <row r="1487" spans="1:18" x14ac:dyDescent="0.3">
      <c r="A1487" s="5">
        <v>45966</v>
      </c>
      <c r="B1487" t="s">
        <v>2164</v>
      </c>
      <c r="C1487">
        <v>34</v>
      </c>
      <c r="D1487">
        <v>36</v>
      </c>
      <c r="E1487" s="1">
        <v>1.9993055555555554</v>
      </c>
      <c r="F1487" t="s">
        <v>2163</v>
      </c>
      <c r="G1487">
        <v>3</v>
      </c>
      <c r="H1487">
        <v>1078.5417</v>
      </c>
      <c r="I1487">
        <v>10</v>
      </c>
      <c r="J1487">
        <v>1163.79</v>
      </c>
      <c r="K1487">
        <v>7.8322667998831603</v>
      </c>
      <c r="L1487">
        <v>609.91</v>
      </c>
      <c r="M1487" t="s">
        <v>20</v>
      </c>
      <c r="N1487">
        <v>1</v>
      </c>
      <c r="O1487">
        <v>1359</v>
      </c>
      <c r="P1487">
        <v>1186</v>
      </c>
      <c r="Q1487">
        <v>0.5</v>
      </c>
      <c r="R1487">
        <v>593</v>
      </c>
    </row>
    <row r="1488" spans="1:18" x14ac:dyDescent="0.3">
      <c r="A1488" s="5">
        <v>45966</v>
      </c>
      <c r="B1488" t="s">
        <v>2165</v>
      </c>
      <c r="C1488">
        <v>32</v>
      </c>
      <c r="D1488">
        <v>36</v>
      </c>
      <c r="E1488" s="1">
        <v>1.9993055555555554</v>
      </c>
      <c r="F1488" t="s">
        <v>2163</v>
      </c>
      <c r="G1488">
        <v>3</v>
      </c>
      <c r="H1488">
        <v>1078.5779</v>
      </c>
      <c r="I1488">
        <v>10</v>
      </c>
      <c r="J1488">
        <v>1163.79</v>
      </c>
      <c r="K1488">
        <v>7.8322667998831603</v>
      </c>
      <c r="L1488">
        <v>609.91</v>
      </c>
      <c r="M1488" t="s">
        <v>77</v>
      </c>
      <c r="N1488">
        <v>1</v>
      </c>
      <c r="O1488">
        <v>1359</v>
      </c>
      <c r="P1488">
        <v>1186</v>
      </c>
      <c r="Q1488">
        <v>0.5</v>
      </c>
      <c r="R1488">
        <v>593</v>
      </c>
    </row>
    <row r="1489" spans="1:18" x14ac:dyDescent="0.3">
      <c r="A1489" s="5">
        <v>45966</v>
      </c>
      <c r="B1489" t="s">
        <v>2166</v>
      </c>
      <c r="C1489">
        <v>14</v>
      </c>
      <c r="D1489">
        <v>36</v>
      </c>
      <c r="E1489" s="1">
        <v>1.9993055555555554</v>
      </c>
      <c r="F1489" t="s">
        <v>2167</v>
      </c>
      <c r="G1489">
        <v>1</v>
      </c>
      <c r="H1489">
        <v>1081.0723</v>
      </c>
      <c r="I1489">
        <v>8.5</v>
      </c>
      <c r="J1489">
        <v>1163.79</v>
      </c>
      <c r="K1489">
        <v>6.6574267799006801</v>
      </c>
      <c r="L1489">
        <v>1219.83</v>
      </c>
      <c r="M1489" t="s">
        <v>27</v>
      </c>
      <c r="N1489">
        <v>1</v>
      </c>
      <c r="O1489">
        <v>1346</v>
      </c>
      <c r="P1489">
        <v>1173</v>
      </c>
      <c r="Q1489">
        <v>0</v>
      </c>
      <c r="R1489">
        <v>1173</v>
      </c>
    </row>
    <row r="1490" spans="1:18" x14ac:dyDescent="0.3">
      <c r="A1490" s="5">
        <v>45966</v>
      </c>
      <c r="B1490" t="s">
        <v>2168</v>
      </c>
      <c r="C1490">
        <v>28</v>
      </c>
      <c r="D1490">
        <v>36</v>
      </c>
      <c r="E1490" s="1">
        <v>1.9993055555555554</v>
      </c>
      <c r="F1490" t="s">
        <v>2169</v>
      </c>
      <c r="G1490">
        <v>1</v>
      </c>
      <c r="H1490">
        <v>1080.702</v>
      </c>
      <c r="I1490">
        <v>8.5</v>
      </c>
      <c r="J1490">
        <v>1163.79</v>
      </c>
      <c r="K1490">
        <v>6.6574267799006801</v>
      </c>
      <c r="L1490">
        <v>1219.83</v>
      </c>
      <c r="M1490" t="s">
        <v>27</v>
      </c>
      <c r="N1490">
        <v>1</v>
      </c>
      <c r="O1490">
        <v>1345</v>
      </c>
      <c r="P1490">
        <v>1173</v>
      </c>
      <c r="Q1490">
        <v>0</v>
      </c>
      <c r="R1490">
        <v>1173</v>
      </c>
    </row>
    <row r="1491" spans="1:18" x14ac:dyDescent="0.3">
      <c r="A1491" s="5">
        <v>45966</v>
      </c>
      <c r="B1491" t="s">
        <v>2170</v>
      </c>
      <c r="C1491">
        <v>25</v>
      </c>
      <c r="D1491">
        <v>36</v>
      </c>
      <c r="E1491" s="1">
        <v>1.0833333333333333</v>
      </c>
      <c r="F1491" t="s">
        <v>2171</v>
      </c>
      <c r="G1491">
        <v>0</v>
      </c>
      <c r="H1491">
        <v>1080.9618</v>
      </c>
      <c r="I1491">
        <v>2.5</v>
      </c>
      <c r="J1491">
        <v>1163.79</v>
      </c>
      <c r="K1491">
        <v>1.9580666999707901</v>
      </c>
      <c r="L1491">
        <v>1158.8800000000001</v>
      </c>
      <c r="M1491" t="s">
        <v>27</v>
      </c>
      <c r="N1491">
        <v>1</v>
      </c>
      <c r="O1491">
        <v>1281</v>
      </c>
      <c r="P1491">
        <v>1108</v>
      </c>
      <c r="Q1491">
        <v>0</v>
      </c>
      <c r="R1491">
        <v>1108</v>
      </c>
    </row>
    <row r="1492" spans="1:18" x14ac:dyDescent="0.3">
      <c r="A1492" s="5">
        <v>45966</v>
      </c>
      <c r="B1492" t="s">
        <v>2172</v>
      </c>
      <c r="C1492">
        <v>17</v>
      </c>
      <c r="D1492">
        <v>36</v>
      </c>
      <c r="E1492" s="1">
        <v>1.9993055555555554</v>
      </c>
      <c r="F1492" t="s">
        <v>2173</v>
      </c>
      <c r="G1492">
        <v>2</v>
      </c>
      <c r="H1492">
        <v>1080.3666000000001</v>
      </c>
      <c r="I1492">
        <v>5</v>
      </c>
      <c r="J1492">
        <v>1163.79</v>
      </c>
      <c r="K1492">
        <v>3.9161333999415802</v>
      </c>
      <c r="L1492">
        <v>609.91</v>
      </c>
      <c r="M1492" t="s">
        <v>60</v>
      </c>
      <c r="N1492">
        <v>1</v>
      </c>
      <c r="O1492">
        <v>1307</v>
      </c>
      <c r="P1492">
        <v>1134</v>
      </c>
      <c r="Q1492">
        <v>0.5</v>
      </c>
      <c r="R1492">
        <v>567</v>
      </c>
    </row>
    <row r="1493" spans="1:18" x14ac:dyDescent="0.3">
      <c r="A1493" s="5">
        <v>45967</v>
      </c>
      <c r="B1493" t="s">
        <v>2174</v>
      </c>
      <c r="C1493">
        <v>34</v>
      </c>
      <c r="D1493">
        <v>36</v>
      </c>
      <c r="E1493" s="1">
        <v>1.0833333333333333</v>
      </c>
      <c r="F1493" t="s">
        <v>2175</v>
      </c>
      <c r="G1493">
        <v>4</v>
      </c>
      <c r="H1493">
        <v>1080.7992999999999</v>
      </c>
      <c r="I1493">
        <v>7</v>
      </c>
      <c r="J1493">
        <v>1163.79</v>
      </c>
      <c r="K1493">
        <v>5.4825867599182097</v>
      </c>
      <c r="L1493">
        <v>1219.83</v>
      </c>
      <c r="M1493" t="s">
        <v>27</v>
      </c>
      <c r="N1493">
        <v>1</v>
      </c>
      <c r="O1493">
        <v>1329</v>
      </c>
      <c r="P1493">
        <v>1156</v>
      </c>
      <c r="Q1493">
        <v>0</v>
      </c>
      <c r="R1493">
        <v>1156</v>
      </c>
    </row>
    <row r="1494" spans="1:18" x14ac:dyDescent="0.3">
      <c r="A1494" s="5">
        <v>45967</v>
      </c>
      <c r="B1494" t="s">
        <v>2176</v>
      </c>
      <c r="C1494">
        <v>14</v>
      </c>
      <c r="D1494">
        <v>36</v>
      </c>
      <c r="E1494" s="1">
        <v>1.0833333333333333</v>
      </c>
      <c r="F1494" t="s">
        <v>2177</v>
      </c>
      <c r="G1494">
        <v>0</v>
      </c>
      <c r="H1494">
        <v>1081.2914000000001</v>
      </c>
      <c r="I1494">
        <v>2.5</v>
      </c>
      <c r="J1494">
        <v>1163.79</v>
      </c>
      <c r="K1494">
        <v>1.9580666999707901</v>
      </c>
      <c r="L1494">
        <v>975.86</v>
      </c>
      <c r="M1494" t="s">
        <v>44</v>
      </c>
      <c r="N1494">
        <v>1</v>
      </c>
      <c r="O1494">
        <v>1281</v>
      </c>
      <c r="P1494">
        <v>1108</v>
      </c>
      <c r="Q1494">
        <v>0</v>
      </c>
      <c r="R1494">
        <v>1108</v>
      </c>
    </row>
    <row r="1495" spans="1:18" x14ac:dyDescent="0.3">
      <c r="A1495" s="5">
        <v>45967</v>
      </c>
      <c r="B1495" t="s">
        <v>2178</v>
      </c>
      <c r="C1495">
        <v>18</v>
      </c>
      <c r="D1495">
        <v>36</v>
      </c>
      <c r="E1495" s="1">
        <v>1.0833333333333333</v>
      </c>
      <c r="F1495" t="s">
        <v>2179</v>
      </c>
      <c r="G1495">
        <v>2</v>
      </c>
      <c r="H1495">
        <v>1081.2184999999999</v>
      </c>
      <c r="I1495">
        <v>5</v>
      </c>
      <c r="J1495">
        <v>1163.79</v>
      </c>
      <c r="K1495">
        <v>3.9161333999415802</v>
      </c>
      <c r="L1495">
        <v>609.91</v>
      </c>
      <c r="M1495" t="s">
        <v>60</v>
      </c>
      <c r="N1495">
        <v>1</v>
      </c>
      <c r="O1495">
        <v>1308</v>
      </c>
      <c r="P1495">
        <v>1135</v>
      </c>
      <c r="Q1495">
        <v>0.5</v>
      </c>
      <c r="R1495">
        <v>567.5</v>
      </c>
    </row>
    <row r="1496" spans="1:18" x14ac:dyDescent="0.3">
      <c r="A1496" s="5">
        <v>45967</v>
      </c>
      <c r="B1496" t="s">
        <v>2180</v>
      </c>
      <c r="C1496">
        <v>11</v>
      </c>
      <c r="D1496">
        <v>36</v>
      </c>
      <c r="E1496" s="1">
        <v>1.0833333333333333</v>
      </c>
      <c r="F1496" t="s">
        <v>2181</v>
      </c>
      <c r="G1496">
        <v>4</v>
      </c>
      <c r="H1496">
        <v>1081.3444</v>
      </c>
      <c r="I1496">
        <v>7</v>
      </c>
      <c r="J1496">
        <v>1163.79</v>
      </c>
      <c r="K1496">
        <v>5.4825867599182097</v>
      </c>
      <c r="L1496">
        <v>1219.83</v>
      </c>
      <c r="M1496" t="s">
        <v>27</v>
      </c>
      <c r="N1496">
        <v>1</v>
      </c>
      <c r="O1496">
        <v>1330</v>
      </c>
      <c r="P1496">
        <v>1157</v>
      </c>
      <c r="Q1496">
        <v>0</v>
      </c>
      <c r="R1496">
        <v>1157</v>
      </c>
    </row>
    <row r="1497" spans="1:18" x14ac:dyDescent="0.3">
      <c r="A1497" s="5">
        <v>45967</v>
      </c>
      <c r="B1497" t="s">
        <v>2182</v>
      </c>
      <c r="C1497">
        <v>12</v>
      </c>
      <c r="D1497">
        <v>36</v>
      </c>
      <c r="E1497" s="1">
        <v>1.0833333333333333</v>
      </c>
      <c r="F1497" t="s">
        <v>2183</v>
      </c>
      <c r="G1497">
        <v>4</v>
      </c>
      <c r="H1497">
        <v>1081.3264999999999</v>
      </c>
      <c r="I1497">
        <v>7</v>
      </c>
      <c r="J1497">
        <v>1163.79</v>
      </c>
      <c r="K1497">
        <v>5.4825867599182097</v>
      </c>
      <c r="L1497">
        <v>1219.83</v>
      </c>
      <c r="M1497" t="s">
        <v>27</v>
      </c>
      <c r="N1497">
        <v>1</v>
      </c>
      <c r="O1497">
        <v>1330</v>
      </c>
      <c r="P1497">
        <v>1157</v>
      </c>
      <c r="Q1497">
        <v>0</v>
      </c>
      <c r="R1497">
        <v>1157</v>
      </c>
    </row>
    <row r="1498" spans="1:18" x14ac:dyDescent="0.3">
      <c r="A1498" s="5">
        <v>45967</v>
      </c>
      <c r="B1498" t="s">
        <v>2184</v>
      </c>
      <c r="C1498">
        <v>15</v>
      </c>
      <c r="D1498">
        <v>36</v>
      </c>
      <c r="E1498" s="1">
        <v>1.0833333333333333</v>
      </c>
      <c r="F1498" t="s">
        <v>2185</v>
      </c>
      <c r="G1498">
        <v>4</v>
      </c>
      <c r="H1498">
        <v>1081.2723000000001</v>
      </c>
      <c r="I1498">
        <v>7</v>
      </c>
      <c r="J1498">
        <v>1163.79</v>
      </c>
      <c r="K1498">
        <v>5.4825867599182097</v>
      </c>
      <c r="L1498">
        <v>1219.83</v>
      </c>
      <c r="M1498" t="s">
        <v>27</v>
      </c>
      <c r="N1498">
        <v>1</v>
      </c>
      <c r="O1498">
        <v>1330</v>
      </c>
      <c r="P1498">
        <v>1157</v>
      </c>
      <c r="Q1498">
        <v>0</v>
      </c>
      <c r="R1498">
        <v>1157</v>
      </c>
    </row>
    <row r="1499" spans="1:18" x14ac:dyDescent="0.3">
      <c r="A1499" s="5">
        <v>45967</v>
      </c>
      <c r="B1499" t="s">
        <v>2186</v>
      </c>
      <c r="C1499">
        <v>28</v>
      </c>
      <c r="D1499">
        <v>36</v>
      </c>
      <c r="E1499" s="1">
        <v>1.0833333333333333</v>
      </c>
      <c r="F1499" t="s">
        <v>2187</v>
      </c>
      <c r="G1499">
        <v>4</v>
      </c>
      <c r="H1499">
        <v>1080.9061999999999</v>
      </c>
      <c r="I1499">
        <v>7</v>
      </c>
      <c r="J1499">
        <v>1163.79</v>
      </c>
      <c r="K1499">
        <v>5.4825867599182097</v>
      </c>
      <c r="L1499">
        <v>1219.83</v>
      </c>
      <c r="M1499" t="s">
        <v>27</v>
      </c>
      <c r="N1499">
        <v>1</v>
      </c>
      <c r="O1499">
        <v>1330</v>
      </c>
      <c r="P1499">
        <v>1157</v>
      </c>
      <c r="Q1499">
        <v>0</v>
      </c>
      <c r="R1499">
        <v>1157</v>
      </c>
    </row>
    <row r="1500" spans="1:18" x14ac:dyDescent="0.3">
      <c r="A1500" s="5">
        <v>45967</v>
      </c>
      <c r="B1500" t="s">
        <v>2188</v>
      </c>
      <c r="C1500">
        <v>29</v>
      </c>
      <c r="D1500">
        <v>36</v>
      </c>
      <c r="E1500" s="1">
        <v>1.0833333333333333</v>
      </c>
      <c r="F1500" t="s">
        <v>2189</v>
      </c>
      <c r="G1500">
        <v>4</v>
      </c>
      <c r="H1500">
        <v>1080.8883000000001</v>
      </c>
      <c r="I1500">
        <v>7</v>
      </c>
      <c r="J1500">
        <v>1163.79</v>
      </c>
      <c r="K1500">
        <v>5.4825867599182097</v>
      </c>
      <c r="L1500">
        <v>1219.83</v>
      </c>
      <c r="M1500" t="s">
        <v>27</v>
      </c>
      <c r="N1500">
        <v>1</v>
      </c>
      <c r="O1500">
        <v>1329</v>
      </c>
      <c r="P1500">
        <v>1157</v>
      </c>
      <c r="Q1500">
        <v>0</v>
      </c>
      <c r="R1500">
        <v>1157</v>
      </c>
    </row>
    <row r="1501" spans="1:18" x14ac:dyDescent="0.3">
      <c r="A1501" s="5">
        <v>45967</v>
      </c>
      <c r="B1501" t="s">
        <v>2190</v>
      </c>
      <c r="C1501">
        <v>7</v>
      </c>
      <c r="D1501">
        <v>36</v>
      </c>
      <c r="E1501" s="1">
        <v>1.0833333333333333</v>
      </c>
      <c r="F1501" t="s">
        <v>2191</v>
      </c>
      <c r="G1501">
        <v>5</v>
      </c>
      <c r="H1501">
        <v>1081.4294</v>
      </c>
      <c r="I1501">
        <v>0</v>
      </c>
      <c r="J1501">
        <v>1163.79</v>
      </c>
      <c r="K1501">
        <v>0</v>
      </c>
      <c r="L1501">
        <v>1158.8800000000001</v>
      </c>
      <c r="M1501" t="s">
        <v>27</v>
      </c>
      <c r="N1501">
        <v>1</v>
      </c>
      <c r="O1501">
        <v>1254</v>
      </c>
      <c r="P1501">
        <v>1081</v>
      </c>
      <c r="Q1501">
        <v>0</v>
      </c>
      <c r="R1501">
        <v>1081</v>
      </c>
    </row>
    <row r="1502" spans="1:18" x14ac:dyDescent="0.3">
      <c r="A1502" s="5">
        <v>45967</v>
      </c>
      <c r="B1502" t="s">
        <v>2192</v>
      </c>
      <c r="C1502">
        <v>5</v>
      </c>
      <c r="D1502">
        <v>36</v>
      </c>
      <c r="E1502" s="1">
        <v>1.0833333333333333</v>
      </c>
      <c r="F1502" t="s">
        <v>2193</v>
      </c>
      <c r="G1502">
        <v>5</v>
      </c>
      <c r="H1502">
        <v>1081.4647</v>
      </c>
      <c r="I1502">
        <v>0</v>
      </c>
      <c r="J1502">
        <v>1163.79</v>
      </c>
      <c r="K1502">
        <v>0</v>
      </c>
      <c r="L1502">
        <v>1158.8800000000001</v>
      </c>
      <c r="M1502" t="s">
        <v>27</v>
      </c>
      <c r="N1502">
        <v>1</v>
      </c>
      <c r="O1502">
        <v>1254</v>
      </c>
      <c r="P1502">
        <v>1081</v>
      </c>
      <c r="Q1502">
        <v>0</v>
      </c>
      <c r="R1502">
        <v>1081</v>
      </c>
    </row>
    <row r="1503" spans="1:18" x14ac:dyDescent="0.3">
      <c r="A1503" s="5">
        <v>45967</v>
      </c>
      <c r="B1503" t="s">
        <v>2194</v>
      </c>
      <c r="C1503">
        <v>6</v>
      </c>
      <c r="D1503">
        <v>36</v>
      </c>
      <c r="E1503" s="1">
        <v>1.0833333333333333</v>
      </c>
      <c r="F1503" t="s">
        <v>2193</v>
      </c>
      <c r="G1503">
        <v>5</v>
      </c>
      <c r="H1503">
        <v>1081.4468999999999</v>
      </c>
      <c r="I1503">
        <v>0</v>
      </c>
      <c r="J1503">
        <v>1163.79</v>
      </c>
      <c r="K1503">
        <v>0</v>
      </c>
      <c r="L1503">
        <v>1158.8800000000001</v>
      </c>
      <c r="M1503" t="s">
        <v>27</v>
      </c>
      <c r="N1503">
        <v>1</v>
      </c>
      <c r="O1503">
        <v>1254</v>
      </c>
      <c r="P1503">
        <v>1081</v>
      </c>
      <c r="Q1503">
        <v>0</v>
      </c>
      <c r="R1503">
        <v>1081</v>
      </c>
    </row>
    <row r="1504" spans="1:18" x14ac:dyDescent="0.3">
      <c r="A1504" s="5">
        <v>45967</v>
      </c>
      <c r="B1504" t="s">
        <v>2195</v>
      </c>
      <c r="C1504">
        <v>9</v>
      </c>
      <c r="D1504">
        <v>36</v>
      </c>
      <c r="E1504" s="1">
        <v>1.0833333333333333</v>
      </c>
      <c r="F1504" t="s">
        <v>2193</v>
      </c>
      <c r="G1504">
        <v>5</v>
      </c>
      <c r="H1504">
        <v>1081.3925999999999</v>
      </c>
      <c r="I1504">
        <v>0</v>
      </c>
      <c r="J1504">
        <v>1163.79</v>
      </c>
      <c r="K1504">
        <v>0</v>
      </c>
      <c r="L1504">
        <v>609.91</v>
      </c>
      <c r="M1504" t="s">
        <v>20</v>
      </c>
      <c r="N1504">
        <v>1</v>
      </c>
      <c r="O1504">
        <v>1254</v>
      </c>
      <c r="P1504">
        <v>1081</v>
      </c>
      <c r="Q1504">
        <v>0.5</v>
      </c>
      <c r="R1504">
        <v>540.5</v>
      </c>
    </row>
    <row r="1505" spans="1:18" x14ac:dyDescent="0.3">
      <c r="A1505" s="5">
        <v>45967</v>
      </c>
      <c r="B1505" t="s">
        <v>2196</v>
      </c>
      <c r="C1505">
        <v>20</v>
      </c>
      <c r="D1505">
        <v>36</v>
      </c>
      <c r="E1505" s="1">
        <v>1.0833333333333333</v>
      </c>
      <c r="F1505" t="s">
        <v>2197</v>
      </c>
      <c r="G1505">
        <v>1</v>
      </c>
      <c r="H1505">
        <v>1081.1952000000001</v>
      </c>
      <c r="I1505">
        <v>8.5</v>
      </c>
      <c r="J1505">
        <v>1163.79</v>
      </c>
      <c r="K1505">
        <v>6.6574267799006801</v>
      </c>
      <c r="L1505">
        <v>1219.83</v>
      </c>
      <c r="M1505" t="s">
        <v>27</v>
      </c>
      <c r="N1505">
        <v>1</v>
      </c>
      <c r="O1505">
        <v>1346</v>
      </c>
      <c r="P1505">
        <v>1173</v>
      </c>
      <c r="Q1505">
        <v>0</v>
      </c>
      <c r="R1505">
        <v>1173</v>
      </c>
    </row>
    <row r="1506" spans="1:18" x14ac:dyDescent="0.3">
      <c r="A1506" s="5">
        <v>45967</v>
      </c>
      <c r="B1506" t="s">
        <v>2198</v>
      </c>
      <c r="C1506">
        <v>22</v>
      </c>
      <c r="D1506">
        <v>36</v>
      </c>
      <c r="E1506" s="1">
        <v>1.0833333333333333</v>
      </c>
      <c r="F1506" t="s">
        <v>2199</v>
      </c>
      <c r="G1506">
        <v>5</v>
      </c>
      <c r="H1506">
        <v>1081.0265999999999</v>
      </c>
      <c r="I1506">
        <v>0</v>
      </c>
      <c r="J1506">
        <v>1163.79</v>
      </c>
      <c r="K1506">
        <v>0</v>
      </c>
      <c r="L1506">
        <v>1158.8800000000001</v>
      </c>
      <c r="M1506" t="s">
        <v>27</v>
      </c>
      <c r="N1506">
        <v>1</v>
      </c>
      <c r="O1506">
        <v>1254</v>
      </c>
      <c r="P1506">
        <v>1081</v>
      </c>
      <c r="Q1506">
        <v>0</v>
      </c>
      <c r="R1506">
        <v>1081</v>
      </c>
    </row>
    <row r="1507" spans="1:18" x14ac:dyDescent="0.3">
      <c r="A1507" s="5">
        <v>45967</v>
      </c>
      <c r="B1507" t="s">
        <v>2200</v>
      </c>
      <c r="C1507">
        <v>7</v>
      </c>
      <c r="D1507">
        <v>36</v>
      </c>
      <c r="E1507" s="1">
        <v>1.9993055555555554</v>
      </c>
      <c r="F1507" t="s">
        <v>2201</v>
      </c>
      <c r="G1507">
        <v>5</v>
      </c>
      <c r="H1507">
        <v>1081.2532000000001</v>
      </c>
      <c r="I1507">
        <v>0</v>
      </c>
      <c r="J1507">
        <v>1163.79</v>
      </c>
      <c r="K1507">
        <v>0</v>
      </c>
      <c r="L1507">
        <v>1158.8800000000001</v>
      </c>
      <c r="M1507" t="s">
        <v>27</v>
      </c>
      <c r="N1507">
        <v>1</v>
      </c>
      <c r="O1507">
        <v>1254</v>
      </c>
      <c r="P1507">
        <v>1081</v>
      </c>
      <c r="Q1507">
        <v>0</v>
      </c>
      <c r="R1507">
        <v>1081</v>
      </c>
    </row>
    <row r="1508" spans="1:18" x14ac:dyDescent="0.3">
      <c r="A1508" s="5">
        <v>45967</v>
      </c>
      <c r="B1508" t="s">
        <v>2202</v>
      </c>
      <c r="C1508">
        <v>4</v>
      </c>
      <c r="D1508">
        <v>27</v>
      </c>
      <c r="E1508" s="1">
        <v>1.25</v>
      </c>
      <c r="F1508" t="s">
        <v>2203</v>
      </c>
      <c r="G1508">
        <v>3</v>
      </c>
      <c r="H1508">
        <v>1081.3376000000001</v>
      </c>
      <c r="I1508">
        <v>10</v>
      </c>
      <c r="J1508">
        <v>1163.79</v>
      </c>
      <c r="K1508">
        <v>7.8322667998831603</v>
      </c>
      <c r="L1508">
        <v>609.91</v>
      </c>
      <c r="M1508" t="s">
        <v>20</v>
      </c>
      <c r="N1508">
        <v>1</v>
      </c>
      <c r="O1508">
        <v>1362</v>
      </c>
      <c r="P1508">
        <v>1189</v>
      </c>
      <c r="Q1508">
        <v>0.5</v>
      </c>
      <c r="R1508">
        <v>594.5</v>
      </c>
    </row>
    <row r="1509" spans="1:18" x14ac:dyDescent="0.3">
      <c r="A1509" s="5">
        <v>45967</v>
      </c>
      <c r="B1509" t="s">
        <v>2204</v>
      </c>
      <c r="C1509">
        <v>19</v>
      </c>
      <c r="D1509">
        <v>27</v>
      </c>
      <c r="E1509" s="1">
        <v>1.25</v>
      </c>
      <c r="F1509" t="s">
        <v>2205</v>
      </c>
      <c r="G1509">
        <v>3</v>
      </c>
      <c r="H1509">
        <v>1081.0676000000001</v>
      </c>
      <c r="I1509">
        <v>10</v>
      </c>
      <c r="J1509">
        <v>1163.79</v>
      </c>
      <c r="K1509">
        <v>7.8322667998831603</v>
      </c>
      <c r="L1509">
        <v>609.91</v>
      </c>
      <c r="M1509" t="s">
        <v>20</v>
      </c>
      <c r="N1509">
        <v>1</v>
      </c>
      <c r="O1509">
        <v>1362</v>
      </c>
      <c r="P1509">
        <v>1189</v>
      </c>
      <c r="Q1509">
        <v>0.5</v>
      </c>
      <c r="R1509">
        <v>594.5</v>
      </c>
    </row>
    <row r="1510" spans="1:18" x14ac:dyDescent="0.3">
      <c r="A1510" s="5">
        <v>45967</v>
      </c>
      <c r="B1510" t="s">
        <v>2206</v>
      </c>
      <c r="C1510">
        <v>22</v>
      </c>
      <c r="D1510">
        <v>27</v>
      </c>
      <c r="E1510" s="1">
        <v>1.25</v>
      </c>
      <c r="F1510" t="s">
        <v>2207</v>
      </c>
      <c r="G1510">
        <v>1</v>
      </c>
      <c r="H1510">
        <v>1081.0137</v>
      </c>
      <c r="I1510">
        <v>8.5</v>
      </c>
      <c r="J1510">
        <v>1163.79</v>
      </c>
      <c r="K1510">
        <v>6.6574267799006801</v>
      </c>
      <c r="L1510">
        <v>1219.83</v>
      </c>
      <c r="M1510" t="s">
        <v>27</v>
      </c>
      <c r="N1510">
        <v>1</v>
      </c>
      <c r="O1510">
        <v>1346</v>
      </c>
      <c r="P1510">
        <v>1173</v>
      </c>
      <c r="Q1510">
        <v>0</v>
      </c>
      <c r="R1510">
        <v>1173</v>
      </c>
    </row>
    <row r="1511" spans="1:18" x14ac:dyDescent="0.3">
      <c r="A1511" s="5">
        <v>45967</v>
      </c>
      <c r="B1511" t="s">
        <v>2208</v>
      </c>
      <c r="C1511">
        <v>20</v>
      </c>
      <c r="D1511">
        <v>27</v>
      </c>
      <c r="E1511" s="1">
        <v>1.25</v>
      </c>
      <c r="F1511" t="s">
        <v>2209</v>
      </c>
      <c r="G1511">
        <v>4</v>
      </c>
      <c r="H1511">
        <v>1081.1774</v>
      </c>
      <c r="I1511">
        <v>7</v>
      </c>
      <c r="J1511">
        <v>1163.79</v>
      </c>
      <c r="K1511">
        <v>5.4825867599182097</v>
      </c>
      <c r="L1511">
        <v>1219.83</v>
      </c>
      <c r="M1511" t="s">
        <v>27</v>
      </c>
      <c r="N1511">
        <v>1</v>
      </c>
      <c r="O1511">
        <v>1330</v>
      </c>
      <c r="P1511">
        <v>1157</v>
      </c>
      <c r="Q1511">
        <v>0</v>
      </c>
      <c r="R1511">
        <v>1157</v>
      </c>
    </row>
    <row r="1512" spans="1:18" x14ac:dyDescent="0.3">
      <c r="A1512" s="5">
        <v>45967</v>
      </c>
      <c r="B1512" t="s">
        <v>2210</v>
      </c>
      <c r="C1512">
        <v>6</v>
      </c>
      <c r="D1512">
        <v>36</v>
      </c>
      <c r="E1512" s="1">
        <v>1.9652777777777777</v>
      </c>
      <c r="F1512" t="s">
        <v>2211</v>
      </c>
      <c r="G1512">
        <v>3</v>
      </c>
      <c r="H1512">
        <v>1081.3407</v>
      </c>
      <c r="I1512">
        <v>10</v>
      </c>
      <c r="J1512">
        <v>1163.79</v>
      </c>
      <c r="K1512">
        <v>7.8322667998831603</v>
      </c>
      <c r="L1512">
        <v>609.91</v>
      </c>
      <c r="M1512" t="s">
        <v>20</v>
      </c>
      <c r="N1512">
        <v>1</v>
      </c>
      <c r="O1512">
        <v>1362</v>
      </c>
      <c r="P1512">
        <v>1189</v>
      </c>
      <c r="Q1512">
        <v>0.5</v>
      </c>
      <c r="R1512">
        <v>594.5</v>
      </c>
    </row>
    <row r="1513" spans="1:18" x14ac:dyDescent="0.3">
      <c r="A1513" s="5">
        <v>45967</v>
      </c>
      <c r="B1513" t="s">
        <v>2212</v>
      </c>
      <c r="C1513">
        <v>27</v>
      </c>
      <c r="D1513">
        <v>36</v>
      </c>
      <c r="E1513" s="1">
        <v>1.9993055555555554</v>
      </c>
      <c r="F1513" t="s">
        <v>2213</v>
      </c>
      <c r="G1513">
        <v>0</v>
      </c>
      <c r="H1513">
        <v>1080.7572</v>
      </c>
      <c r="I1513">
        <v>2.5</v>
      </c>
      <c r="J1513">
        <v>1163.79</v>
      </c>
      <c r="K1513">
        <v>1.9580666999707901</v>
      </c>
      <c r="L1513">
        <v>1158.8800000000001</v>
      </c>
      <c r="M1513" t="s">
        <v>27</v>
      </c>
      <c r="N1513">
        <v>1</v>
      </c>
      <c r="O1513">
        <v>1281</v>
      </c>
      <c r="P1513">
        <v>1108</v>
      </c>
      <c r="Q1513">
        <v>0</v>
      </c>
      <c r="R1513">
        <v>1108</v>
      </c>
    </row>
    <row r="1514" spans="1:18" x14ac:dyDescent="0.3">
      <c r="A1514" s="5">
        <v>45967</v>
      </c>
      <c r="B1514" t="s">
        <v>2212</v>
      </c>
      <c r="C1514">
        <v>27</v>
      </c>
      <c r="D1514">
        <v>36</v>
      </c>
      <c r="E1514" s="1">
        <v>1.9993055555555554</v>
      </c>
      <c r="F1514" t="s">
        <v>2213</v>
      </c>
      <c r="G1514">
        <v>0</v>
      </c>
      <c r="H1514">
        <v>1080.7572</v>
      </c>
      <c r="I1514">
        <v>2.5</v>
      </c>
      <c r="J1514">
        <v>1163.79</v>
      </c>
      <c r="K1514">
        <v>1.9580666999707901</v>
      </c>
      <c r="L1514">
        <v>1158.8800000000001</v>
      </c>
      <c r="M1514" t="s">
        <v>27</v>
      </c>
      <c r="N1514">
        <v>1</v>
      </c>
      <c r="O1514">
        <v>1281</v>
      </c>
      <c r="P1514">
        <v>1108</v>
      </c>
      <c r="Q1514">
        <v>0</v>
      </c>
      <c r="R1514">
        <v>1108</v>
      </c>
    </row>
    <row r="1515" spans="1:18" x14ac:dyDescent="0.3">
      <c r="A1515" s="5">
        <v>45967</v>
      </c>
      <c r="B1515" t="s">
        <v>2214</v>
      </c>
      <c r="C1515">
        <v>24</v>
      </c>
      <c r="D1515">
        <v>36</v>
      </c>
      <c r="E1515" s="1">
        <v>1.9993055555555554</v>
      </c>
      <c r="F1515" t="s">
        <v>2213</v>
      </c>
      <c r="G1515">
        <v>0</v>
      </c>
      <c r="H1515">
        <v>1080.8113000000001</v>
      </c>
      <c r="I1515">
        <v>2.5</v>
      </c>
      <c r="J1515">
        <v>1163.79</v>
      </c>
      <c r="K1515">
        <v>1.9580666999707901</v>
      </c>
      <c r="L1515">
        <v>1158.8800000000001</v>
      </c>
      <c r="M1515" t="s">
        <v>27</v>
      </c>
      <c r="N1515">
        <v>1</v>
      </c>
      <c r="O1515">
        <v>1281</v>
      </c>
      <c r="P1515">
        <v>1108</v>
      </c>
      <c r="Q1515">
        <v>0</v>
      </c>
      <c r="R1515">
        <v>1108</v>
      </c>
    </row>
    <row r="1516" spans="1:18" x14ac:dyDescent="0.3">
      <c r="A1516" s="5">
        <v>45967</v>
      </c>
      <c r="B1516" t="s">
        <v>2214</v>
      </c>
      <c r="C1516">
        <v>24</v>
      </c>
      <c r="D1516">
        <v>36</v>
      </c>
      <c r="E1516" s="1">
        <v>1.9993055555555554</v>
      </c>
      <c r="F1516" t="s">
        <v>2213</v>
      </c>
      <c r="G1516">
        <v>0</v>
      </c>
      <c r="H1516">
        <v>1080.8113000000001</v>
      </c>
      <c r="I1516">
        <v>2.5</v>
      </c>
      <c r="J1516">
        <v>1163.79</v>
      </c>
      <c r="K1516">
        <v>1.9580666999707901</v>
      </c>
      <c r="L1516">
        <v>1158.8800000000001</v>
      </c>
      <c r="M1516" t="s">
        <v>27</v>
      </c>
      <c r="N1516">
        <v>1</v>
      </c>
      <c r="O1516">
        <v>1281</v>
      </c>
      <c r="P1516">
        <v>1108</v>
      </c>
      <c r="Q1516">
        <v>0</v>
      </c>
      <c r="R1516">
        <v>1108</v>
      </c>
    </row>
    <row r="1517" spans="1:18" x14ac:dyDescent="0.3">
      <c r="A1517" s="5">
        <v>45967</v>
      </c>
      <c r="B1517" t="s">
        <v>2215</v>
      </c>
      <c r="C1517">
        <v>24</v>
      </c>
      <c r="D1517">
        <v>36</v>
      </c>
      <c r="E1517" s="1">
        <v>1.4583333333333333</v>
      </c>
      <c r="F1517" t="s">
        <v>2216</v>
      </c>
      <c r="G1517">
        <v>5</v>
      </c>
      <c r="H1517">
        <v>1080.9807000000001</v>
      </c>
      <c r="I1517">
        <v>0</v>
      </c>
      <c r="J1517">
        <v>1163.79</v>
      </c>
      <c r="K1517">
        <v>0</v>
      </c>
      <c r="L1517">
        <v>1158.8800000000001</v>
      </c>
      <c r="M1517" t="s">
        <v>27</v>
      </c>
      <c r="N1517">
        <v>1</v>
      </c>
      <c r="O1517">
        <v>1254</v>
      </c>
      <c r="P1517">
        <v>1081</v>
      </c>
      <c r="Q1517">
        <v>0</v>
      </c>
      <c r="R1517">
        <v>1081</v>
      </c>
    </row>
    <row r="1518" spans="1:18" x14ac:dyDescent="0.3">
      <c r="A1518" s="5">
        <v>45967</v>
      </c>
      <c r="B1518" t="s">
        <v>2215</v>
      </c>
      <c r="C1518">
        <v>24</v>
      </c>
      <c r="D1518">
        <v>36</v>
      </c>
      <c r="E1518" s="1">
        <v>1.4583333333333333</v>
      </c>
      <c r="F1518" t="s">
        <v>2216</v>
      </c>
      <c r="G1518">
        <v>5</v>
      </c>
      <c r="H1518">
        <v>1080.9807000000001</v>
      </c>
      <c r="I1518">
        <v>0</v>
      </c>
      <c r="J1518">
        <v>1163.79</v>
      </c>
      <c r="K1518">
        <v>0</v>
      </c>
      <c r="L1518">
        <v>1158.8800000000001</v>
      </c>
      <c r="M1518" t="s">
        <v>27</v>
      </c>
      <c r="N1518">
        <v>1</v>
      </c>
      <c r="O1518">
        <v>1254</v>
      </c>
      <c r="P1518">
        <v>1081</v>
      </c>
      <c r="Q1518">
        <v>0</v>
      </c>
      <c r="R1518">
        <v>1081</v>
      </c>
    </row>
    <row r="1519" spans="1:18" x14ac:dyDescent="0.3">
      <c r="A1519" s="5">
        <v>45967</v>
      </c>
      <c r="B1519" t="s">
        <v>2217</v>
      </c>
      <c r="C1519">
        <v>17</v>
      </c>
      <c r="D1519">
        <v>36</v>
      </c>
      <c r="E1519" s="1">
        <v>1.4583333333333333</v>
      </c>
      <c r="F1519" t="s">
        <v>2216</v>
      </c>
      <c r="G1519">
        <v>5</v>
      </c>
      <c r="H1519">
        <v>1081.239</v>
      </c>
      <c r="I1519">
        <v>0</v>
      </c>
      <c r="J1519">
        <v>1163.79</v>
      </c>
      <c r="K1519">
        <v>0</v>
      </c>
      <c r="L1519">
        <v>1158.8800000000001</v>
      </c>
      <c r="M1519" t="s">
        <v>27</v>
      </c>
      <c r="N1519">
        <v>1</v>
      </c>
      <c r="O1519">
        <v>1254</v>
      </c>
      <c r="P1519">
        <v>1081</v>
      </c>
      <c r="Q1519">
        <v>0</v>
      </c>
      <c r="R1519">
        <v>1081</v>
      </c>
    </row>
    <row r="1520" spans="1:18" x14ac:dyDescent="0.3">
      <c r="A1520" s="5">
        <v>45967</v>
      </c>
      <c r="B1520" t="s">
        <v>2217</v>
      </c>
      <c r="C1520">
        <v>17</v>
      </c>
      <c r="D1520">
        <v>36</v>
      </c>
      <c r="E1520" s="1">
        <v>1.4583333333333333</v>
      </c>
      <c r="F1520" t="s">
        <v>2216</v>
      </c>
      <c r="G1520">
        <v>5</v>
      </c>
      <c r="H1520">
        <v>1081.239</v>
      </c>
      <c r="I1520">
        <v>0</v>
      </c>
      <c r="J1520">
        <v>1163.79</v>
      </c>
      <c r="K1520">
        <v>0</v>
      </c>
      <c r="L1520">
        <v>1158.8800000000001</v>
      </c>
      <c r="M1520" t="s">
        <v>27</v>
      </c>
      <c r="N1520">
        <v>1</v>
      </c>
      <c r="O1520">
        <v>1254</v>
      </c>
      <c r="P1520">
        <v>1081</v>
      </c>
      <c r="Q1520">
        <v>0</v>
      </c>
      <c r="R1520">
        <v>1081</v>
      </c>
    </row>
    <row r="1521" spans="1:18" x14ac:dyDescent="0.3">
      <c r="A1521" s="5">
        <v>45967</v>
      </c>
      <c r="B1521" t="s">
        <v>2218</v>
      </c>
      <c r="C1521">
        <v>10</v>
      </c>
      <c r="D1521">
        <v>36</v>
      </c>
      <c r="E1521" s="1">
        <v>1.4583333333333333</v>
      </c>
      <c r="F1521" t="s">
        <v>2219</v>
      </c>
      <c r="G1521">
        <v>5</v>
      </c>
      <c r="H1521">
        <v>1081.365</v>
      </c>
      <c r="I1521">
        <v>0</v>
      </c>
      <c r="J1521">
        <v>1163.79</v>
      </c>
      <c r="K1521">
        <v>0</v>
      </c>
      <c r="L1521">
        <v>1158.8800000000001</v>
      </c>
      <c r="M1521" t="s">
        <v>27</v>
      </c>
      <c r="N1521">
        <v>1</v>
      </c>
      <c r="O1521">
        <v>1254</v>
      </c>
      <c r="P1521">
        <v>1081</v>
      </c>
      <c r="Q1521">
        <v>0</v>
      </c>
      <c r="R1521">
        <v>1081</v>
      </c>
    </row>
    <row r="1522" spans="1:18" x14ac:dyDescent="0.3">
      <c r="A1522" s="5">
        <v>45967</v>
      </c>
      <c r="B1522" t="s">
        <v>2200</v>
      </c>
      <c r="C1522">
        <v>10</v>
      </c>
      <c r="D1522">
        <v>36</v>
      </c>
      <c r="E1522" s="1">
        <v>1.9993055555555554</v>
      </c>
      <c r="F1522" t="s">
        <v>2201</v>
      </c>
      <c r="G1522">
        <v>5</v>
      </c>
      <c r="H1522">
        <v>1081.1373000000001</v>
      </c>
      <c r="I1522">
        <v>0</v>
      </c>
      <c r="J1522">
        <v>1163.79</v>
      </c>
      <c r="K1522">
        <v>0</v>
      </c>
      <c r="L1522">
        <v>1158.8800000000001</v>
      </c>
      <c r="M1522" t="s">
        <v>27</v>
      </c>
      <c r="N1522">
        <v>1</v>
      </c>
      <c r="O1522">
        <v>1254</v>
      </c>
      <c r="P1522">
        <v>1081</v>
      </c>
      <c r="Q1522">
        <v>0</v>
      </c>
      <c r="R1522">
        <v>1081</v>
      </c>
    </row>
    <row r="1523" spans="1:18" x14ac:dyDescent="0.3">
      <c r="A1523" s="5">
        <v>45967</v>
      </c>
      <c r="B1523" t="s">
        <v>2220</v>
      </c>
      <c r="C1523">
        <v>3</v>
      </c>
      <c r="D1523">
        <v>36</v>
      </c>
      <c r="E1523" s="1">
        <v>1.4583333333333333</v>
      </c>
      <c r="F1523" t="s">
        <v>2221</v>
      </c>
      <c r="G1523">
        <v>0</v>
      </c>
      <c r="H1523">
        <v>1081.627</v>
      </c>
      <c r="I1523">
        <v>2.5</v>
      </c>
      <c r="J1523">
        <v>1163.79</v>
      </c>
      <c r="K1523">
        <v>1.9580666999707901</v>
      </c>
      <c r="L1523">
        <v>1158.8800000000001</v>
      </c>
      <c r="M1523" t="s">
        <v>27</v>
      </c>
      <c r="N1523">
        <v>1</v>
      </c>
      <c r="O1523">
        <v>1282</v>
      </c>
      <c r="P1523">
        <v>1109</v>
      </c>
      <c r="Q1523">
        <v>0</v>
      </c>
      <c r="R1523">
        <v>1109</v>
      </c>
    </row>
    <row r="1524" spans="1:18" x14ac:dyDescent="0.3">
      <c r="A1524" s="5">
        <v>45967</v>
      </c>
      <c r="B1524" t="s">
        <v>2220</v>
      </c>
      <c r="C1524">
        <v>3</v>
      </c>
      <c r="D1524">
        <v>36</v>
      </c>
      <c r="E1524" s="1">
        <v>1.4583333333333333</v>
      </c>
      <c r="F1524" t="s">
        <v>2222</v>
      </c>
      <c r="G1524">
        <v>0</v>
      </c>
      <c r="H1524">
        <v>1081.627</v>
      </c>
      <c r="I1524">
        <v>2.5</v>
      </c>
      <c r="J1524">
        <v>1163.79</v>
      </c>
      <c r="K1524">
        <v>1.9580666999707901</v>
      </c>
      <c r="L1524">
        <v>1158.8800000000001</v>
      </c>
      <c r="M1524" t="s">
        <v>27</v>
      </c>
      <c r="N1524">
        <v>1</v>
      </c>
      <c r="O1524">
        <v>1282</v>
      </c>
      <c r="P1524">
        <v>1109</v>
      </c>
      <c r="Q1524">
        <v>0</v>
      </c>
      <c r="R1524">
        <v>1109</v>
      </c>
    </row>
    <row r="1525" spans="1:18" x14ac:dyDescent="0.3">
      <c r="A1525" s="5">
        <v>45967</v>
      </c>
      <c r="B1525" t="s">
        <v>2223</v>
      </c>
      <c r="C1525">
        <v>2</v>
      </c>
      <c r="D1525">
        <v>36</v>
      </c>
      <c r="E1525" s="1">
        <v>1.4583333333333333</v>
      </c>
      <c r="F1525" t="s">
        <v>2221</v>
      </c>
      <c r="G1525">
        <v>0</v>
      </c>
      <c r="H1525">
        <v>1081.6449</v>
      </c>
      <c r="I1525">
        <v>2.5</v>
      </c>
      <c r="J1525">
        <v>1163.79</v>
      </c>
      <c r="K1525">
        <v>1.9580666999707901</v>
      </c>
      <c r="L1525">
        <v>1158.8800000000001</v>
      </c>
      <c r="M1525" t="s">
        <v>27</v>
      </c>
      <c r="N1525">
        <v>1</v>
      </c>
      <c r="O1525">
        <v>1282</v>
      </c>
      <c r="P1525">
        <v>1109</v>
      </c>
      <c r="Q1525">
        <v>0</v>
      </c>
      <c r="R1525">
        <v>1109</v>
      </c>
    </row>
    <row r="1526" spans="1:18" x14ac:dyDescent="0.3">
      <c r="A1526" s="5">
        <v>45967</v>
      </c>
      <c r="B1526" t="s">
        <v>2223</v>
      </c>
      <c r="C1526">
        <v>2</v>
      </c>
      <c r="D1526">
        <v>36</v>
      </c>
      <c r="E1526" s="1">
        <v>1.4583333333333333</v>
      </c>
      <c r="F1526" t="s">
        <v>2222</v>
      </c>
      <c r="G1526">
        <v>0</v>
      </c>
      <c r="H1526">
        <v>1081.6449</v>
      </c>
      <c r="I1526">
        <v>2.5</v>
      </c>
      <c r="J1526">
        <v>1163.79</v>
      </c>
      <c r="K1526">
        <v>1.9580666999707901</v>
      </c>
      <c r="L1526">
        <v>1158.8800000000001</v>
      </c>
      <c r="M1526" t="s">
        <v>27</v>
      </c>
      <c r="N1526">
        <v>1</v>
      </c>
      <c r="O1526">
        <v>1282</v>
      </c>
      <c r="P1526">
        <v>1109</v>
      </c>
      <c r="Q1526">
        <v>0</v>
      </c>
      <c r="R1526">
        <v>1109</v>
      </c>
    </row>
    <row r="1527" spans="1:18" x14ac:dyDescent="0.3">
      <c r="A1527" s="5">
        <v>45967</v>
      </c>
      <c r="B1527" t="s">
        <v>2224</v>
      </c>
      <c r="C1527">
        <v>19</v>
      </c>
      <c r="D1527">
        <v>36</v>
      </c>
      <c r="E1527" s="1">
        <v>1.9652777777777777</v>
      </c>
      <c r="F1527" t="s">
        <v>2225</v>
      </c>
      <c r="G1527">
        <v>3</v>
      </c>
      <c r="H1527">
        <v>1081.01</v>
      </c>
      <c r="I1527">
        <v>10</v>
      </c>
      <c r="J1527">
        <v>1163.79</v>
      </c>
      <c r="K1527">
        <v>7.8322667998831603</v>
      </c>
      <c r="L1527">
        <v>609.91</v>
      </c>
      <c r="M1527" t="s">
        <v>20</v>
      </c>
      <c r="N1527">
        <v>1</v>
      </c>
      <c r="O1527">
        <v>1362</v>
      </c>
      <c r="P1527">
        <v>1189</v>
      </c>
      <c r="Q1527">
        <v>0.5</v>
      </c>
      <c r="R1527">
        <v>594.5</v>
      </c>
    </row>
    <row r="1528" spans="1:18" x14ac:dyDescent="0.3">
      <c r="A1528" s="5">
        <v>45967</v>
      </c>
      <c r="B1528" t="s">
        <v>2226</v>
      </c>
      <c r="C1528">
        <v>20</v>
      </c>
      <c r="D1528">
        <v>36</v>
      </c>
      <c r="E1528" s="1">
        <v>1.9652777777777777</v>
      </c>
      <c r="F1528" t="s">
        <v>2227</v>
      </c>
      <c r="G1528">
        <v>3</v>
      </c>
      <c r="H1528">
        <v>1080.992</v>
      </c>
      <c r="I1528">
        <v>10</v>
      </c>
      <c r="J1528">
        <v>1163.79</v>
      </c>
      <c r="K1528">
        <v>7.8322667998831603</v>
      </c>
      <c r="L1528">
        <v>609.91</v>
      </c>
      <c r="M1528" t="s">
        <v>20</v>
      </c>
      <c r="N1528">
        <v>1</v>
      </c>
      <c r="O1528">
        <v>1362</v>
      </c>
      <c r="P1528">
        <v>1189</v>
      </c>
      <c r="Q1528">
        <v>0.5</v>
      </c>
      <c r="R1528">
        <v>594.5</v>
      </c>
    </row>
    <row r="1529" spans="1:18" x14ac:dyDescent="0.3">
      <c r="A1529" s="5">
        <v>45967</v>
      </c>
      <c r="B1529" t="s">
        <v>2228</v>
      </c>
      <c r="C1529">
        <v>4</v>
      </c>
      <c r="D1529">
        <v>36</v>
      </c>
      <c r="E1529" s="1">
        <v>1.4583333333333333</v>
      </c>
      <c r="F1529" t="s">
        <v>2229</v>
      </c>
      <c r="G1529">
        <v>1</v>
      </c>
      <c r="H1529">
        <v>1081.3391999999999</v>
      </c>
      <c r="I1529">
        <v>8.5</v>
      </c>
      <c r="J1529">
        <v>1163.79</v>
      </c>
      <c r="K1529">
        <v>6.6574267799006801</v>
      </c>
      <c r="L1529">
        <v>1219.83</v>
      </c>
      <c r="M1529" t="s">
        <v>27</v>
      </c>
      <c r="N1529">
        <v>1</v>
      </c>
      <c r="O1529">
        <v>1346</v>
      </c>
      <c r="P1529">
        <v>1173</v>
      </c>
      <c r="Q1529">
        <v>0</v>
      </c>
      <c r="R1529">
        <v>1173</v>
      </c>
    </row>
    <row r="1530" spans="1:18" x14ac:dyDescent="0.3">
      <c r="A1530" s="5">
        <v>45967</v>
      </c>
      <c r="B1530" t="s">
        <v>2230</v>
      </c>
      <c r="C1530">
        <v>7</v>
      </c>
      <c r="D1530">
        <v>36</v>
      </c>
      <c r="E1530" s="1">
        <v>1.4583333333333333</v>
      </c>
      <c r="F1530" t="s">
        <v>2231</v>
      </c>
      <c r="G1530">
        <v>1</v>
      </c>
      <c r="H1530">
        <v>1081.4056</v>
      </c>
      <c r="I1530">
        <v>8.5</v>
      </c>
      <c r="J1530">
        <v>1163.79</v>
      </c>
      <c r="K1530">
        <v>6.6574267799006801</v>
      </c>
      <c r="L1530">
        <v>1219.83</v>
      </c>
      <c r="M1530" t="s">
        <v>27</v>
      </c>
      <c r="N1530">
        <v>1</v>
      </c>
      <c r="O1530">
        <v>1346</v>
      </c>
      <c r="P1530">
        <v>1173</v>
      </c>
      <c r="Q1530">
        <v>0</v>
      </c>
      <c r="R1530">
        <v>1173</v>
      </c>
    </row>
    <row r="1531" spans="1:18" x14ac:dyDescent="0.3">
      <c r="A1531" s="5">
        <v>45967</v>
      </c>
      <c r="B1531" t="s">
        <v>2232</v>
      </c>
      <c r="C1531">
        <v>3</v>
      </c>
      <c r="D1531">
        <v>36</v>
      </c>
      <c r="E1531" s="1">
        <v>1.0833333333333333</v>
      </c>
      <c r="F1531" t="s">
        <v>1862</v>
      </c>
      <c r="G1531">
        <v>0</v>
      </c>
      <c r="H1531">
        <v>1081.4848999999999</v>
      </c>
      <c r="I1531">
        <v>2.5</v>
      </c>
      <c r="J1531">
        <v>1163.79</v>
      </c>
      <c r="K1531">
        <v>1.9580666999707901</v>
      </c>
      <c r="L1531">
        <v>1158.8800000000001</v>
      </c>
      <c r="M1531" t="s">
        <v>27</v>
      </c>
      <c r="N1531">
        <v>1</v>
      </c>
      <c r="O1531">
        <v>1282</v>
      </c>
      <c r="P1531">
        <v>1109</v>
      </c>
      <c r="Q1531">
        <v>0</v>
      </c>
      <c r="R1531">
        <v>1109</v>
      </c>
    </row>
    <row r="1532" spans="1:18" x14ac:dyDescent="0.3">
      <c r="A1532" s="5">
        <v>45967</v>
      </c>
      <c r="B1532" t="s">
        <v>2233</v>
      </c>
      <c r="C1532">
        <v>6</v>
      </c>
      <c r="D1532">
        <v>36</v>
      </c>
      <c r="E1532" s="1">
        <v>1.0833333333333333</v>
      </c>
      <c r="F1532" t="s">
        <v>1862</v>
      </c>
      <c r="G1532">
        <v>0</v>
      </c>
      <c r="H1532">
        <v>1081.4309000000001</v>
      </c>
      <c r="I1532">
        <v>2.5</v>
      </c>
      <c r="J1532">
        <v>1163.79</v>
      </c>
      <c r="K1532">
        <v>1.9580666999707901</v>
      </c>
      <c r="L1532">
        <v>1158.8800000000001</v>
      </c>
      <c r="M1532" t="s">
        <v>27</v>
      </c>
      <c r="N1532">
        <v>1</v>
      </c>
      <c r="O1532">
        <v>1281</v>
      </c>
      <c r="P1532">
        <v>1108</v>
      </c>
      <c r="Q1532">
        <v>0</v>
      </c>
      <c r="R1532">
        <v>1108</v>
      </c>
    </row>
    <row r="1533" spans="1:18" x14ac:dyDescent="0.3">
      <c r="A1533" s="5">
        <v>45967</v>
      </c>
      <c r="B1533" t="s">
        <v>2234</v>
      </c>
      <c r="C1533">
        <v>5</v>
      </c>
      <c r="D1533">
        <v>36</v>
      </c>
      <c r="E1533" s="1">
        <v>1.0833333333333333</v>
      </c>
      <c r="F1533" t="s">
        <v>1862</v>
      </c>
      <c r="G1533">
        <v>0</v>
      </c>
      <c r="H1533">
        <v>1081.4490000000001</v>
      </c>
      <c r="I1533">
        <v>2.5</v>
      </c>
      <c r="J1533">
        <v>1163.79</v>
      </c>
      <c r="K1533">
        <v>1.9580666999707901</v>
      </c>
      <c r="L1533">
        <v>1158.8800000000001</v>
      </c>
      <c r="M1533" t="s">
        <v>27</v>
      </c>
      <c r="N1533">
        <v>1</v>
      </c>
      <c r="O1533">
        <v>1282</v>
      </c>
      <c r="P1533">
        <v>1108</v>
      </c>
      <c r="Q1533">
        <v>0</v>
      </c>
      <c r="R1533">
        <v>1108</v>
      </c>
    </row>
    <row r="1534" spans="1:18" x14ac:dyDescent="0.3">
      <c r="A1534" s="5">
        <v>45967</v>
      </c>
      <c r="B1534" t="s">
        <v>2235</v>
      </c>
      <c r="C1534">
        <v>18</v>
      </c>
      <c r="D1534">
        <v>36</v>
      </c>
      <c r="E1534" s="1">
        <v>1.4583333333333333</v>
      </c>
      <c r="F1534" t="s">
        <v>2236</v>
      </c>
      <c r="G1534">
        <v>5</v>
      </c>
      <c r="H1534">
        <v>1081.2070000000001</v>
      </c>
      <c r="I1534">
        <v>0</v>
      </c>
      <c r="J1534">
        <v>1163.79</v>
      </c>
      <c r="K1534">
        <v>0</v>
      </c>
      <c r="L1534">
        <v>975.86</v>
      </c>
      <c r="M1534" t="s">
        <v>44</v>
      </c>
      <c r="N1534">
        <v>1</v>
      </c>
      <c r="O1534">
        <v>1254</v>
      </c>
      <c r="P1534">
        <v>1081</v>
      </c>
      <c r="Q1534">
        <v>0</v>
      </c>
      <c r="R1534">
        <v>1081</v>
      </c>
    </row>
    <row r="1535" spans="1:18" x14ac:dyDescent="0.3">
      <c r="A1535" s="5">
        <v>45967</v>
      </c>
      <c r="B1535" t="s">
        <v>2237</v>
      </c>
      <c r="C1535">
        <v>13</v>
      </c>
      <c r="D1535">
        <v>36</v>
      </c>
      <c r="E1535" s="1">
        <v>1.4583333333333333</v>
      </c>
      <c r="F1535" t="s">
        <v>2238</v>
      </c>
      <c r="G1535">
        <v>1</v>
      </c>
      <c r="H1535">
        <v>1081.2971</v>
      </c>
      <c r="I1535">
        <v>8.5</v>
      </c>
      <c r="J1535">
        <v>1163.79</v>
      </c>
      <c r="K1535">
        <v>6.6574267799006801</v>
      </c>
      <c r="L1535">
        <v>1082.33</v>
      </c>
      <c r="M1535" t="s">
        <v>27</v>
      </c>
      <c r="N1535">
        <v>1</v>
      </c>
      <c r="O1535">
        <v>1346</v>
      </c>
      <c r="P1535">
        <v>1173</v>
      </c>
      <c r="Q1535">
        <v>0</v>
      </c>
      <c r="R1535">
        <v>1173</v>
      </c>
    </row>
    <row r="1536" spans="1:18" x14ac:dyDescent="0.3">
      <c r="A1536" s="5">
        <v>45967</v>
      </c>
      <c r="B1536" t="s">
        <v>2239</v>
      </c>
      <c r="C1536">
        <v>13</v>
      </c>
      <c r="D1536">
        <v>36</v>
      </c>
      <c r="E1536" s="1">
        <v>1.25</v>
      </c>
      <c r="F1536" t="s">
        <v>2240</v>
      </c>
      <c r="G1536">
        <v>0</v>
      </c>
      <c r="H1536">
        <v>1081.3684000000001</v>
      </c>
      <c r="I1536">
        <v>2.5</v>
      </c>
      <c r="J1536">
        <v>1163.79</v>
      </c>
      <c r="K1536">
        <v>1.9580666999707901</v>
      </c>
      <c r="L1536">
        <v>1158.8800000000001</v>
      </c>
      <c r="M1536" t="s">
        <v>27</v>
      </c>
      <c r="N1536">
        <v>1</v>
      </c>
      <c r="O1536">
        <v>1281</v>
      </c>
      <c r="P1536">
        <v>1108</v>
      </c>
      <c r="Q1536">
        <v>0</v>
      </c>
      <c r="R1536">
        <v>1108</v>
      </c>
    </row>
    <row r="1537" spans="1:18" x14ac:dyDescent="0.3">
      <c r="A1537" s="5">
        <v>45967</v>
      </c>
      <c r="B1537" t="s">
        <v>2239</v>
      </c>
      <c r="C1537">
        <v>13</v>
      </c>
      <c r="D1537">
        <v>36</v>
      </c>
      <c r="E1537" s="1">
        <v>1.25</v>
      </c>
      <c r="F1537" t="s">
        <v>2240</v>
      </c>
      <c r="G1537">
        <v>0</v>
      </c>
      <c r="H1537">
        <v>1081.3684000000001</v>
      </c>
      <c r="I1537">
        <v>2.5</v>
      </c>
      <c r="J1537">
        <v>1163.79</v>
      </c>
      <c r="K1537">
        <v>1.9580666999707901</v>
      </c>
      <c r="L1537">
        <v>1158.8800000000001</v>
      </c>
      <c r="M1537" t="s">
        <v>27</v>
      </c>
      <c r="N1537">
        <v>1</v>
      </c>
      <c r="O1537">
        <v>1281</v>
      </c>
      <c r="P1537">
        <v>1108</v>
      </c>
      <c r="Q1537">
        <v>0</v>
      </c>
      <c r="R1537">
        <v>1108</v>
      </c>
    </row>
    <row r="1538" spans="1:18" x14ac:dyDescent="0.3">
      <c r="A1538" s="5">
        <v>45967</v>
      </c>
      <c r="B1538" t="s">
        <v>2241</v>
      </c>
      <c r="C1538">
        <v>7</v>
      </c>
      <c r="D1538">
        <v>36</v>
      </c>
      <c r="E1538" s="1">
        <v>1.25</v>
      </c>
      <c r="F1538" t="s">
        <v>2240</v>
      </c>
      <c r="G1538">
        <v>0</v>
      </c>
      <c r="H1538">
        <v>1081.4763</v>
      </c>
      <c r="I1538">
        <v>2.5</v>
      </c>
      <c r="J1538">
        <v>1163.79</v>
      </c>
      <c r="K1538">
        <v>1.9580666999707901</v>
      </c>
      <c r="L1538">
        <v>1158.8800000000001</v>
      </c>
      <c r="M1538" t="s">
        <v>27</v>
      </c>
      <c r="N1538">
        <v>1</v>
      </c>
      <c r="O1538">
        <v>1282</v>
      </c>
      <c r="P1538">
        <v>1109</v>
      </c>
      <c r="Q1538">
        <v>0</v>
      </c>
      <c r="R1538">
        <v>1109</v>
      </c>
    </row>
    <row r="1539" spans="1:18" x14ac:dyDescent="0.3">
      <c r="A1539" s="5">
        <v>45967</v>
      </c>
      <c r="B1539" t="s">
        <v>2241</v>
      </c>
      <c r="C1539">
        <v>7</v>
      </c>
      <c r="D1539">
        <v>36</v>
      </c>
      <c r="E1539" s="1">
        <v>1.25</v>
      </c>
      <c r="F1539" t="s">
        <v>2240</v>
      </c>
      <c r="G1539">
        <v>0</v>
      </c>
      <c r="H1539">
        <v>1081.4763</v>
      </c>
      <c r="I1539">
        <v>2.5</v>
      </c>
      <c r="J1539">
        <v>1163.79</v>
      </c>
      <c r="K1539">
        <v>1.9580666999707901</v>
      </c>
      <c r="L1539">
        <v>1158.8800000000001</v>
      </c>
      <c r="M1539" t="s">
        <v>27</v>
      </c>
      <c r="N1539">
        <v>1</v>
      </c>
      <c r="O1539">
        <v>1282</v>
      </c>
      <c r="P1539">
        <v>1109</v>
      </c>
      <c r="Q1539">
        <v>0</v>
      </c>
      <c r="R1539">
        <v>1109</v>
      </c>
    </row>
    <row r="1540" spans="1:18" x14ac:dyDescent="0.3">
      <c r="A1540" s="5">
        <v>45967</v>
      </c>
      <c r="B1540" t="s">
        <v>2242</v>
      </c>
      <c r="C1540">
        <v>10</v>
      </c>
      <c r="D1540">
        <v>36</v>
      </c>
      <c r="E1540" s="1">
        <v>1.25</v>
      </c>
      <c r="F1540" t="s">
        <v>2240</v>
      </c>
      <c r="G1540">
        <v>0</v>
      </c>
      <c r="H1540">
        <v>1081.4224999999999</v>
      </c>
      <c r="I1540">
        <v>2.5</v>
      </c>
      <c r="J1540">
        <v>1163.79</v>
      </c>
      <c r="K1540">
        <v>1.9580666999707901</v>
      </c>
      <c r="L1540">
        <v>1158.8800000000001</v>
      </c>
      <c r="M1540" t="s">
        <v>27</v>
      </c>
      <c r="N1540">
        <v>1</v>
      </c>
      <c r="O1540">
        <v>1281</v>
      </c>
      <c r="P1540">
        <v>1108</v>
      </c>
      <c r="Q1540">
        <v>0</v>
      </c>
      <c r="R1540">
        <v>1108</v>
      </c>
    </row>
    <row r="1541" spans="1:18" x14ac:dyDescent="0.3">
      <c r="A1541" s="5">
        <v>45967</v>
      </c>
      <c r="B1541" t="s">
        <v>2242</v>
      </c>
      <c r="C1541">
        <v>10</v>
      </c>
      <c r="D1541">
        <v>36</v>
      </c>
      <c r="E1541" s="1">
        <v>1.25</v>
      </c>
      <c r="F1541" t="s">
        <v>2240</v>
      </c>
      <c r="G1541">
        <v>0</v>
      </c>
      <c r="H1541">
        <v>1081.4224999999999</v>
      </c>
      <c r="I1541">
        <v>2.5</v>
      </c>
      <c r="J1541">
        <v>1163.79</v>
      </c>
      <c r="K1541">
        <v>1.9580666999707901</v>
      </c>
      <c r="L1541">
        <v>1158.8800000000001</v>
      </c>
      <c r="M1541" t="s">
        <v>27</v>
      </c>
      <c r="N1541">
        <v>1</v>
      </c>
      <c r="O1541">
        <v>1281</v>
      </c>
      <c r="P1541">
        <v>1108</v>
      </c>
      <c r="Q1541">
        <v>0</v>
      </c>
      <c r="R1541">
        <v>1108</v>
      </c>
    </row>
    <row r="1542" spans="1:18" x14ac:dyDescent="0.3">
      <c r="A1542" s="5">
        <v>45967</v>
      </c>
      <c r="B1542" t="s">
        <v>2243</v>
      </c>
      <c r="C1542">
        <v>1</v>
      </c>
      <c r="D1542">
        <v>36</v>
      </c>
      <c r="E1542" s="1">
        <v>1.25</v>
      </c>
      <c r="F1542" t="s">
        <v>2240</v>
      </c>
      <c r="G1542">
        <v>0</v>
      </c>
      <c r="H1542">
        <v>1081.5841</v>
      </c>
      <c r="I1542">
        <v>2.5</v>
      </c>
      <c r="J1542">
        <v>1163.79</v>
      </c>
      <c r="K1542">
        <v>1.9580666999707901</v>
      </c>
      <c r="L1542">
        <v>1158.8800000000001</v>
      </c>
      <c r="M1542" t="s">
        <v>27</v>
      </c>
      <c r="N1542">
        <v>1</v>
      </c>
      <c r="O1542">
        <v>1282</v>
      </c>
      <c r="P1542">
        <v>1109</v>
      </c>
      <c r="Q1542">
        <v>0</v>
      </c>
      <c r="R1542">
        <v>1109</v>
      </c>
    </row>
    <row r="1543" spans="1:18" x14ac:dyDescent="0.3">
      <c r="A1543" s="5">
        <v>45967</v>
      </c>
      <c r="B1543" t="s">
        <v>2243</v>
      </c>
      <c r="C1543">
        <v>1</v>
      </c>
      <c r="D1543">
        <v>36</v>
      </c>
      <c r="E1543" s="1">
        <v>1.25</v>
      </c>
      <c r="F1543" t="s">
        <v>2240</v>
      </c>
      <c r="G1543">
        <v>0</v>
      </c>
      <c r="H1543">
        <v>1081.5841</v>
      </c>
      <c r="I1543">
        <v>2.5</v>
      </c>
      <c r="J1543">
        <v>1163.79</v>
      </c>
      <c r="K1543">
        <v>1.9580666999707901</v>
      </c>
      <c r="L1543">
        <v>1158.8800000000001</v>
      </c>
      <c r="M1543" t="s">
        <v>27</v>
      </c>
      <c r="N1543">
        <v>1</v>
      </c>
      <c r="O1543">
        <v>1282</v>
      </c>
      <c r="P1543">
        <v>1109</v>
      </c>
      <c r="Q1543">
        <v>0</v>
      </c>
      <c r="R1543">
        <v>1109</v>
      </c>
    </row>
    <row r="1544" spans="1:18" x14ac:dyDescent="0.3">
      <c r="A1544" s="5">
        <v>45967</v>
      </c>
      <c r="B1544" t="s">
        <v>2244</v>
      </c>
      <c r="C1544">
        <v>27</v>
      </c>
      <c r="D1544">
        <v>36</v>
      </c>
      <c r="E1544" s="1">
        <v>1.4583333333333333</v>
      </c>
      <c r="F1544" t="s">
        <v>2245</v>
      </c>
      <c r="G1544">
        <v>1</v>
      </c>
      <c r="H1544">
        <v>1080.9251999999999</v>
      </c>
      <c r="I1544">
        <v>8.5</v>
      </c>
      <c r="J1544">
        <v>1163.79</v>
      </c>
      <c r="K1544">
        <v>6.6574267799006801</v>
      </c>
      <c r="L1544">
        <v>1219.83</v>
      </c>
      <c r="M1544" t="s">
        <v>27</v>
      </c>
      <c r="N1544">
        <v>1</v>
      </c>
      <c r="O1544">
        <v>1346</v>
      </c>
      <c r="P1544">
        <v>1173</v>
      </c>
      <c r="Q1544">
        <v>0</v>
      </c>
      <c r="R1544">
        <v>1173</v>
      </c>
    </row>
    <row r="1545" spans="1:18" x14ac:dyDescent="0.3">
      <c r="A1545" s="5">
        <v>45967</v>
      </c>
      <c r="B1545" t="s">
        <v>2246</v>
      </c>
      <c r="C1545">
        <v>1</v>
      </c>
      <c r="D1545">
        <v>36</v>
      </c>
      <c r="E1545" s="1">
        <v>1.4583333333333333</v>
      </c>
      <c r="F1545" t="s">
        <v>2247</v>
      </c>
      <c r="G1545">
        <v>1</v>
      </c>
      <c r="H1545">
        <v>1081.5253</v>
      </c>
      <c r="I1545">
        <v>8.5</v>
      </c>
      <c r="J1545">
        <v>1163.79</v>
      </c>
      <c r="K1545">
        <v>6.6574267799006801</v>
      </c>
      <c r="L1545">
        <v>1219.83</v>
      </c>
      <c r="M1545" t="s">
        <v>27</v>
      </c>
      <c r="N1545">
        <v>1</v>
      </c>
      <c r="O1545">
        <v>1346</v>
      </c>
      <c r="P1545">
        <v>1173</v>
      </c>
      <c r="Q1545">
        <v>0</v>
      </c>
      <c r="R1545">
        <v>1173</v>
      </c>
    </row>
    <row r="1546" spans="1:18" x14ac:dyDescent="0.3">
      <c r="A1546" s="5">
        <v>45967</v>
      </c>
      <c r="B1546" t="s">
        <v>2248</v>
      </c>
      <c r="C1546">
        <v>16</v>
      </c>
      <c r="D1546">
        <v>36</v>
      </c>
      <c r="E1546" s="1">
        <v>1.0833333333333333</v>
      </c>
      <c r="F1546" t="s">
        <v>2249</v>
      </c>
      <c r="G1546">
        <v>0</v>
      </c>
      <c r="H1546">
        <v>1081.3164999999999</v>
      </c>
      <c r="I1546">
        <v>2.5</v>
      </c>
      <c r="J1546">
        <v>1163.79</v>
      </c>
      <c r="K1546">
        <v>1.9580666999707901</v>
      </c>
      <c r="L1546">
        <v>1158.8800000000001</v>
      </c>
      <c r="M1546" t="s">
        <v>27</v>
      </c>
      <c r="N1546">
        <v>1</v>
      </c>
      <c r="O1546">
        <v>1281</v>
      </c>
      <c r="P1546">
        <v>1108</v>
      </c>
      <c r="Q1546">
        <v>0</v>
      </c>
      <c r="R1546">
        <v>1108</v>
      </c>
    </row>
    <row r="1547" spans="1:18" x14ac:dyDescent="0.3">
      <c r="A1547" s="5">
        <v>45967</v>
      </c>
      <c r="B1547" t="s">
        <v>2250</v>
      </c>
      <c r="C1547">
        <v>14</v>
      </c>
      <c r="D1547">
        <v>36</v>
      </c>
      <c r="E1547" s="1">
        <v>1.9993055555555554</v>
      </c>
      <c r="F1547" t="s">
        <v>2251</v>
      </c>
      <c r="G1547">
        <v>5</v>
      </c>
      <c r="H1547">
        <v>1081.0645999999999</v>
      </c>
      <c r="I1547">
        <v>0</v>
      </c>
      <c r="J1547">
        <v>1163.79</v>
      </c>
      <c r="K1547">
        <v>0</v>
      </c>
      <c r="L1547">
        <v>1158.8800000000001</v>
      </c>
      <c r="M1547" t="s">
        <v>27</v>
      </c>
      <c r="N1547">
        <v>1</v>
      </c>
      <c r="O1547">
        <v>1254</v>
      </c>
      <c r="P1547">
        <v>1081</v>
      </c>
      <c r="Q1547">
        <v>0</v>
      </c>
      <c r="R1547">
        <v>1081</v>
      </c>
    </row>
    <row r="1548" spans="1:18" x14ac:dyDescent="0.3">
      <c r="A1548" s="5">
        <v>45967</v>
      </c>
      <c r="B1548" t="s">
        <v>2250</v>
      </c>
      <c r="C1548">
        <v>14</v>
      </c>
      <c r="D1548">
        <v>36</v>
      </c>
      <c r="E1548" s="1">
        <v>1.9993055555555554</v>
      </c>
      <c r="F1548" t="s">
        <v>2252</v>
      </c>
      <c r="G1548">
        <v>5</v>
      </c>
      <c r="H1548">
        <v>1081.0645999999999</v>
      </c>
      <c r="I1548">
        <v>0</v>
      </c>
      <c r="J1548">
        <v>1163.79</v>
      </c>
      <c r="K1548">
        <v>0</v>
      </c>
      <c r="L1548">
        <v>1158.8800000000001</v>
      </c>
      <c r="M1548" t="s">
        <v>27</v>
      </c>
      <c r="N1548">
        <v>1</v>
      </c>
      <c r="O1548">
        <v>1254</v>
      </c>
      <c r="P1548">
        <v>1081</v>
      </c>
      <c r="Q1548">
        <v>0</v>
      </c>
      <c r="R1548">
        <v>1081</v>
      </c>
    </row>
    <row r="1549" spans="1:18" x14ac:dyDescent="0.3">
      <c r="A1549" s="5">
        <v>45967</v>
      </c>
      <c r="B1549" t="s">
        <v>2253</v>
      </c>
      <c r="C1549">
        <v>13</v>
      </c>
      <c r="D1549">
        <v>36</v>
      </c>
      <c r="E1549" s="1">
        <v>1.9993055555555554</v>
      </c>
      <c r="F1549" t="s">
        <v>2251</v>
      </c>
      <c r="G1549">
        <v>5</v>
      </c>
      <c r="H1549">
        <v>1081.0825</v>
      </c>
      <c r="I1549">
        <v>0</v>
      </c>
      <c r="J1549">
        <v>1163.79</v>
      </c>
      <c r="K1549">
        <v>0</v>
      </c>
      <c r="L1549">
        <v>1158.8800000000001</v>
      </c>
      <c r="M1549" t="s">
        <v>27</v>
      </c>
      <c r="N1549">
        <v>1</v>
      </c>
      <c r="O1549">
        <v>1254</v>
      </c>
      <c r="P1549">
        <v>1081</v>
      </c>
      <c r="Q1549">
        <v>0</v>
      </c>
      <c r="R1549">
        <v>1081</v>
      </c>
    </row>
    <row r="1550" spans="1:18" x14ac:dyDescent="0.3">
      <c r="A1550" s="5">
        <v>45967</v>
      </c>
      <c r="B1550" t="s">
        <v>2253</v>
      </c>
      <c r="C1550">
        <v>13</v>
      </c>
      <c r="D1550">
        <v>36</v>
      </c>
      <c r="E1550" s="1">
        <v>1.9993055555555554</v>
      </c>
      <c r="F1550" t="s">
        <v>2252</v>
      </c>
      <c r="G1550">
        <v>5</v>
      </c>
      <c r="H1550">
        <v>1081.0825</v>
      </c>
      <c r="I1550">
        <v>0</v>
      </c>
      <c r="J1550">
        <v>1163.79</v>
      </c>
      <c r="K1550">
        <v>0</v>
      </c>
      <c r="L1550">
        <v>1158.8800000000001</v>
      </c>
      <c r="M1550" t="s">
        <v>27</v>
      </c>
      <c r="N1550">
        <v>1</v>
      </c>
      <c r="O1550">
        <v>1254</v>
      </c>
      <c r="P1550">
        <v>1081</v>
      </c>
      <c r="Q1550">
        <v>0</v>
      </c>
      <c r="R1550">
        <v>1081</v>
      </c>
    </row>
    <row r="1551" spans="1:18" x14ac:dyDescent="0.3">
      <c r="A1551" s="5">
        <v>45967</v>
      </c>
      <c r="B1551" t="s">
        <v>2254</v>
      </c>
      <c r="C1551">
        <v>15</v>
      </c>
      <c r="D1551">
        <v>36</v>
      </c>
      <c r="E1551" s="1">
        <v>1.9993055555555554</v>
      </c>
      <c r="F1551" t="s">
        <v>2251</v>
      </c>
      <c r="G1551">
        <v>5</v>
      </c>
      <c r="H1551">
        <v>1081.0463999999999</v>
      </c>
      <c r="I1551">
        <v>0</v>
      </c>
      <c r="J1551">
        <v>1163.79</v>
      </c>
      <c r="K1551">
        <v>0</v>
      </c>
      <c r="L1551">
        <v>609.91</v>
      </c>
      <c r="M1551" t="s">
        <v>20</v>
      </c>
      <c r="N1551">
        <v>1</v>
      </c>
      <c r="O1551">
        <v>1254</v>
      </c>
      <c r="P1551">
        <v>1081</v>
      </c>
      <c r="Q1551">
        <v>0.5</v>
      </c>
      <c r="R1551">
        <v>540.5</v>
      </c>
    </row>
    <row r="1552" spans="1:18" x14ac:dyDescent="0.3">
      <c r="A1552" s="5">
        <v>45967</v>
      </c>
      <c r="B1552" t="s">
        <v>2254</v>
      </c>
      <c r="C1552">
        <v>15</v>
      </c>
      <c r="D1552">
        <v>36</v>
      </c>
      <c r="E1552" s="1">
        <v>1.9993055555555554</v>
      </c>
      <c r="F1552" t="s">
        <v>2252</v>
      </c>
      <c r="G1552">
        <v>5</v>
      </c>
      <c r="H1552">
        <v>1081.0463999999999</v>
      </c>
      <c r="I1552">
        <v>0</v>
      </c>
      <c r="J1552">
        <v>1163.79</v>
      </c>
      <c r="K1552">
        <v>0</v>
      </c>
      <c r="L1552">
        <v>609.91</v>
      </c>
      <c r="M1552" t="s">
        <v>20</v>
      </c>
      <c r="N1552">
        <v>1</v>
      </c>
      <c r="O1552">
        <v>1254</v>
      </c>
      <c r="P1552">
        <v>1081</v>
      </c>
      <c r="Q1552">
        <v>0.5</v>
      </c>
      <c r="R1552">
        <v>540.5</v>
      </c>
    </row>
    <row r="1553" spans="1:18" x14ac:dyDescent="0.3">
      <c r="A1553" s="5">
        <v>45967</v>
      </c>
      <c r="B1553" t="s">
        <v>2255</v>
      </c>
      <c r="C1553">
        <v>17</v>
      </c>
      <c r="D1553">
        <v>35</v>
      </c>
      <c r="E1553" s="1">
        <v>1.9791666666666665</v>
      </c>
      <c r="F1553" t="s">
        <v>97</v>
      </c>
      <c r="G1553">
        <v>4</v>
      </c>
      <c r="H1553">
        <v>1078.8333</v>
      </c>
      <c r="I1553">
        <v>7</v>
      </c>
      <c r="J1553">
        <v>1163.79</v>
      </c>
      <c r="K1553">
        <v>5.4825867599182097</v>
      </c>
      <c r="L1553">
        <v>1219.83</v>
      </c>
      <c r="M1553" t="s">
        <v>27</v>
      </c>
      <c r="N1553">
        <v>1</v>
      </c>
      <c r="O1553">
        <v>1327</v>
      </c>
      <c r="P1553">
        <v>1154</v>
      </c>
      <c r="Q1553">
        <v>0</v>
      </c>
      <c r="R1553">
        <v>1154</v>
      </c>
    </row>
    <row r="1554" spans="1:18" x14ac:dyDescent="0.3">
      <c r="A1554" s="5">
        <v>45967</v>
      </c>
      <c r="B1554" t="s">
        <v>2255</v>
      </c>
      <c r="C1554">
        <v>17</v>
      </c>
      <c r="D1554">
        <v>35</v>
      </c>
      <c r="E1554" s="1">
        <v>1.9791666666666665</v>
      </c>
      <c r="F1554" t="s">
        <v>2256</v>
      </c>
      <c r="G1554">
        <v>4</v>
      </c>
      <c r="H1554">
        <v>1078.8333</v>
      </c>
      <c r="I1554">
        <v>7</v>
      </c>
      <c r="J1554">
        <v>1163.79</v>
      </c>
      <c r="K1554">
        <v>5.4825867599182097</v>
      </c>
      <c r="L1554">
        <v>1219.83</v>
      </c>
      <c r="M1554" t="s">
        <v>27</v>
      </c>
      <c r="N1554">
        <v>1</v>
      </c>
      <c r="O1554">
        <v>1327</v>
      </c>
      <c r="P1554">
        <v>1154</v>
      </c>
      <c r="Q1554">
        <v>0</v>
      </c>
      <c r="R1554">
        <v>1154</v>
      </c>
    </row>
    <row r="1555" spans="1:18" x14ac:dyDescent="0.3">
      <c r="A1555" s="5">
        <v>45967</v>
      </c>
      <c r="B1555" t="s">
        <v>2257</v>
      </c>
      <c r="C1555">
        <v>18</v>
      </c>
      <c r="D1555">
        <v>35</v>
      </c>
      <c r="E1555" s="1">
        <v>1.9791666666666665</v>
      </c>
      <c r="F1555" t="s">
        <v>97</v>
      </c>
      <c r="G1555">
        <v>4</v>
      </c>
      <c r="H1555">
        <v>1078.8152</v>
      </c>
      <c r="I1555">
        <v>7</v>
      </c>
      <c r="J1555">
        <v>1163.79</v>
      </c>
      <c r="K1555">
        <v>5.4825867599182097</v>
      </c>
      <c r="L1555">
        <v>609.91</v>
      </c>
      <c r="M1555" t="s">
        <v>77</v>
      </c>
      <c r="N1555">
        <v>1</v>
      </c>
      <c r="O1555">
        <v>1327</v>
      </c>
      <c r="P1555">
        <v>1154</v>
      </c>
      <c r="Q1555">
        <v>0.5</v>
      </c>
      <c r="R1555">
        <v>577</v>
      </c>
    </row>
    <row r="1556" spans="1:18" x14ac:dyDescent="0.3">
      <c r="A1556" s="5">
        <v>45967</v>
      </c>
      <c r="B1556" t="s">
        <v>2257</v>
      </c>
      <c r="C1556">
        <v>18</v>
      </c>
      <c r="D1556">
        <v>35</v>
      </c>
      <c r="E1556" s="1">
        <v>1.9791666666666665</v>
      </c>
      <c r="F1556" t="s">
        <v>2256</v>
      </c>
      <c r="G1556">
        <v>4</v>
      </c>
      <c r="H1556">
        <v>1078.8152</v>
      </c>
      <c r="I1556">
        <v>7</v>
      </c>
      <c r="J1556">
        <v>1163.79</v>
      </c>
      <c r="K1556">
        <v>5.4825867599182097</v>
      </c>
      <c r="L1556">
        <v>609.91</v>
      </c>
      <c r="M1556" t="s">
        <v>77</v>
      </c>
      <c r="N1556">
        <v>1</v>
      </c>
      <c r="O1556">
        <v>1327</v>
      </c>
      <c r="P1556">
        <v>1154</v>
      </c>
      <c r="Q1556">
        <v>0.5</v>
      </c>
      <c r="R1556">
        <v>577</v>
      </c>
    </row>
    <row r="1557" spans="1:18" x14ac:dyDescent="0.3">
      <c r="A1557" s="5">
        <v>45967</v>
      </c>
      <c r="B1557" t="s">
        <v>2258</v>
      </c>
      <c r="C1557">
        <v>26</v>
      </c>
      <c r="D1557">
        <v>36</v>
      </c>
      <c r="E1557" s="1">
        <v>1.0833333333333333</v>
      </c>
      <c r="F1557" t="s">
        <v>2259</v>
      </c>
      <c r="G1557">
        <v>0</v>
      </c>
      <c r="H1557">
        <v>1081.0033000000001</v>
      </c>
      <c r="I1557">
        <v>2.5</v>
      </c>
      <c r="J1557">
        <v>1163.79</v>
      </c>
      <c r="K1557">
        <v>1.9580666999707901</v>
      </c>
      <c r="L1557">
        <v>609.91</v>
      </c>
      <c r="M1557" t="s">
        <v>77</v>
      </c>
      <c r="N1557">
        <v>1</v>
      </c>
      <c r="O1557">
        <v>1281</v>
      </c>
      <c r="P1557">
        <v>1108</v>
      </c>
      <c r="Q1557">
        <v>0.5</v>
      </c>
      <c r="R1557">
        <v>554</v>
      </c>
    </row>
    <row r="1558" spans="1:18" x14ac:dyDescent="0.3">
      <c r="A1558" s="5">
        <v>45967</v>
      </c>
      <c r="B1558" t="s">
        <v>2260</v>
      </c>
      <c r="C1558">
        <v>4</v>
      </c>
      <c r="D1558">
        <v>36</v>
      </c>
      <c r="E1558" s="1">
        <v>1.4583333333333333</v>
      </c>
      <c r="F1558" t="s">
        <v>2261</v>
      </c>
      <c r="G1558">
        <v>3</v>
      </c>
      <c r="H1558">
        <v>1081.3860999999999</v>
      </c>
      <c r="I1558">
        <v>10</v>
      </c>
      <c r="J1558">
        <v>1163.79</v>
      </c>
      <c r="K1558">
        <v>7.8322667998831603</v>
      </c>
      <c r="L1558">
        <v>609.91</v>
      </c>
      <c r="M1558" t="s">
        <v>20</v>
      </c>
      <c r="N1558">
        <v>1</v>
      </c>
      <c r="O1558">
        <v>1363</v>
      </c>
      <c r="P1558">
        <v>1190</v>
      </c>
      <c r="Q1558">
        <v>0.5</v>
      </c>
      <c r="R1558">
        <v>595</v>
      </c>
    </row>
    <row r="1559" spans="1:18" x14ac:dyDescent="0.3">
      <c r="A1559" s="5">
        <v>45967</v>
      </c>
      <c r="B1559" t="s">
        <v>2262</v>
      </c>
      <c r="C1559">
        <v>2</v>
      </c>
      <c r="D1559">
        <v>36</v>
      </c>
      <c r="E1559" s="1">
        <v>1.9993055555555554</v>
      </c>
      <c r="F1559" t="s">
        <v>2263</v>
      </c>
      <c r="G1559">
        <v>5</v>
      </c>
      <c r="H1559">
        <v>1081.2793999999999</v>
      </c>
      <c r="I1559">
        <v>0</v>
      </c>
      <c r="J1559">
        <v>1163.79</v>
      </c>
      <c r="K1559">
        <v>0</v>
      </c>
      <c r="L1559">
        <v>1158.8800000000001</v>
      </c>
      <c r="M1559" t="s">
        <v>27</v>
      </c>
      <c r="N1559">
        <v>1</v>
      </c>
      <c r="O1559">
        <v>1254</v>
      </c>
      <c r="P1559">
        <v>1081</v>
      </c>
      <c r="Q1559">
        <v>0</v>
      </c>
      <c r="R1559">
        <v>1081</v>
      </c>
    </row>
    <row r="1560" spans="1:18" x14ac:dyDescent="0.3">
      <c r="A1560" s="5">
        <v>45967</v>
      </c>
      <c r="B1560" t="s">
        <v>2262</v>
      </c>
      <c r="C1560">
        <v>2</v>
      </c>
      <c r="D1560">
        <v>36</v>
      </c>
      <c r="E1560" s="1">
        <v>1.9993055555555554</v>
      </c>
      <c r="F1560" t="s">
        <v>2264</v>
      </c>
      <c r="G1560">
        <v>5</v>
      </c>
      <c r="H1560">
        <v>1081.2793999999999</v>
      </c>
      <c r="I1560">
        <v>0</v>
      </c>
      <c r="J1560">
        <v>1163.79</v>
      </c>
      <c r="K1560">
        <v>0</v>
      </c>
      <c r="L1560">
        <v>1158.8800000000001</v>
      </c>
      <c r="M1560" t="s">
        <v>27</v>
      </c>
      <c r="N1560">
        <v>1</v>
      </c>
      <c r="O1560">
        <v>1254</v>
      </c>
      <c r="P1560">
        <v>1081</v>
      </c>
      <c r="Q1560">
        <v>0</v>
      </c>
      <c r="R1560">
        <v>1081</v>
      </c>
    </row>
    <row r="1561" spans="1:18" x14ac:dyDescent="0.3">
      <c r="A1561" s="5">
        <v>45967</v>
      </c>
      <c r="B1561" t="s">
        <v>2265</v>
      </c>
      <c r="C1561">
        <v>3</v>
      </c>
      <c r="D1561">
        <v>36</v>
      </c>
      <c r="E1561" s="1">
        <v>1.9993055555555554</v>
      </c>
      <c r="F1561" t="s">
        <v>2263</v>
      </c>
      <c r="G1561">
        <v>5</v>
      </c>
      <c r="H1561">
        <v>1081.2616</v>
      </c>
      <c r="I1561">
        <v>0</v>
      </c>
      <c r="J1561">
        <v>1163.79</v>
      </c>
      <c r="K1561">
        <v>0</v>
      </c>
      <c r="L1561">
        <v>1158.8800000000001</v>
      </c>
      <c r="M1561" t="s">
        <v>27</v>
      </c>
      <c r="N1561">
        <v>1</v>
      </c>
      <c r="O1561">
        <v>1254</v>
      </c>
      <c r="P1561">
        <v>1081</v>
      </c>
      <c r="Q1561">
        <v>0</v>
      </c>
      <c r="R1561">
        <v>1081</v>
      </c>
    </row>
    <row r="1562" spans="1:18" x14ac:dyDescent="0.3">
      <c r="A1562" s="5">
        <v>45967</v>
      </c>
      <c r="B1562" t="s">
        <v>2265</v>
      </c>
      <c r="C1562">
        <v>3</v>
      </c>
      <c r="D1562">
        <v>36</v>
      </c>
      <c r="E1562" s="1">
        <v>1.9993055555555554</v>
      </c>
      <c r="F1562" t="s">
        <v>2264</v>
      </c>
      <c r="G1562">
        <v>5</v>
      </c>
      <c r="H1562">
        <v>1081.2616</v>
      </c>
      <c r="I1562">
        <v>0</v>
      </c>
      <c r="J1562">
        <v>1163.79</v>
      </c>
      <c r="K1562">
        <v>0</v>
      </c>
      <c r="L1562">
        <v>1158.8800000000001</v>
      </c>
      <c r="M1562" t="s">
        <v>27</v>
      </c>
      <c r="N1562">
        <v>1</v>
      </c>
      <c r="O1562">
        <v>1254</v>
      </c>
      <c r="P1562">
        <v>1081</v>
      </c>
      <c r="Q1562">
        <v>0</v>
      </c>
      <c r="R1562">
        <v>1081</v>
      </c>
    </row>
    <row r="1563" spans="1:18" x14ac:dyDescent="0.3">
      <c r="A1563" s="5">
        <v>45967</v>
      </c>
      <c r="B1563" t="s">
        <v>2266</v>
      </c>
      <c r="C1563">
        <v>1</v>
      </c>
      <c r="D1563">
        <v>36</v>
      </c>
      <c r="E1563" s="1">
        <v>1.9791666666666665</v>
      </c>
      <c r="F1563" t="s">
        <v>2267</v>
      </c>
      <c r="G1563">
        <v>2</v>
      </c>
      <c r="H1563">
        <v>1081.4268</v>
      </c>
      <c r="I1563">
        <v>5</v>
      </c>
      <c r="J1563">
        <v>1163.79</v>
      </c>
      <c r="K1563">
        <v>3.9161333999415802</v>
      </c>
      <c r="L1563">
        <v>609.91</v>
      </c>
      <c r="M1563" t="s">
        <v>60</v>
      </c>
      <c r="N1563">
        <v>1</v>
      </c>
      <c r="O1563">
        <v>1309</v>
      </c>
      <c r="P1563">
        <v>1135</v>
      </c>
      <c r="Q1563">
        <v>0.5</v>
      </c>
      <c r="R1563">
        <v>567.5</v>
      </c>
    </row>
    <row r="1564" spans="1:18" x14ac:dyDescent="0.3">
      <c r="A1564" s="5">
        <v>45967</v>
      </c>
      <c r="B1564" t="s">
        <v>2268</v>
      </c>
      <c r="C1564">
        <v>7</v>
      </c>
      <c r="D1564">
        <v>36</v>
      </c>
      <c r="E1564" s="1">
        <v>1.0833333333333333</v>
      </c>
      <c r="F1564" t="s">
        <v>1862</v>
      </c>
      <c r="G1564">
        <v>0</v>
      </c>
      <c r="H1564">
        <v>1081.4775</v>
      </c>
      <c r="I1564">
        <v>2.5</v>
      </c>
      <c r="J1564">
        <v>1163.79</v>
      </c>
      <c r="K1564">
        <v>1.9580666999707901</v>
      </c>
      <c r="L1564">
        <v>1158.8800000000001</v>
      </c>
      <c r="M1564" t="s">
        <v>27</v>
      </c>
      <c r="N1564">
        <v>1</v>
      </c>
      <c r="O1564">
        <v>1282</v>
      </c>
      <c r="P1564">
        <v>1109</v>
      </c>
      <c r="Q1564">
        <v>0</v>
      </c>
      <c r="R1564">
        <v>1109</v>
      </c>
    </row>
    <row r="1565" spans="1:18" x14ac:dyDescent="0.3">
      <c r="A1565" s="5">
        <v>45967</v>
      </c>
      <c r="B1565" t="s">
        <v>2269</v>
      </c>
      <c r="C1565">
        <v>15</v>
      </c>
      <c r="D1565">
        <v>36</v>
      </c>
      <c r="E1565" s="1">
        <v>1.0833333333333333</v>
      </c>
      <c r="F1565" t="s">
        <v>2270</v>
      </c>
      <c r="G1565">
        <v>0</v>
      </c>
      <c r="H1565">
        <v>1081.4843000000001</v>
      </c>
      <c r="I1565">
        <v>2.5</v>
      </c>
      <c r="J1565">
        <v>1163.79</v>
      </c>
      <c r="K1565">
        <v>1.9580666999707901</v>
      </c>
      <c r="L1565">
        <v>1158.8800000000001</v>
      </c>
      <c r="M1565" t="s">
        <v>27</v>
      </c>
      <c r="N1565">
        <v>1</v>
      </c>
      <c r="O1565">
        <v>1282</v>
      </c>
      <c r="P1565">
        <v>1109</v>
      </c>
      <c r="Q1565">
        <v>0</v>
      </c>
      <c r="R1565">
        <v>1109</v>
      </c>
    </row>
    <row r="1566" spans="1:18" x14ac:dyDescent="0.3">
      <c r="A1566" s="5">
        <v>45967</v>
      </c>
      <c r="B1566" t="s">
        <v>2271</v>
      </c>
      <c r="C1566">
        <v>3</v>
      </c>
      <c r="D1566">
        <v>36</v>
      </c>
      <c r="E1566" s="1">
        <v>1.9993055555555554</v>
      </c>
      <c r="F1566" t="s">
        <v>2272</v>
      </c>
      <c r="G1566">
        <v>4</v>
      </c>
      <c r="H1566">
        <v>1081.3173999999999</v>
      </c>
      <c r="I1566">
        <v>7</v>
      </c>
      <c r="J1566">
        <v>1163.79</v>
      </c>
      <c r="K1566">
        <v>5.4825867599182097</v>
      </c>
      <c r="L1566">
        <v>1158.8800000000001</v>
      </c>
      <c r="M1566" t="s">
        <v>27</v>
      </c>
      <c r="N1566">
        <v>1</v>
      </c>
      <c r="O1566">
        <v>1330</v>
      </c>
      <c r="P1566">
        <v>1157</v>
      </c>
      <c r="Q1566">
        <v>0</v>
      </c>
      <c r="R1566">
        <v>1157</v>
      </c>
    </row>
    <row r="1567" spans="1:18" x14ac:dyDescent="0.3">
      <c r="A1567" s="5">
        <v>45967</v>
      </c>
      <c r="B1567" t="s">
        <v>2273</v>
      </c>
      <c r="C1567">
        <v>31</v>
      </c>
      <c r="D1567">
        <v>36</v>
      </c>
      <c r="E1567" s="1">
        <v>1.9993055555555554</v>
      </c>
      <c r="F1567" t="s">
        <v>2274</v>
      </c>
      <c r="G1567">
        <v>0</v>
      </c>
      <c r="H1567">
        <v>1080.6813</v>
      </c>
      <c r="I1567">
        <v>2.5</v>
      </c>
      <c r="J1567">
        <v>1163.79</v>
      </c>
      <c r="K1567">
        <v>1.9580666999707901</v>
      </c>
      <c r="L1567">
        <v>1158.8800000000001</v>
      </c>
      <c r="M1567" t="s">
        <v>27</v>
      </c>
      <c r="N1567">
        <v>1</v>
      </c>
      <c r="O1567">
        <v>1281</v>
      </c>
      <c r="P1567">
        <v>1108</v>
      </c>
      <c r="Q1567">
        <v>0</v>
      </c>
      <c r="R1567">
        <v>1108</v>
      </c>
    </row>
    <row r="1568" spans="1:18" x14ac:dyDescent="0.3">
      <c r="A1568" s="5">
        <v>45967</v>
      </c>
      <c r="B1568" t="s">
        <v>2275</v>
      </c>
      <c r="C1568">
        <v>34</v>
      </c>
      <c r="D1568">
        <v>36</v>
      </c>
      <c r="E1568" s="1">
        <v>1.4583333333333333</v>
      </c>
      <c r="F1568" t="s">
        <v>2276</v>
      </c>
      <c r="G1568">
        <v>2</v>
      </c>
      <c r="H1568">
        <v>1080.8317</v>
      </c>
      <c r="I1568">
        <v>5</v>
      </c>
      <c r="J1568">
        <v>1163.79</v>
      </c>
      <c r="K1568">
        <v>3.9161333999415802</v>
      </c>
      <c r="L1568">
        <v>609.91</v>
      </c>
      <c r="M1568" t="s">
        <v>60</v>
      </c>
      <c r="N1568">
        <v>1</v>
      </c>
      <c r="O1568">
        <v>1308</v>
      </c>
      <c r="P1568">
        <v>1135</v>
      </c>
      <c r="Q1568">
        <v>0.5</v>
      </c>
      <c r="R1568">
        <v>567.5</v>
      </c>
    </row>
    <row r="1569" spans="1:18" x14ac:dyDescent="0.3">
      <c r="A1569" s="5">
        <v>45967</v>
      </c>
      <c r="B1569" t="s">
        <v>2277</v>
      </c>
      <c r="C1569">
        <v>35</v>
      </c>
      <c r="D1569">
        <v>36</v>
      </c>
      <c r="E1569" s="1">
        <v>1.4583333333333333</v>
      </c>
      <c r="F1569" t="s">
        <v>2278</v>
      </c>
      <c r="G1569">
        <v>3</v>
      </c>
      <c r="H1569">
        <v>1080.8136</v>
      </c>
      <c r="I1569">
        <v>10</v>
      </c>
      <c r="J1569">
        <v>1163.79</v>
      </c>
      <c r="K1569">
        <v>7.8322667998831603</v>
      </c>
      <c r="L1569">
        <v>609.91</v>
      </c>
      <c r="M1569" t="s">
        <v>20</v>
      </c>
      <c r="N1569">
        <v>1</v>
      </c>
      <c r="O1569">
        <v>1362</v>
      </c>
      <c r="P1569">
        <v>1189</v>
      </c>
      <c r="Q1569">
        <v>0.5</v>
      </c>
      <c r="R1569">
        <v>594.5</v>
      </c>
    </row>
    <row r="1570" spans="1:18" x14ac:dyDescent="0.3">
      <c r="A1570" s="5">
        <v>45967</v>
      </c>
      <c r="B1570" t="s">
        <v>2279</v>
      </c>
      <c r="C1570">
        <v>18</v>
      </c>
      <c r="D1570">
        <v>36</v>
      </c>
      <c r="E1570" s="1">
        <v>1.9652777777777777</v>
      </c>
      <c r="F1570" t="s">
        <v>2280</v>
      </c>
      <c r="G1570">
        <v>0</v>
      </c>
      <c r="H1570">
        <v>1080.9905000000001</v>
      </c>
      <c r="I1570">
        <v>2.5</v>
      </c>
      <c r="J1570">
        <v>1163.79</v>
      </c>
      <c r="K1570">
        <v>1.9580666999707901</v>
      </c>
      <c r="L1570">
        <v>1158.8800000000001</v>
      </c>
      <c r="M1570" t="s">
        <v>27</v>
      </c>
      <c r="N1570">
        <v>1</v>
      </c>
      <c r="O1570">
        <v>1281</v>
      </c>
      <c r="P1570">
        <v>1108</v>
      </c>
      <c r="Q1570">
        <v>0</v>
      </c>
      <c r="R1570">
        <v>1108</v>
      </c>
    </row>
    <row r="1571" spans="1:18" x14ac:dyDescent="0.3">
      <c r="A1571" s="5">
        <v>45967</v>
      </c>
      <c r="B1571" t="s">
        <v>2281</v>
      </c>
      <c r="C1571">
        <v>21</v>
      </c>
      <c r="D1571">
        <v>36</v>
      </c>
      <c r="E1571" s="1">
        <v>1.4583333333333333</v>
      </c>
      <c r="F1571" t="s">
        <v>2282</v>
      </c>
      <c r="G1571">
        <v>4</v>
      </c>
      <c r="H1571">
        <v>1081.2103</v>
      </c>
      <c r="I1571">
        <v>7</v>
      </c>
      <c r="J1571">
        <v>1163.79</v>
      </c>
      <c r="K1571">
        <v>5.4825867599182097</v>
      </c>
      <c r="L1571">
        <v>1158.8800000000001</v>
      </c>
      <c r="M1571" t="s">
        <v>27</v>
      </c>
      <c r="N1571">
        <v>1</v>
      </c>
      <c r="O1571">
        <v>1330</v>
      </c>
      <c r="P1571">
        <v>1157</v>
      </c>
      <c r="Q1571">
        <v>0</v>
      </c>
      <c r="R1571">
        <v>1157</v>
      </c>
    </row>
    <row r="1572" spans="1:18" x14ac:dyDescent="0.3">
      <c r="A1572" s="5">
        <v>45967</v>
      </c>
      <c r="B1572" t="s">
        <v>2281</v>
      </c>
      <c r="C1572">
        <v>21</v>
      </c>
      <c r="D1572">
        <v>36</v>
      </c>
      <c r="E1572" s="1">
        <v>1.4583333333333333</v>
      </c>
      <c r="F1572" t="s">
        <v>2283</v>
      </c>
      <c r="G1572">
        <v>4</v>
      </c>
      <c r="H1572">
        <v>1081.2103</v>
      </c>
      <c r="I1572">
        <v>7</v>
      </c>
      <c r="J1572">
        <v>1163.79</v>
      </c>
      <c r="K1572">
        <v>5.4825867599182097</v>
      </c>
      <c r="L1572">
        <v>1158.8800000000001</v>
      </c>
      <c r="M1572" t="s">
        <v>27</v>
      </c>
      <c r="N1572">
        <v>1</v>
      </c>
      <c r="O1572">
        <v>1330</v>
      </c>
      <c r="P1572">
        <v>1157</v>
      </c>
      <c r="Q1572">
        <v>0</v>
      </c>
      <c r="R1572">
        <v>1157</v>
      </c>
    </row>
    <row r="1573" spans="1:18" x14ac:dyDescent="0.3">
      <c r="A1573" s="5">
        <v>45967</v>
      </c>
      <c r="B1573" t="s">
        <v>2284</v>
      </c>
      <c r="C1573">
        <v>24</v>
      </c>
      <c r="D1573">
        <v>36</v>
      </c>
      <c r="E1573" s="1">
        <v>1.4583333333333333</v>
      </c>
      <c r="F1573" t="s">
        <v>2282</v>
      </c>
      <c r="G1573">
        <v>4</v>
      </c>
      <c r="H1573">
        <v>1081.0238999999999</v>
      </c>
      <c r="I1573">
        <v>7</v>
      </c>
      <c r="J1573">
        <v>1163.79</v>
      </c>
      <c r="K1573">
        <v>5.4825867599182097</v>
      </c>
      <c r="L1573">
        <v>1158.8800000000001</v>
      </c>
      <c r="M1573" t="s">
        <v>27</v>
      </c>
      <c r="N1573">
        <v>1</v>
      </c>
      <c r="O1573">
        <v>1330</v>
      </c>
      <c r="P1573">
        <v>1157</v>
      </c>
      <c r="Q1573">
        <v>0</v>
      </c>
      <c r="R1573">
        <v>1157</v>
      </c>
    </row>
    <row r="1574" spans="1:18" x14ac:dyDescent="0.3">
      <c r="A1574" s="5">
        <v>45967</v>
      </c>
      <c r="B1574" t="s">
        <v>2284</v>
      </c>
      <c r="C1574">
        <v>24</v>
      </c>
      <c r="D1574">
        <v>36</v>
      </c>
      <c r="E1574" s="1">
        <v>1.4583333333333333</v>
      </c>
      <c r="F1574" t="s">
        <v>2283</v>
      </c>
      <c r="G1574">
        <v>4</v>
      </c>
      <c r="H1574">
        <v>1081.0238999999999</v>
      </c>
      <c r="I1574">
        <v>7</v>
      </c>
      <c r="J1574">
        <v>1163.79</v>
      </c>
      <c r="K1574">
        <v>5.4825867599182097</v>
      </c>
      <c r="L1574">
        <v>1158.8800000000001</v>
      </c>
      <c r="M1574" t="s">
        <v>27</v>
      </c>
      <c r="N1574">
        <v>1</v>
      </c>
      <c r="O1574">
        <v>1330</v>
      </c>
      <c r="P1574">
        <v>1157</v>
      </c>
      <c r="Q1574">
        <v>0</v>
      </c>
      <c r="R1574">
        <v>1157</v>
      </c>
    </row>
    <row r="1575" spans="1:18" x14ac:dyDescent="0.3">
      <c r="A1575" s="5">
        <v>45967</v>
      </c>
      <c r="B1575" t="s">
        <v>1119</v>
      </c>
      <c r="C1575">
        <v>17</v>
      </c>
      <c r="D1575">
        <v>36</v>
      </c>
      <c r="E1575" s="1">
        <v>1.9993055555555554</v>
      </c>
      <c r="F1575" t="s">
        <v>1120</v>
      </c>
      <c r="G1575">
        <v>2</v>
      </c>
      <c r="H1575">
        <v>1081.0005000000001</v>
      </c>
      <c r="I1575">
        <v>5</v>
      </c>
      <c r="J1575">
        <v>1163.79</v>
      </c>
      <c r="K1575">
        <v>3.9161333999415802</v>
      </c>
      <c r="L1575">
        <v>609.91</v>
      </c>
      <c r="M1575" t="s">
        <v>60</v>
      </c>
      <c r="N1575">
        <v>1</v>
      </c>
      <c r="O1575">
        <v>1308</v>
      </c>
      <c r="P1575">
        <v>1135</v>
      </c>
      <c r="Q1575">
        <v>0.5</v>
      </c>
      <c r="R1575">
        <v>567.5</v>
      </c>
    </row>
    <row r="1576" spans="1:18" x14ac:dyDescent="0.3">
      <c r="A1576" s="5">
        <v>45967</v>
      </c>
      <c r="B1576" t="s">
        <v>2285</v>
      </c>
      <c r="C1576">
        <v>30</v>
      </c>
      <c r="D1576">
        <v>36</v>
      </c>
      <c r="E1576" s="1">
        <v>1.9791666666666665</v>
      </c>
      <c r="F1576" t="s">
        <v>2286</v>
      </c>
      <c r="G1576">
        <v>3</v>
      </c>
      <c r="H1576">
        <v>1080.6278</v>
      </c>
      <c r="I1576">
        <v>10</v>
      </c>
      <c r="J1576">
        <v>1163.79</v>
      </c>
      <c r="K1576">
        <v>7.8322667998831603</v>
      </c>
      <c r="L1576">
        <v>609.91</v>
      </c>
      <c r="M1576" t="s">
        <v>20</v>
      </c>
      <c r="N1576">
        <v>1</v>
      </c>
      <c r="O1576">
        <v>1362</v>
      </c>
      <c r="P1576">
        <v>1189</v>
      </c>
      <c r="Q1576">
        <v>0.5</v>
      </c>
      <c r="R1576">
        <v>594.5</v>
      </c>
    </row>
    <row r="1577" spans="1:18" x14ac:dyDescent="0.3">
      <c r="A1577" s="5">
        <v>45967</v>
      </c>
      <c r="B1577" t="s">
        <v>2287</v>
      </c>
      <c r="C1577">
        <v>31</v>
      </c>
      <c r="D1577">
        <v>36</v>
      </c>
      <c r="E1577" s="1">
        <v>1.9791666666666665</v>
      </c>
      <c r="F1577" t="s">
        <v>2288</v>
      </c>
      <c r="G1577">
        <v>3</v>
      </c>
      <c r="H1577">
        <v>1080.5831000000001</v>
      </c>
      <c r="I1577">
        <v>10</v>
      </c>
      <c r="J1577">
        <v>1163.79</v>
      </c>
      <c r="K1577">
        <v>7.8322667998831603</v>
      </c>
      <c r="L1577">
        <v>609.91</v>
      </c>
      <c r="M1577" t="s">
        <v>20</v>
      </c>
      <c r="N1577">
        <v>1</v>
      </c>
      <c r="O1577">
        <v>1362</v>
      </c>
      <c r="P1577">
        <v>1189</v>
      </c>
      <c r="Q1577">
        <v>0.5</v>
      </c>
      <c r="R1577">
        <v>594.5</v>
      </c>
    </row>
    <row r="1578" spans="1:18" x14ac:dyDescent="0.3">
      <c r="A1578" s="5">
        <v>45967</v>
      </c>
      <c r="B1578" t="s">
        <v>2289</v>
      </c>
      <c r="C1578">
        <v>35</v>
      </c>
      <c r="D1578">
        <v>36</v>
      </c>
      <c r="E1578" s="1">
        <v>1.9791666666666665</v>
      </c>
      <c r="F1578" t="s">
        <v>2290</v>
      </c>
      <c r="G1578">
        <v>4</v>
      </c>
      <c r="H1578">
        <v>1080.4039</v>
      </c>
      <c r="I1578">
        <v>7</v>
      </c>
      <c r="J1578">
        <v>1163.79</v>
      </c>
      <c r="K1578">
        <v>5.4825867599182097</v>
      </c>
      <c r="L1578">
        <v>1219.83</v>
      </c>
      <c r="M1578" t="s">
        <v>27</v>
      </c>
      <c r="N1578">
        <v>1</v>
      </c>
      <c r="O1578">
        <v>1329</v>
      </c>
      <c r="P1578">
        <v>1156</v>
      </c>
      <c r="Q1578">
        <v>0</v>
      </c>
      <c r="R1578">
        <v>1156</v>
      </c>
    </row>
    <row r="1579" spans="1:18" x14ac:dyDescent="0.3">
      <c r="A1579" s="5">
        <v>45967</v>
      </c>
      <c r="B1579" t="s">
        <v>2291</v>
      </c>
      <c r="C1579">
        <v>24</v>
      </c>
      <c r="D1579">
        <v>36</v>
      </c>
      <c r="E1579" s="1">
        <v>1.9652777777777777</v>
      </c>
      <c r="F1579" t="s">
        <v>2292</v>
      </c>
      <c r="G1579">
        <v>5</v>
      </c>
      <c r="H1579">
        <v>1080.749</v>
      </c>
      <c r="I1579">
        <v>0</v>
      </c>
      <c r="J1579">
        <v>1163.79</v>
      </c>
      <c r="K1579">
        <v>0</v>
      </c>
      <c r="L1579">
        <v>1158.8800000000001</v>
      </c>
      <c r="M1579" t="s">
        <v>27</v>
      </c>
      <c r="N1579">
        <v>1</v>
      </c>
      <c r="O1579">
        <v>1254</v>
      </c>
      <c r="P1579">
        <v>1081</v>
      </c>
      <c r="Q1579">
        <v>0</v>
      </c>
      <c r="R1579">
        <v>1081</v>
      </c>
    </row>
    <row r="1580" spans="1:18" x14ac:dyDescent="0.3">
      <c r="A1580" s="5">
        <v>45967</v>
      </c>
      <c r="B1580" t="s">
        <v>2293</v>
      </c>
      <c r="C1580">
        <v>24</v>
      </c>
      <c r="D1580">
        <v>36</v>
      </c>
      <c r="E1580" s="1">
        <v>1.9993055555555554</v>
      </c>
      <c r="F1580" t="s">
        <v>2294</v>
      </c>
      <c r="G1580">
        <v>5</v>
      </c>
      <c r="H1580">
        <v>1080.749</v>
      </c>
      <c r="I1580">
        <v>0</v>
      </c>
      <c r="J1580">
        <v>1163.79</v>
      </c>
      <c r="K1580">
        <v>0</v>
      </c>
      <c r="L1580">
        <v>1158.8800000000001</v>
      </c>
      <c r="M1580" t="s">
        <v>27</v>
      </c>
      <c r="N1580">
        <v>1</v>
      </c>
      <c r="O1580">
        <v>1254</v>
      </c>
      <c r="P1580">
        <v>1081</v>
      </c>
      <c r="Q1580">
        <v>0</v>
      </c>
      <c r="R1580">
        <v>1081</v>
      </c>
    </row>
    <row r="1581" spans="1:18" x14ac:dyDescent="0.3">
      <c r="A1581" s="5">
        <v>45967</v>
      </c>
      <c r="B1581" t="s">
        <v>2295</v>
      </c>
      <c r="C1581">
        <v>21</v>
      </c>
      <c r="D1581">
        <v>36</v>
      </c>
      <c r="E1581" s="1">
        <v>1.9993055555555554</v>
      </c>
      <c r="F1581" t="s">
        <v>2294</v>
      </c>
      <c r="G1581">
        <v>5</v>
      </c>
      <c r="H1581">
        <v>1080.9355</v>
      </c>
      <c r="I1581">
        <v>0</v>
      </c>
      <c r="J1581">
        <v>1163.79</v>
      </c>
      <c r="K1581">
        <v>0</v>
      </c>
      <c r="L1581">
        <v>1158.8800000000001</v>
      </c>
      <c r="M1581" t="s">
        <v>27</v>
      </c>
      <c r="N1581">
        <v>1</v>
      </c>
      <c r="O1581">
        <v>1254</v>
      </c>
      <c r="P1581">
        <v>1081</v>
      </c>
      <c r="Q1581">
        <v>0</v>
      </c>
      <c r="R1581">
        <v>1081</v>
      </c>
    </row>
    <row r="1582" spans="1:18" x14ac:dyDescent="0.3">
      <c r="A1582" s="5">
        <v>45967</v>
      </c>
      <c r="B1582" t="s">
        <v>2296</v>
      </c>
      <c r="C1582">
        <v>27</v>
      </c>
      <c r="D1582">
        <v>36</v>
      </c>
      <c r="E1582" s="1">
        <v>1.9993055555555554</v>
      </c>
      <c r="F1582" t="s">
        <v>2297</v>
      </c>
      <c r="G1582">
        <v>5</v>
      </c>
      <c r="H1582">
        <v>1080.6952000000001</v>
      </c>
      <c r="I1582">
        <v>0</v>
      </c>
      <c r="J1582">
        <v>1163.79</v>
      </c>
      <c r="K1582">
        <v>0</v>
      </c>
      <c r="L1582">
        <v>1158.8800000000001</v>
      </c>
      <c r="M1582" t="s">
        <v>27</v>
      </c>
      <c r="N1582">
        <v>1</v>
      </c>
      <c r="O1582">
        <v>1254</v>
      </c>
      <c r="P1582">
        <v>1081</v>
      </c>
      <c r="Q1582">
        <v>0</v>
      </c>
      <c r="R1582">
        <v>1081</v>
      </c>
    </row>
    <row r="1583" spans="1:18" x14ac:dyDescent="0.3">
      <c r="A1583" s="5">
        <v>45967</v>
      </c>
      <c r="B1583" t="s">
        <v>2298</v>
      </c>
      <c r="C1583">
        <v>23</v>
      </c>
      <c r="D1583">
        <v>36</v>
      </c>
      <c r="E1583" s="1">
        <v>1.9993055555555554</v>
      </c>
      <c r="F1583" t="s">
        <v>2297</v>
      </c>
      <c r="G1583">
        <v>5</v>
      </c>
      <c r="H1583">
        <v>1080.7670000000001</v>
      </c>
      <c r="I1583">
        <v>0</v>
      </c>
      <c r="J1583">
        <v>1163.79</v>
      </c>
      <c r="K1583">
        <v>0</v>
      </c>
      <c r="L1583">
        <v>1158.8800000000001</v>
      </c>
      <c r="M1583" t="s">
        <v>27</v>
      </c>
      <c r="N1583">
        <v>1</v>
      </c>
      <c r="O1583">
        <v>1254</v>
      </c>
      <c r="P1583">
        <v>1081</v>
      </c>
      <c r="Q1583">
        <v>0</v>
      </c>
      <c r="R1583">
        <v>1081</v>
      </c>
    </row>
    <row r="1584" spans="1:18" x14ac:dyDescent="0.3">
      <c r="A1584" s="5">
        <v>45967</v>
      </c>
      <c r="B1584" t="s">
        <v>2299</v>
      </c>
      <c r="C1584">
        <v>20</v>
      </c>
      <c r="D1584">
        <v>36</v>
      </c>
      <c r="E1584" s="1">
        <v>1.9993055555555554</v>
      </c>
      <c r="F1584" t="s">
        <v>2297</v>
      </c>
      <c r="G1584">
        <v>5</v>
      </c>
      <c r="H1584">
        <v>1080.9536000000001</v>
      </c>
      <c r="I1584">
        <v>0</v>
      </c>
      <c r="J1584">
        <v>1163.79</v>
      </c>
      <c r="K1584">
        <v>0</v>
      </c>
      <c r="L1584">
        <v>1158.8800000000001</v>
      </c>
      <c r="M1584" t="s">
        <v>27</v>
      </c>
      <c r="N1584">
        <v>1</v>
      </c>
      <c r="O1584">
        <v>1254</v>
      </c>
      <c r="P1584">
        <v>1081</v>
      </c>
      <c r="Q1584">
        <v>0</v>
      </c>
      <c r="R1584">
        <v>1081</v>
      </c>
    </row>
    <row r="1585" spans="1:18" x14ac:dyDescent="0.3">
      <c r="A1585" s="5">
        <v>45967</v>
      </c>
      <c r="B1585" t="s">
        <v>2300</v>
      </c>
      <c r="C1585">
        <v>36</v>
      </c>
      <c r="D1585">
        <v>36</v>
      </c>
      <c r="E1585" s="1">
        <v>1.9993055555555554</v>
      </c>
      <c r="F1585" t="s">
        <v>2297</v>
      </c>
      <c r="G1585">
        <v>5</v>
      </c>
      <c r="H1585">
        <v>1080.5332000000001</v>
      </c>
      <c r="I1585">
        <v>0</v>
      </c>
      <c r="J1585">
        <v>1163.79</v>
      </c>
      <c r="K1585">
        <v>0</v>
      </c>
      <c r="L1585">
        <v>1158.8800000000001</v>
      </c>
      <c r="M1585" t="s">
        <v>27</v>
      </c>
      <c r="N1585">
        <v>1</v>
      </c>
      <c r="O1585">
        <v>1253</v>
      </c>
      <c r="P1585">
        <v>1081</v>
      </c>
      <c r="Q1585">
        <v>0</v>
      </c>
      <c r="R1585">
        <v>1081</v>
      </c>
    </row>
    <row r="1586" spans="1:18" x14ac:dyDescent="0.3">
      <c r="A1586" s="5">
        <v>45967</v>
      </c>
      <c r="B1586" t="s">
        <v>2301</v>
      </c>
      <c r="C1586">
        <v>10</v>
      </c>
      <c r="D1586">
        <v>36</v>
      </c>
      <c r="E1586" s="1">
        <v>1.4583333333333333</v>
      </c>
      <c r="F1586" t="s">
        <v>2302</v>
      </c>
      <c r="G1586">
        <v>5</v>
      </c>
      <c r="H1586">
        <v>1081.3506</v>
      </c>
      <c r="I1586">
        <v>0</v>
      </c>
      <c r="J1586">
        <v>1163.79</v>
      </c>
      <c r="K1586">
        <v>0</v>
      </c>
      <c r="L1586">
        <v>1158.8800000000001</v>
      </c>
      <c r="M1586" t="s">
        <v>27</v>
      </c>
      <c r="N1586">
        <v>1</v>
      </c>
      <c r="O1586">
        <v>1254</v>
      </c>
      <c r="P1586">
        <v>1081</v>
      </c>
      <c r="Q1586">
        <v>0</v>
      </c>
      <c r="R1586">
        <v>1081</v>
      </c>
    </row>
    <row r="1587" spans="1:18" x14ac:dyDescent="0.3">
      <c r="A1587" s="5">
        <v>45967</v>
      </c>
      <c r="B1587" t="s">
        <v>2303</v>
      </c>
      <c r="C1587">
        <v>15</v>
      </c>
      <c r="D1587">
        <v>36</v>
      </c>
      <c r="E1587" s="1">
        <v>1.9993055555555554</v>
      </c>
      <c r="F1587" t="s">
        <v>2304</v>
      </c>
      <c r="G1587">
        <v>0</v>
      </c>
      <c r="H1587">
        <v>1081.0999999999999</v>
      </c>
      <c r="I1587">
        <v>2.5</v>
      </c>
      <c r="J1587">
        <v>1163.79</v>
      </c>
      <c r="K1587">
        <v>1.9580666999707901</v>
      </c>
      <c r="L1587">
        <v>1158.8800000000001</v>
      </c>
      <c r="M1587" t="s">
        <v>27</v>
      </c>
      <c r="N1587">
        <v>1</v>
      </c>
      <c r="O1587">
        <v>1281</v>
      </c>
      <c r="P1587">
        <v>1108</v>
      </c>
      <c r="Q1587">
        <v>0</v>
      </c>
      <c r="R1587">
        <v>1108</v>
      </c>
    </row>
    <row r="1588" spans="1:18" x14ac:dyDescent="0.3">
      <c r="A1588" s="5">
        <v>45967</v>
      </c>
      <c r="B1588" t="s">
        <v>2305</v>
      </c>
      <c r="C1588">
        <v>14</v>
      </c>
      <c r="D1588">
        <v>36</v>
      </c>
      <c r="E1588" s="1">
        <v>1.9993055555555554</v>
      </c>
      <c r="F1588" t="s">
        <v>2304</v>
      </c>
      <c r="G1588">
        <v>0</v>
      </c>
      <c r="H1588">
        <v>1081.1179</v>
      </c>
      <c r="I1588">
        <v>2.5</v>
      </c>
      <c r="J1588">
        <v>1163.79</v>
      </c>
      <c r="K1588">
        <v>1.9580666999707901</v>
      </c>
      <c r="L1588">
        <v>1158.8800000000001</v>
      </c>
      <c r="M1588" t="s">
        <v>27</v>
      </c>
      <c r="N1588">
        <v>1</v>
      </c>
      <c r="O1588">
        <v>1281</v>
      </c>
      <c r="P1588">
        <v>1108</v>
      </c>
      <c r="Q1588">
        <v>0</v>
      </c>
      <c r="R1588">
        <v>1108</v>
      </c>
    </row>
    <row r="1589" spans="1:18" x14ac:dyDescent="0.3">
      <c r="A1589" s="5">
        <v>45967</v>
      </c>
      <c r="B1589" t="s">
        <v>2306</v>
      </c>
      <c r="C1589">
        <v>26</v>
      </c>
      <c r="D1589">
        <v>36</v>
      </c>
      <c r="E1589" s="1">
        <v>1.9993055555555554</v>
      </c>
      <c r="F1589" t="s">
        <v>2304</v>
      </c>
      <c r="G1589">
        <v>0</v>
      </c>
      <c r="H1589">
        <v>1080.7698</v>
      </c>
      <c r="I1589">
        <v>2.5</v>
      </c>
      <c r="J1589">
        <v>1163.79</v>
      </c>
      <c r="K1589">
        <v>1.9580666999707901</v>
      </c>
      <c r="L1589">
        <v>1158.8800000000001</v>
      </c>
      <c r="M1589" t="s">
        <v>27</v>
      </c>
      <c r="N1589">
        <v>1</v>
      </c>
      <c r="O1589">
        <v>1281</v>
      </c>
      <c r="P1589">
        <v>1108</v>
      </c>
      <c r="Q1589">
        <v>0</v>
      </c>
      <c r="R1589">
        <v>1108</v>
      </c>
    </row>
    <row r="1590" spans="1:18" x14ac:dyDescent="0.3">
      <c r="A1590" s="5">
        <v>45967</v>
      </c>
      <c r="B1590" t="s">
        <v>2307</v>
      </c>
      <c r="C1590">
        <v>25</v>
      </c>
      <c r="D1590">
        <v>36</v>
      </c>
      <c r="E1590" s="1">
        <v>1.9993055555555554</v>
      </c>
      <c r="F1590" t="s">
        <v>2304</v>
      </c>
      <c r="G1590">
        <v>0</v>
      </c>
      <c r="H1590">
        <v>1080.7876000000001</v>
      </c>
      <c r="I1590">
        <v>2.5</v>
      </c>
      <c r="J1590">
        <v>1163.79</v>
      </c>
      <c r="K1590">
        <v>1.9580666999707901</v>
      </c>
      <c r="L1590">
        <v>1158.8800000000001</v>
      </c>
      <c r="M1590" t="s">
        <v>27</v>
      </c>
      <c r="N1590">
        <v>1</v>
      </c>
      <c r="O1590">
        <v>1281</v>
      </c>
      <c r="P1590">
        <v>1108</v>
      </c>
      <c r="Q1590">
        <v>0</v>
      </c>
      <c r="R1590">
        <v>1108</v>
      </c>
    </row>
    <row r="1591" spans="1:18" x14ac:dyDescent="0.3">
      <c r="A1591" s="5">
        <v>45967</v>
      </c>
      <c r="B1591" t="s">
        <v>2308</v>
      </c>
      <c r="C1591">
        <v>9</v>
      </c>
      <c r="D1591">
        <v>36</v>
      </c>
      <c r="E1591" s="1">
        <v>1.9993055555555554</v>
      </c>
      <c r="F1591" t="s">
        <v>2304</v>
      </c>
      <c r="G1591">
        <v>0</v>
      </c>
      <c r="H1591">
        <v>1081.2079000000001</v>
      </c>
      <c r="I1591">
        <v>2.5</v>
      </c>
      <c r="J1591">
        <v>1163.79</v>
      </c>
      <c r="K1591">
        <v>1.9580666999707901</v>
      </c>
      <c r="L1591">
        <v>1158.8800000000001</v>
      </c>
      <c r="M1591" t="s">
        <v>27</v>
      </c>
      <c r="N1591">
        <v>1</v>
      </c>
      <c r="O1591">
        <v>1281</v>
      </c>
      <c r="P1591">
        <v>1108</v>
      </c>
      <c r="Q1591">
        <v>0</v>
      </c>
      <c r="R1591">
        <v>1108</v>
      </c>
    </row>
    <row r="1592" spans="1:18" x14ac:dyDescent="0.3">
      <c r="A1592" s="5">
        <v>45967</v>
      </c>
      <c r="B1592" t="s">
        <v>2309</v>
      </c>
      <c r="C1592">
        <v>8</v>
      </c>
      <c r="D1592">
        <v>36</v>
      </c>
      <c r="E1592" s="1">
        <v>1.9993055555555554</v>
      </c>
      <c r="F1592" t="s">
        <v>2304</v>
      </c>
      <c r="G1592">
        <v>0</v>
      </c>
      <c r="H1592">
        <v>1081.2257999999999</v>
      </c>
      <c r="I1592">
        <v>2.5</v>
      </c>
      <c r="J1592">
        <v>1163.79</v>
      </c>
      <c r="K1592">
        <v>1.9580666999707901</v>
      </c>
      <c r="L1592">
        <v>1158.8800000000001</v>
      </c>
      <c r="M1592" t="s">
        <v>27</v>
      </c>
      <c r="N1592">
        <v>1</v>
      </c>
      <c r="O1592">
        <v>1281</v>
      </c>
      <c r="P1592">
        <v>1108</v>
      </c>
      <c r="Q1592">
        <v>0</v>
      </c>
      <c r="R1592">
        <v>1108</v>
      </c>
    </row>
    <row r="1593" spans="1:18" x14ac:dyDescent="0.3">
      <c r="A1593" s="5">
        <v>45967</v>
      </c>
      <c r="B1593" t="s">
        <v>2310</v>
      </c>
      <c r="C1593">
        <v>7</v>
      </c>
      <c r="D1593">
        <v>36</v>
      </c>
      <c r="E1593" s="1">
        <v>1.9993055555555554</v>
      </c>
      <c r="F1593" t="s">
        <v>2304</v>
      </c>
      <c r="G1593">
        <v>0</v>
      </c>
      <c r="H1593">
        <v>1081.2438</v>
      </c>
      <c r="I1593">
        <v>2.5</v>
      </c>
      <c r="J1593">
        <v>1163.79</v>
      </c>
      <c r="K1593">
        <v>1.9580666999707901</v>
      </c>
      <c r="L1593">
        <v>1158.8800000000001</v>
      </c>
      <c r="M1593" t="s">
        <v>27</v>
      </c>
      <c r="N1593">
        <v>1</v>
      </c>
      <c r="O1593">
        <v>1281</v>
      </c>
      <c r="P1593">
        <v>1108</v>
      </c>
      <c r="Q1593">
        <v>0</v>
      </c>
      <c r="R1593">
        <v>1108</v>
      </c>
    </row>
    <row r="1594" spans="1:18" x14ac:dyDescent="0.3">
      <c r="A1594" s="5">
        <v>45967</v>
      </c>
      <c r="B1594" t="s">
        <v>2311</v>
      </c>
      <c r="C1594">
        <v>18</v>
      </c>
      <c r="D1594">
        <v>36</v>
      </c>
      <c r="E1594" s="1">
        <v>1.9993055555555554</v>
      </c>
      <c r="F1594" t="s">
        <v>2304</v>
      </c>
      <c r="G1594">
        <v>0</v>
      </c>
      <c r="H1594">
        <v>1081.046</v>
      </c>
      <c r="I1594">
        <v>2.5</v>
      </c>
      <c r="J1594">
        <v>1163.79</v>
      </c>
      <c r="K1594">
        <v>1.9580666999707901</v>
      </c>
      <c r="L1594">
        <v>1158.8800000000001</v>
      </c>
      <c r="M1594" t="s">
        <v>27</v>
      </c>
      <c r="N1594">
        <v>1</v>
      </c>
      <c r="O1594">
        <v>1281</v>
      </c>
      <c r="P1594">
        <v>1108</v>
      </c>
      <c r="Q1594">
        <v>0</v>
      </c>
      <c r="R1594">
        <v>1108</v>
      </c>
    </row>
    <row r="1595" spans="1:18" x14ac:dyDescent="0.3">
      <c r="A1595" s="5">
        <v>45967</v>
      </c>
      <c r="B1595" t="s">
        <v>2312</v>
      </c>
      <c r="C1595">
        <v>7</v>
      </c>
      <c r="D1595">
        <v>36</v>
      </c>
      <c r="E1595" s="1">
        <v>1.9791666666666665</v>
      </c>
      <c r="F1595" t="s">
        <v>2313</v>
      </c>
      <c r="G1595">
        <v>2</v>
      </c>
      <c r="H1595">
        <v>1081.1768999999999</v>
      </c>
      <c r="I1595">
        <v>5</v>
      </c>
      <c r="J1595">
        <v>1163.79</v>
      </c>
      <c r="K1595">
        <v>3.9161333999415802</v>
      </c>
      <c r="L1595">
        <v>609.91</v>
      </c>
      <c r="M1595" t="s">
        <v>60</v>
      </c>
      <c r="N1595">
        <v>1</v>
      </c>
      <c r="O1595">
        <v>1308</v>
      </c>
      <c r="P1595">
        <v>1135</v>
      </c>
      <c r="Q1595">
        <v>0.5</v>
      </c>
      <c r="R1595">
        <v>567.5</v>
      </c>
    </row>
    <row r="1596" spans="1:18" x14ac:dyDescent="0.3">
      <c r="A1596" s="5">
        <v>45967</v>
      </c>
      <c r="B1596" t="s">
        <v>2314</v>
      </c>
      <c r="C1596">
        <v>29</v>
      </c>
      <c r="D1596">
        <v>36</v>
      </c>
      <c r="E1596" s="1">
        <v>1.9993055555555554</v>
      </c>
      <c r="F1596" t="s">
        <v>2315</v>
      </c>
      <c r="G1596">
        <v>5</v>
      </c>
      <c r="H1596">
        <v>1080.6584</v>
      </c>
      <c r="I1596">
        <v>0</v>
      </c>
      <c r="J1596">
        <v>1163.79</v>
      </c>
      <c r="K1596">
        <v>0</v>
      </c>
      <c r="L1596">
        <v>1158.8800000000001</v>
      </c>
      <c r="M1596" t="s">
        <v>27</v>
      </c>
      <c r="N1596">
        <v>1</v>
      </c>
      <c r="O1596">
        <v>1254</v>
      </c>
      <c r="P1596">
        <v>1081</v>
      </c>
      <c r="Q1596">
        <v>0</v>
      </c>
      <c r="R1596">
        <v>1081</v>
      </c>
    </row>
    <row r="1597" spans="1:18" x14ac:dyDescent="0.3">
      <c r="A1597" s="5">
        <v>45967</v>
      </c>
      <c r="B1597" t="s">
        <v>2316</v>
      </c>
      <c r="C1597">
        <v>16</v>
      </c>
      <c r="D1597">
        <v>36</v>
      </c>
      <c r="E1597" s="1">
        <v>1.0833333333333333</v>
      </c>
      <c r="F1597" t="s">
        <v>2317</v>
      </c>
      <c r="G1597">
        <v>0</v>
      </c>
      <c r="H1597">
        <v>1081.2456</v>
      </c>
      <c r="I1597">
        <v>2.5</v>
      </c>
      <c r="J1597">
        <v>1163.79</v>
      </c>
      <c r="K1597">
        <v>1.9580666999707901</v>
      </c>
      <c r="L1597">
        <v>1158.8800000000001</v>
      </c>
      <c r="M1597" t="s">
        <v>27</v>
      </c>
      <c r="N1597">
        <v>1</v>
      </c>
      <c r="O1597">
        <v>1281</v>
      </c>
      <c r="P1597">
        <v>1108</v>
      </c>
      <c r="Q1597">
        <v>0</v>
      </c>
      <c r="R1597">
        <v>1108</v>
      </c>
    </row>
    <row r="1598" spans="1:18" x14ac:dyDescent="0.3">
      <c r="A1598" s="5">
        <v>45967</v>
      </c>
      <c r="B1598" t="s">
        <v>2318</v>
      </c>
      <c r="C1598">
        <v>35</v>
      </c>
      <c r="D1598">
        <v>36</v>
      </c>
      <c r="E1598" s="1">
        <v>1.0833333333333333</v>
      </c>
      <c r="F1598" t="s">
        <v>2319</v>
      </c>
      <c r="G1598">
        <v>0</v>
      </c>
      <c r="H1598">
        <v>1080.8378</v>
      </c>
      <c r="I1598">
        <v>2.5</v>
      </c>
      <c r="J1598">
        <v>1163.79</v>
      </c>
      <c r="K1598">
        <v>1.9580666999707901</v>
      </c>
      <c r="L1598">
        <v>1158.8800000000001</v>
      </c>
      <c r="M1598" t="s">
        <v>27</v>
      </c>
      <c r="N1598">
        <v>1</v>
      </c>
      <c r="O1598">
        <v>1281</v>
      </c>
      <c r="P1598">
        <v>1108</v>
      </c>
      <c r="Q1598">
        <v>0</v>
      </c>
      <c r="R1598">
        <v>1108</v>
      </c>
    </row>
    <row r="1599" spans="1:18" x14ac:dyDescent="0.3">
      <c r="A1599" s="5">
        <v>45967</v>
      </c>
      <c r="B1599" t="s">
        <v>2320</v>
      </c>
      <c r="C1599">
        <v>34</v>
      </c>
      <c r="D1599">
        <v>36</v>
      </c>
      <c r="E1599" s="1">
        <v>1.0833333333333333</v>
      </c>
      <c r="F1599" t="s">
        <v>2321</v>
      </c>
      <c r="G1599">
        <v>3</v>
      </c>
      <c r="H1599">
        <v>1080.777</v>
      </c>
      <c r="I1599">
        <v>10</v>
      </c>
      <c r="J1599">
        <v>1163.79</v>
      </c>
      <c r="K1599">
        <v>7.8322667998831603</v>
      </c>
      <c r="L1599">
        <v>609.91</v>
      </c>
      <c r="M1599" t="s">
        <v>20</v>
      </c>
      <c r="N1599">
        <v>1</v>
      </c>
      <c r="O1599">
        <v>1362</v>
      </c>
      <c r="P1599">
        <v>1189</v>
      </c>
      <c r="Q1599">
        <v>0.5</v>
      </c>
      <c r="R1599">
        <v>594.5</v>
      </c>
    </row>
    <row r="1600" spans="1:18" x14ac:dyDescent="0.3">
      <c r="A1600" s="5">
        <v>45967</v>
      </c>
      <c r="B1600" t="s">
        <v>2322</v>
      </c>
      <c r="C1600">
        <v>33</v>
      </c>
      <c r="D1600">
        <v>36</v>
      </c>
      <c r="E1600" s="1">
        <v>1.0833333333333333</v>
      </c>
      <c r="F1600" t="s">
        <v>2323</v>
      </c>
      <c r="G1600">
        <v>3</v>
      </c>
      <c r="H1600">
        <v>1080.7950000000001</v>
      </c>
      <c r="I1600">
        <v>10</v>
      </c>
      <c r="J1600">
        <v>1163.79</v>
      </c>
      <c r="K1600">
        <v>7.8322667998831603</v>
      </c>
      <c r="L1600">
        <v>609.91</v>
      </c>
      <c r="M1600" t="s">
        <v>20</v>
      </c>
      <c r="N1600">
        <v>1</v>
      </c>
      <c r="O1600">
        <v>1362</v>
      </c>
      <c r="P1600">
        <v>1189</v>
      </c>
      <c r="Q1600">
        <v>0.5</v>
      </c>
      <c r="R1600">
        <v>594.5</v>
      </c>
    </row>
    <row r="1601" spans="1:18" x14ac:dyDescent="0.3">
      <c r="A1601" s="5">
        <v>45967</v>
      </c>
      <c r="B1601" t="s">
        <v>2324</v>
      </c>
      <c r="C1601">
        <v>31</v>
      </c>
      <c r="D1601">
        <v>36</v>
      </c>
      <c r="E1601" s="1">
        <v>1.0833333333333333</v>
      </c>
      <c r="F1601" t="s">
        <v>2325</v>
      </c>
      <c r="G1601">
        <v>4</v>
      </c>
      <c r="H1601">
        <v>1080.8309999999999</v>
      </c>
      <c r="I1601">
        <v>7</v>
      </c>
      <c r="J1601">
        <v>1163.79</v>
      </c>
      <c r="K1601">
        <v>5.4825867599182097</v>
      </c>
      <c r="L1601">
        <v>1219.83</v>
      </c>
      <c r="M1601" t="s">
        <v>27</v>
      </c>
      <c r="N1601">
        <v>1</v>
      </c>
      <c r="O1601">
        <v>1329</v>
      </c>
      <c r="P1601">
        <v>1156</v>
      </c>
      <c r="Q1601">
        <v>0</v>
      </c>
      <c r="R1601">
        <v>1156</v>
      </c>
    </row>
    <row r="1602" spans="1:18" x14ac:dyDescent="0.3">
      <c r="A1602" s="5">
        <v>45967</v>
      </c>
      <c r="B1602" t="s">
        <v>2326</v>
      </c>
      <c r="C1602">
        <v>30</v>
      </c>
      <c r="D1602">
        <v>36</v>
      </c>
      <c r="E1602" s="1">
        <v>1.0833333333333333</v>
      </c>
      <c r="F1602" t="s">
        <v>2327</v>
      </c>
      <c r="G1602">
        <v>4</v>
      </c>
      <c r="H1602">
        <v>1080.8489</v>
      </c>
      <c r="I1602">
        <v>7</v>
      </c>
      <c r="J1602">
        <v>1163.79</v>
      </c>
      <c r="K1602">
        <v>5.4825867599182097</v>
      </c>
      <c r="L1602">
        <v>1219.83</v>
      </c>
      <c r="M1602" t="s">
        <v>27</v>
      </c>
      <c r="N1602">
        <v>1</v>
      </c>
      <c r="O1602">
        <v>1329</v>
      </c>
      <c r="P1602">
        <v>1157</v>
      </c>
      <c r="Q1602">
        <v>0</v>
      </c>
      <c r="R1602">
        <v>1157</v>
      </c>
    </row>
    <row r="1603" spans="1:18" x14ac:dyDescent="0.3">
      <c r="A1603" s="5">
        <v>45967</v>
      </c>
      <c r="B1603" t="s">
        <v>2328</v>
      </c>
      <c r="C1603">
        <v>34</v>
      </c>
      <c r="D1603">
        <v>36</v>
      </c>
      <c r="E1603" s="1">
        <v>1.0833333333333333</v>
      </c>
      <c r="F1603" t="s">
        <v>2319</v>
      </c>
      <c r="G1603">
        <v>0</v>
      </c>
      <c r="H1603">
        <v>1080.8556000000001</v>
      </c>
      <c r="I1603">
        <v>2.5</v>
      </c>
      <c r="J1603">
        <v>1163.79</v>
      </c>
      <c r="K1603">
        <v>1.9580666999707901</v>
      </c>
      <c r="L1603">
        <v>1158.8800000000001</v>
      </c>
      <c r="M1603" t="s">
        <v>27</v>
      </c>
      <c r="N1603">
        <v>1</v>
      </c>
      <c r="O1603">
        <v>1281</v>
      </c>
      <c r="P1603">
        <v>1108</v>
      </c>
      <c r="Q1603">
        <v>0</v>
      </c>
      <c r="R1603">
        <v>1108</v>
      </c>
    </row>
    <row r="1604" spans="1:18" x14ac:dyDescent="0.3">
      <c r="A1604" s="5">
        <v>45967</v>
      </c>
      <c r="B1604" t="s">
        <v>2329</v>
      </c>
      <c r="C1604">
        <v>33</v>
      </c>
      <c r="D1604">
        <v>36</v>
      </c>
      <c r="E1604" s="1">
        <v>1.0833333333333333</v>
      </c>
      <c r="F1604" t="s">
        <v>2319</v>
      </c>
      <c r="G1604">
        <v>0</v>
      </c>
      <c r="H1604">
        <v>1080.8734999999999</v>
      </c>
      <c r="I1604">
        <v>2.5</v>
      </c>
      <c r="J1604">
        <v>1163.79</v>
      </c>
      <c r="K1604">
        <v>1.9580666999707901</v>
      </c>
      <c r="L1604">
        <v>609.91</v>
      </c>
      <c r="M1604" t="s">
        <v>20</v>
      </c>
      <c r="N1604">
        <v>1</v>
      </c>
      <c r="O1604">
        <v>1281</v>
      </c>
      <c r="P1604">
        <v>1108</v>
      </c>
      <c r="Q1604">
        <v>0.5</v>
      </c>
      <c r="R1604">
        <v>554</v>
      </c>
    </row>
    <row r="1605" spans="1:18" x14ac:dyDescent="0.3">
      <c r="A1605" s="5">
        <v>45967</v>
      </c>
      <c r="B1605" t="s">
        <v>2330</v>
      </c>
      <c r="C1605">
        <v>17</v>
      </c>
      <c r="D1605">
        <v>36</v>
      </c>
      <c r="E1605" s="1">
        <v>1.4583333333333333</v>
      </c>
      <c r="F1605" t="s">
        <v>2331</v>
      </c>
      <c r="G1605">
        <v>4</v>
      </c>
      <c r="H1605">
        <v>1081.277</v>
      </c>
      <c r="I1605">
        <v>7</v>
      </c>
      <c r="J1605">
        <v>1163.79</v>
      </c>
      <c r="K1605">
        <v>5.4825867599182097</v>
      </c>
      <c r="L1605">
        <v>1097.8399999999999</v>
      </c>
      <c r="M1605" t="s">
        <v>27</v>
      </c>
      <c r="N1605">
        <v>1</v>
      </c>
      <c r="O1605">
        <v>1330</v>
      </c>
      <c r="P1605">
        <v>1157</v>
      </c>
      <c r="Q1605">
        <v>0</v>
      </c>
      <c r="R1605">
        <v>1157</v>
      </c>
    </row>
    <row r="1606" spans="1:18" x14ac:dyDescent="0.3">
      <c r="A1606" s="5">
        <v>45967</v>
      </c>
      <c r="B1606" t="s">
        <v>2332</v>
      </c>
      <c r="C1606">
        <v>17</v>
      </c>
      <c r="D1606">
        <v>36</v>
      </c>
      <c r="E1606" s="1">
        <v>1.0833333333333333</v>
      </c>
      <c r="F1606" t="s">
        <v>2333</v>
      </c>
      <c r="G1606">
        <v>0</v>
      </c>
      <c r="H1606">
        <v>1081.2937999999999</v>
      </c>
      <c r="I1606">
        <v>2.5</v>
      </c>
      <c r="J1606">
        <v>1163.79</v>
      </c>
      <c r="K1606">
        <v>1.9580666999707901</v>
      </c>
      <c r="L1606">
        <v>1158.8800000000001</v>
      </c>
      <c r="M1606" t="s">
        <v>27</v>
      </c>
      <c r="N1606">
        <v>1</v>
      </c>
      <c r="O1606">
        <v>1281</v>
      </c>
      <c r="P1606">
        <v>1108</v>
      </c>
      <c r="Q1606">
        <v>0</v>
      </c>
      <c r="R1606">
        <v>1108</v>
      </c>
    </row>
    <row r="1607" spans="1:18" x14ac:dyDescent="0.3">
      <c r="A1607" s="5">
        <v>45967</v>
      </c>
      <c r="B1607" t="s">
        <v>2334</v>
      </c>
      <c r="C1607">
        <v>7</v>
      </c>
      <c r="D1607">
        <v>36</v>
      </c>
      <c r="E1607" s="1">
        <v>1.4583333333333333</v>
      </c>
      <c r="F1607" t="s">
        <v>2335</v>
      </c>
      <c r="G1607">
        <v>0</v>
      </c>
      <c r="H1607">
        <v>1081.4684999999999</v>
      </c>
      <c r="I1607">
        <v>2.5</v>
      </c>
      <c r="J1607">
        <v>1163.79</v>
      </c>
      <c r="K1607">
        <v>1.9580666999707901</v>
      </c>
      <c r="L1607">
        <v>1158.8800000000001</v>
      </c>
      <c r="M1607" t="s">
        <v>27</v>
      </c>
      <c r="N1607">
        <v>1</v>
      </c>
      <c r="O1607">
        <v>1282</v>
      </c>
      <c r="P1607">
        <v>1109</v>
      </c>
      <c r="Q1607">
        <v>0</v>
      </c>
      <c r="R1607">
        <v>1109</v>
      </c>
    </row>
    <row r="1608" spans="1:18" x14ac:dyDescent="0.3">
      <c r="A1608" s="5">
        <v>45967</v>
      </c>
      <c r="B1608" t="s">
        <v>2336</v>
      </c>
      <c r="C1608">
        <v>17</v>
      </c>
      <c r="D1608">
        <v>36</v>
      </c>
      <c r="E1608" s="1">
        <v>1.25</v>
      </c>
      <c r="F1608" t="s">
        <v>2337</v>
      </c>
      <c r="G1608">
        <v>0</v>
      </c>
      <c r="H1608">
        <v>1081.2909999999999</v>
      </c>
      <c r="I1608">
        <v>2.5</v>
      </c>
      <c r="J1608">
        <v>1163.79</v>
      </c>
      <c r="K1608">
        <v>1.9580666999707901</v>
      </c>
      <c r="L1608">
        <v>1158.8800000000001</v>
      </c>
      <c r="M1608" t="s">
        <v>27</v>
      </c>
      <c r="N1608">
        <v>1</v>
      </c>
      <c r="O1608">
        <v>1281</v>
      </c>
      <c r="P1608">
        <v>1108</v>
      </c>
      <c r="Q1608">
        <v>0</v>
      </c>
      <c r="R1608">
        <v>1108</v>
      </c>
    </row>
    <row r="1609" spans="1:18" x14ac:dyDescent="0.3">
      <c r="A1609" s="5">
        <v>45967</v>
      </c>
      <c r="B1609" t="s">
        <v>2338</v>
      </c>
      <c r="C1609">
        <v>20</v>
      </c>
      <c r="D1609">
        <v>36</v>
      </c>
      <c r="E1609" s="1">
        <v>1.4583333333333333</v>
      </c>
      <c r="F1609" t="s">
        <v>2339</v>
      </c>
      <c r="G1609">
        <v>4</v>
      </c>
      <c r="H1609">
        <v>1081.386</v>
      </c>
      <c r="I1609">
        <v>7</v>
      </c>
      <c r="J1609">
        <v>1163.79</v>
      </c>
      <c r="K1609">
        <v>5.4825867599182097</v>
      </c>
      <c r="L1609">
        <v>1097.8399999999999</v>
      </c>
      <c r="M1609" t="s">
        <v>27</v>
      </c>
      <c r="N1609">
        <v>1</v>
      </c>
      <c r="O1609">
        <v>1330</v>
      </c>
      <c r="P1609">
        <v>1157</v>
      </c>
      <c r="Q1609">
        <v>0</v>
      </c>
      <c r="R1609">
        <v>1157</v>
      </c>
    </row>
    <row r="1610" spans="1:18" x14ac:dyDescent="0.3">
      <c r="A1610" s="5">
        <v>45967</v>
      </c>
      <c r="B1610" t="s">
        <v>2338</v>
      </c>
      <c r="C1610">
        <v>20</v>
      </c>
      <c r="D1610">
        <v>36</v>
      </c>
      <c r="E1610" s="1">
        <v>1.4583333333333333</v>
      </c>
      <c r="F1610" t="s">
        <v>2339</v>
      </c>
      <c r="G1610">
        <v>4</v>
      </c>
      <c r="H1610">
        <v>1081.386</v>
      </c>
      <c r="I1610">
        <v>7</v>
      </c>
      <c r="J1610">
        <v>1163.79</v>
      </c>
      <c r="K1610">
        <v>5.4825867599182097</v>
      </c>
      <c r="L1610">
        <v>1097.8399999999999</v>
      </c>
      <c r="M1610" t="s">
        <v>27</v>
      </c>
      <c r="N1610">
        <v>1</v>
      </c>
      <c r="O1610">
        <v>1330</v>
      </c>
      <c r="P1610">
        <v>1157</v>
      </c>
      <c r="Q1610">
        <v>0</v>
      </c>
      <c r="R1610">
        <v>1157</v>
      </c>
    </row>
    <row r="1611" spans="1:18" x14ac:dyDescent="0.3">
      <c r="A1611" s="5">
        <v>45967</v>
      </c>
      <c r="B1611" t="s">
        <v>2340</v>
      </c>
      <c r="C1611">
        <v>19</v>
      </c>
      <c r="D1611">
        <v>36</v>
      </c>
      <c r="E1611" s="1">
        <v>1.4583333333333333</v>
      </c>
      <c r="F1611" t="s">
        <v>2339</v>
      </c>
      <c r="G1611">
        <v>4</v>
      </c>
      <c r="H1611">
        <v>1081.404</v>
      </c>
      <c r="I1611">
        <v>7</v>
      </c>
      <c r="J1611">
        <v>1163.79</v>
      </c>
      <c r="K1611">
        <v>5.4825867599182097</v>
      </c>
      <c r="L1611">
        <v>1097.8399999999999</v>
      </c>
      <c r="M1611" t="s">
        <v>27</v>
      </c>
      <c r="N1611">
        <v>1</v>
      </c>
      <c r="O1611">
        <v>1330</v>
      </c>
      <c r="P1611">
        <v>1157</v>
      </c>
      <c r="Q1611">
        <v>0</v>
      </c>
      <c r="R1611">
        <v>1157</v>
      </c>
    </row>
    <row r="1612" spans="1:18" x14ac:dyDescent="0.3">
      <c r="A1612" s="5">
        <v>45967</v>
      </c>
      <c r="B1612" t="s">
        <v>2340</v>
      </c>
      <c r="C1612">
        <v>19</v>
      </c>
      <c r="D1612">
        <v>36</v>
      </c>
      <c r="E1612" s="1">
        <v>1.4583333333333333</v>
      </c>
      <c r="F1612" t="s">
        <v>2339</v>
      </c>
      <c r="G1612">
        <v>4</v>
      </c>
      <c r="H1612">
        <v>1081.404</v>
      </c>
      <c r="I1612">
        <v>7</v>
      </c>
      <c r="J1612">
        <v>1163.79</v>
      </c>
      <c r="K1612">
        <v>5.4825867599182097</v>
      </c>
      <c r="L1612">
        <v>1097.8399999999999</v>
      </c>
      <c r="M1612" t="s">
        <v>27</v>
      </c>
      <c r="N1612">
        <v>1</v>
      </c>
      <c r="O1612">
        <v>1330</v>
      </c>
      <c r="P1612">
        <v>1157</v>
      </c>
      <c r="Q1612">
        <v>0</v>
      </c>
      <c r="R1612">
        <v>1157</v>
      </c>
    </row>
    <row r="1613" spans="1:18" x14ac:dyDescent="0.3">
      <c r="A1613" s="5">
        <v>45967</v>
      </c>
      <c r="B1613" t="s">
        <v>2341</v>
      </c>
      <c r="C1613">
        <v>7</v>
      </c>
      <c r="D1613">
        <v>36</v>
      </c>
      <c r="E1613" s="1">
        <v>1.4583333333333333</v>
      </c>
      <c r="F1613" t="s">
        <v>2342</v>
      </c>
      <c r="G1613">
        <v>3</v>
      </c>
      <c r="H1613">
        <v>1081.607</v>
      </c>
      <c r="I1613">
        <v>10</v>
      </c>
      <c r="J1613">
        <v>1163.79</v>
      </c>
      <c r="K1613">
        <v>7.8322667998831603</v>
      </c>
      <c r="L1613">
        <v>609.91</v>
      </c>
      <c r="M1613" t="s">
        <v>20</v>
      </c>
      <c r="N1613">
        <v>1</v>
      </c>
      <c r="O1613">
        <v>1363</v>
      </c>
      <c r="P1613">
        <v>1190</v>
      </c>
      <c r="Q1613">
        <v>0.5</v>
      </c>
      <c r="R1613">
        <v>595</v>
      </c>
    </row>
    <row r="1614" spans="1:18" x14ac:dyDescent="0.3">
      <c r="A1614" s="5">
        <v>45967</v>
      </c>
      <c r="B1614" t="s">
        <v>2343</v>
      </c>
      <c r="C1614">
        <v>4</v>
      </c>
      <c r="D1614">
        <v>36</v>
      </c>
      <c r="E1614" s="1">
        <v>1.0833333333333333</v>
      </c>
      <c r="F1614" t="s">
        <v>2344</v>
      </c>
      <c r="G1614">
        <v>2</v>
      </c>
      <c r="H1614">
        <v>1081.3942999999999</v>
      </c>
      <c r="I1614">
        <v>5</v>
      </c>
      <c r="J1614">
        <v>1163.79</v>
      </c>
      <c r="K1614">
        <v>3.9161333999415802</v>
      </c>
      <c r="L1614">
        <v>609.91</v>
      </c>
      <c r="M1614" t="s">
        <v>60</v>
      </c>
      <c r="N1614">
        <v>1</v>
      </c>
      <c r="O1614">
        <v>1308</v>
      </c>
      <c r="P1614">
        <v>1135</v>
      </c>
      <c r="Q1614">
        <v>0.5</v>
      </c>
      <c r="R1614">
        <v>567.5</v>
      </c>
    </row>
    <row r="1615" spans="1:18" x14ac:dyDescent="0.3">
      <c r="A1615" s="5">
        <v>45967</v>
      </c>
      <c r="B1615" t="s">
        <v>2345</v>
      </c>
      <c r="C1615">
        <v>18</v>
      </c>
      <c r="D1615">
        <v>36</v>
      </c>
      <c r="E1615" s="1">
        <v>1.0833333333333333</v>
      </c>
      <c r="F1615" t="s">
        <v>2346</v>
      </c>
      <c r="G1615">
        <v>0</v>
      </c>
      <c r="H1615">
        <v>1081.2081000000001</v>
      </c>
      <c r="I1615">
        <v>2.5</v>
      </c>
      <c r="J1615">
        <v>1163.79</v>
      </c>
      <c r="K1615">
        <v>1.9580666999707901</v>
      </c>
      <c r="L1615">
        <v>1158.8800000000001</v>
      </c>
      <c r="M1615" t="s">
        <v>27</v>
      </c>
      <c r="N1615">
        <v>1</v>
      </c>
      <c r="O1615">
        <v>1281</v>
      </c>
      <c r="P1615">
        <v>1108</v>
      </c>
      <c r="Q1615">
        <v>0</v>
      </c>
      <c r="R1615">
        <v>1108</v>
      </c>
    </row>
    <row r="1616" spans="1:18" x14ac:dyDescent="0.3">
      <c r="A1616" s="5">
        <v>45967</v>
      </c>
      <c r="B1616" t="s">
        <v>2347</v>
      </c>
      <c r="C1616">
        <v>7</v>
      </c>
      <c r="D1616">
        <v>36</v>
      </c>
      <c r="E1616" s="1">
        <v>1.25</v>
      </c>
      <c r="F1616" t="s">
        <v>2348</v>
      </c>
      <c r="G1616">
        <v>4</v>
      </c>
      <c r="H1616">
        <v>1080.9121</v>
      </c>
      <c r="I1616">
        <v>7</v>
      </c>
      <c r="J1616">
        <v>1163.79</v>
      </c>
      <c r="K1616">
        <v>5.4825867599182097</v>
      </c>
      <c r="L1616">
        <v>1219.83</v>
      </c>
      <c r="M1616" t="s">
        <v>27</v>
      </c>
      <c r="N1616">
        <v>1</v>
      </c>
      <c r="O1616">
        <v>1330</v>
      </c>
      <c r="P1616">
        <v>1157</v>
      </c>
      <c r="Q1616">
        <v>0</v>
      </c>
      <c r="R1616">
        <v>1157</v>
      </c>
    </row>
    <row r="1617" spans="1:18" x14ac:dyDescent="0.3">
      <c r="A1617" s="5">
        <v>45967</v>
      </c>
      <c r="B1617" t="s">
        <v>2349</v>
      </c>
      <c r="C1617">
        <v>8</v>
      </c>
      <c r="D1617">
        <v>36</v>
      </c>
      <c r="E1617" s="1">
        <v>1.25</v>
      </c>
      <c r="F1617" t="s">
        <v>2348</v>
      </c>
      <c r="G1617">
        <v>4</v>
      </c>
      <c r="H1617">
        <v>1080.8939</v>
      </c>
      <c r="I1617">
        <v>7</v>
      </c>
      <c r="J1617">
        <v>1163.79</v>
      </c>
      <c r="K1617">
        <v>5.4825867599182097</v>
      </c>
      <c r="L1617">
        <v>1219.83</v>
      </c>
      <c r="M1617" t="s">
        <v>27</v>
      </c>
      <c r="N1617">
        <v>1</v>
      </c>
      <c r="O1617">
        <v>1329</v>
      </c>
      <c r="P1617">
        <v>1157</v>
      </c>
      <c r="Q1617">
        <v>0</v>
      </c>
      <c r="R1617">
        <v>1157</v>
      </c>
    </row>
    <row r="1618" spans="1:18" x14ac:dyDescent="0.3">
      <c r="A1618" s="5">
        <v>45967</v>
      </c>
      <c r="B1618" t="s">
        <v>2350</v>
      </c>
      <c r="C1618">
        <v>9</v>
      </c>
      <c r="D1618">
        <v>36</v>
      </c>
      <c r="E1618" s="1">
        <v>1.25</v>
      </c>
      <c r="F1618" t="s">
        <v>2348</v>
      </c>
      <c r="G1618">
        <v>4</v>
      </c>
      <c r="H1618">
        <v>1080.8761</v>
      </c>
      <c r="I1618">
        <v>7</v>
      </c>
      <c r="J1618">
        <v>1163.79</v>
      </c>
      <c r="K1618">
        <v>5.4825867599182097</v>
      </c>
      <c r="L1618">
        <v>1219.83</v>
      </c>
      <c r="M1618" t="s">
        <v>27</v>
      </c>
      <c r="N1618">
        <v>1</v>
      </c>
      <c r="O1618">
        <v>1329</v>
      </c>
      <c r="P1618">
        <v>1157</v>
      </c>
      <c r="Q1618">
        <v>0</v>
      </c>
      <c r="R1618">
        <v>1157</v>
      </c>
    </row>
    <row r="1619" spans="1:18" x14ac:dyDescent="0.3">
      <c r="A1619" s="5">
        <v>45967</v>
      </c>
      <c r="B1619" t="s">
        <v>2351</v>
      </c>
      <c r="C1619">
        <v>20</v>
      </c>
      <c r="D1619">
        <v>36</v>
      </c>
      <c r="E1619" s="1">
        <v>1.9652777777777777</v>
      </c>
      <c r="F1619" t="s">
        <v>2352</v>
      </c>
      <c r="G1619">
        <v>4</v>
      </c>
      <c r="H1619">
        <v>1080.9503</v>
      </c>
      <c r="I1619">
        <v>7</v>
      </c>
      <c r="J1619">
        <v>1163.79</v>
      </c>
      <c r="K1619">
        <v>5.4825867599182097</v>
      </c>
      <c r="L1619">
        <v>1158.8800000000001</v>
      </c>
      <c r="M1619" t="s">
        <v>27</v>
      </c>
      <c r="N1619">
        <v>1</v>
      </c>
      <c r="O1619">
        <v>1330</v>
      </c>
      <c r="P1619">
        <v>1157</v>
      </c>
      <c r="Q1619">
        <v>0</v>
      </c>
      <c r="R1619">
        <v>1157</v>
      </c>
    </row>
    <row r="1620" spans="1:18" x14ac:dyDescent="0.3">
      <c r="A1620" s="5">
        <v>45967</v>
      </c>
      <c r="B1620" t="s">
        <v>2353</v>
      </c>
      <c r="C1620">
        <v>19</v>
      </c>
      <c r="D1620">
        <v>36</v>
      </c>
      <c r="E1620" s="1">
        <v>1.9652777777777777</v>
      </c>
      <c r="F1620" t="s">
        <v>2352</v>
      </c>
      <c r="G1620">
        <v>4</v>
      </c>
      <c r="H1620">
        <v>1080.9684</v>
      </c>
      <c r="I1620">
        <v>7</v>
      </c>
      <c r="J1620">
        <v>1163.79</v>
      </c>
      <c r="K1620">
        <v>5.4825867599182097</v>
      </c>
      <c r="L1620">
        <v>1158.8800000000001</v>
      </c>
      <c r="M1620" t="s">
        <v>27</v>
      </c>
      <c r="N1620">
        <v>1</v>
      </c>
      <c r="O1620">
        <v>1330</v>
      </c>
      <c r="P1620">
        <v>1157</v>
      </c>
      <c r="Q1620">
        <v>0</v>
      </c>
      <c r="R1620">
        <v>1157</v>
      </c>
    </row>
    <row r="1621" spans="1:18" x14ac:dyDescent="0.3">
      <c r="A1621" s="5">
        <v>45967</v>
      </c>
      <c r="B1621" t="s">
        <v>2354</v>
      </c>
      <c r="C1621">
        <v>14</v>
      </c>
      <c r="D1621">
        <v>36</v>
      </c>
      <c r="E1621" s="1">
        <v>1.9652777777777777</v>
      </c>
      <c r="F1621" t="s">
        <v>2352</v>
      </c>
      <c r="G1621">
        <v>4</v>
      </c>
      <c r="H1621">
        <v>1081.0585000000001</v>
      </c>
      <c r="I1621">
        <v>7</v>
      </c>
      <c r="J1621">
        <v>1163.79</v>
      </c>
      <c r="K1621">
        <v>5.4825867599182097</v>
      </c>
      <c r="L1621">
        <v>1158.8800000000001</v>
      </c>
      <c r="M1621" t="s">
        <v>27</v>
      </c>
      <c r="N1621">
        <v>1</v>
      </c>
      <c r="O1621">
        <v>1330</v>
      </c>
      <c r="P1621">
        <v>1157</v>
      </c>
      <c r="Q1621">
        <v>0</v>
      </c>
      <c r="R1621">
        <v>1157</v>
      </c>
    </row>
    <row r="1622" spans="1:18" x14ac:dyDescent="0.3">
      <c r="A1622" s="5">
        <v>45967</v>
      </c>
      <c r="B1622" t="s">
        <v>2355</v>
      </c>
      <c r="C1622">
        <v>9</v>
      </c>
      <c r="D1622">
        <v>36</v>
      </c>
      <c r="E1622" s="1">
        <v>1.9993055555555554</v>
      </c>
      <c r="F1622" t="s">
        <v>2356</v>
      </c>
      <c r="G1622">
        <v>3</v>
      </c>
      <c r="H1622">
        <v>1081.1424999999999</v>
      </c>
      <c r="I1622">
        <v>10</v>
      </c>
      <c r="J1622">
        <v>1163.79</v>
      </c>
      <c r="K1622">
        <v>7.8322667998831603</v>
      </c>
      <c r="L1622">
        <v>609.91</v>
      </c>
      <c r="M1622" t="s">
        <v>20</v>
      </c>
      <c r="N1622">
        <v>1</v>
      </c>
      <c r="O1622">
        <v>1362</v>
      </c>
      <c r="P1622">
        <v>1189</v>
      </c>
      <c r="Q1622">
        <v>0.5</v>
      </c>
      <c r="R1622">
        <v>594.5</v>
      </c>
    </row>
    <row r="1623" spans="1:18" x14ac:dyDescent="0.3">
      <c r="A1623" s="5">
        <v>45967</v>
      </c>
      <c r="B1623" t="s">
        <v>2357</v>
      </c>
      <c r="C1623">
        <v>1</v>
      </c>
      <c r="D1623">
        <v>36</v>
      </c>
      <c r="E1623" s="1">
        <v>1.25</v>
      </c>
      <c r="F1623" t="s">
        <v>2358</v>
      </c>
      <c r="G1623">
        <v>4</v>
      </c>
      <c r="H1623">
        <v>1081.5117</v>
      </c>
      <c r="I1623">
        <v>7</v>
      </c>
      <c r="J1623">
        <v>1163.79</v>
      </c>
      <c r="K1623">
        <v>5.4825867599182097</v>
      </c>
      <c r="L1623">
        <v>1097.8399999999999</v>
      </c>
      <c r="M1623" t="s">
        <v>27</v>
      </c>
      <c r="N1623">
        <v>1</v>
      </c>
      <c r="O1623">
        <v>1330</v>
      </c>
      <c r="P1623">
        <v>1157</v>
      </c>
      <c r="Q1623">
        <v>0</v>
      </c>
      <c r="R1623">
        <v>1157</v>
      </c>
    </row>
    <row r="1624" spans="1:18" x14ac:dyDescent="0.3">
      <c r="A1624" s="5">
        <v>45967</v>
      </c>
      <c r="B1624" t="s">
        <v>2359</v>
      </c>
      <c r="C1624">
        <v>12</v>
      </c>
      <c r="D1624">
        <v>36</v>
      </c>
      <c r="E1624" s="1">
        <v>1.9993055555555554</v>
      </c>
      <c r="F1624" t="s">
        <v>2360</v>
      </c>
      <c r="G1624">
        <v>5</v>
      </c>
      <c r="H1624">
        <v>1081.0942</v>
      </c>
      <c r="I1624">
        <v>0</v>
      </c>
      <c r="J1624">
        <v>1163.79</v>
      </c>
      <c r="K1624">
        <v>0</v>
      </c>
      <c r="L1624">
        <v>1158.8800000000001</v>
      </c>
      <c r="M1624" t="s">
        <v>27</v>
      </c>
      <c r="N1624">
        <v>1</v>
      </c>
      <c r="O1624">
        <v>1254</v>
      </c>
      <c r="P1624">
        <v>1081</v>
      </c>
      <c r="Q1624">
        <v>0</v>
      </c>
      <c r="R1624">
        <v>1081</v>
      </c>
    </row>
    <row r="1625" spans="1:18" x14ac:dyDescent="0.3">
      <c r="A1625" s="5">
        <v>45967</v>
      </c>
      <c r="B1625" t="s">
        <v>2361</v>
      </c>
      <c r="C1625">
        <v>8</v>
      </c>
      <c r="D1625">
        <v>36</v>
      </c>
      <c r="E1625" s="1">
        <v>1.9652777777777777</v>
      </c>
      <c r="F1625" t="s">
        <v>2362</v>
      </c>
      <c r="G1625">
        <v>5</v>
      </c>
      <c r="H1625">
        <v>1081.1660999999999</v>
      </c>
      <c r="I1625">
        <v>0</v>
      </c>
      <c r="J1625">
        <v>1163.79</v>
      </c>
      <c r="K1625">
        <v>0</v>
      </c>
      <c r="L1625">
        <v>1158.8800000000001</v>
      </c>
      <c r="M1625" t="s">
        <v>27</v>
      </c>
      <c r="N1625">
        <v>1</v>
      </c>
      <c r="O1625">
        <v>1254</v>
      </c>
      <c r="P1625">
        <v>1081</v>
      </c>
      <c r="Q1625">
        <v>0</v>
      </c>
      <c r="R1625">
        <v>1081</v>
      </c>
    </row>
    <row r="1626" spans="1:18" x14ac:dyDescent="0.3">
      <c r="A1626" s="5">
        <v>45967</v>
      </c>
      <c r="B1626" t="s">
        <v>2363</v>
      </c>
      <c r="C1626">
        <v>9</v>
      </c>
      <c r="D1626">
        <v>36</v>
      </c>
      <c r="E1626" s="1">
        <v>1.9652777777777777</v>
      </c>
      <c r="F1626" t="s">
        <v>2364</v>
      </c>
      <c r="G1626">
        <v>5</v>
      </c>
      <c r="H1626">
        <v>1081.1481000000001</v>
      </c>
      <c r="I1626">
        <v>0</v>
      </c>
      <c r="J1626">
        <v>1163.79</v>
      </c>
      <c r="K1626">
        <v>0</v>
      </c>
      <c r="L1626">
        <v>1158.8800000000001</v>
      </c>
      <c r="M1626" t="s">
        <v>27</v>
      </c>
      <c r="N1626">
        <v>1</v>
      </c>
      <c r="O1626">
        <v>1254</v>
      </c>
      <c r="P1626">
        <v>1081</v>
      </c>
      <c r="Q1626">
        <v>0</v>
      </c>
      <c r="R1626">
        <v>1081</v>
      </c>
    </row>
    <row r="1627" spans="1:18" x14ac:dyDescent="0.3">
      <c r="A1627" s="5">
        <v>45967</v>
      </c>
      <c r="B1627" t="s">
        <v>2365</v>
      </c>
      <c r="C1627">
        <v>11</v>
      </c>
      <c r="D1627">
        <v>36</v>
      </c>
      <c r="E1627" s="1">
        <v>1.9993055555555554</v>
      </c>
      <c r="F1627" t="s">
        <v>2360</v>
      </c>
      <c r="G1627">
        <v>5</v>
      </c>
      <c r="H1627">
        <v>1081.1122</v>
      </c>
      <c r="I1627">
        <v>0</v>
      </c>
      <c r="J1627">
        <v>1163.79</v>
      </c>
      <c r="K1627">
        <v>0</v>
      </c>
      <c r="L1627">
        <v>1158.8800000000001</v>
      </c>
      <c r="M1627" t="s">
        <v>27</v>
      </c>
      <c r="N1627">
        <v>1</v>
      </c>
      <c r="O1627">
        <v>1254</v>
      </c>
      <c r="P1627">
        <v>1081</v>
      </c>
      <c r="Q1627">
        <v>0</v>
      </c>
      <c r="R1627">
        <v>1081</v>
      </c>
    </row>
    <row r="1628" spans="1:18" x14ac:dyDescent="0.3">
      <c r="A1628" s="5">
        <v>45967</v>
      </c>
      <c r="B1628" t="s">
        <v>2366</v>
      </c>
      <c r="C1628">
        <v>19</v>
      </c>
      <c r="D1628">
        <v>36</v>
      </c>
      <c r="E1628" s="1">
        <v>1.9993055555555554</v>
      </c>
      <c r="F1628" t="s">
        <v>2360</v>
      </c>
      <c r="G1628">
        <v>5</v>
      </c>
      <c r="H1628">
        <v>1080.9684</v>
      </c>
      <c r="I1628">
        <v>0</v>
      </c>
      <c r="J1628">
        <v>1163.79</v>
      </c>
      <c r="K1628">
        <v>0</v>
      </c>
      <c r="L1628">
        <v>1158.8800000000001</v>
      </c>
      <c r="M1628" t="s">
        <v>27</v>
      </c>
      <c r="N1628">
        <v>1</v>
      </c>
      <c r="O1628">
        <v>1254</v>
      </c>
      <c r="P1628">
        <v>1081</v>
      </c>
      <c r="Q1628">
        <v>0</v>
      </c>
      <c r="R1628">
        <v>1081</v>
      </c>
    </row>
    <row r="1629" spans="1:18" x14ac:dyDescent="0.3">
      <c r="A1629" s="5">
        <v>45967</v>
      </c>
      <c r="B1629" t="s">
        <v>2367</v>
      </c>
      <c r="C1629">
        <v>27</v>
      </c>
      <c r="D1629">
        <v>35</v>
      </c>
      <c r="E1629" s="1">
        <v>1.9791666666666665</v>
      </c>
      <c r="F1629" t="s">
        <v>2368</v>
      </c>
      <c r="G1629">
        <v>1</v>
      </c>
      <c r="H1629">
        <v>1080.6995999999999</v>
      </c>
      <c r="I1629">
        <v>8.5</v>
      </c>
      <c r="J1629">
        <v>1163.79</v>
      </c>
      <c r="K1629">
        <v>6.6574267799006801</v>
      </c>
      <c r="L1629">
        <v>1219.83</v>
      </c>
      <c r="M1629" t="s">
        <v>27</v>
      </c>
      <c r="N1629">
        <v>1</v>
      </c>
      <c r="O1629">
        <v>1345</v>
      </c>
      <c r="P1629">
        <v>1173</v>
      </c>
      <c r="Q1629">
        <v>0</v>
      </c>
      <c r="R1629">
        <v>1173</v>
      </c>
    </row>
    <row r="1630" spans="1:18" x14ac:dyDescent="0.3">
      <c r="A1630" s="5">
        <v>45967</v>
      </c>
      <c r="B1630" t="s">
        <v>2369</v>
      </c>
      <c r="C1630">
        <v>24</v>
      </c>
      <c r="D1630">
        <v>35</v>
      </c>
      <c r="E1630" s="1">
        <v>1.9791666666666665</v>
      </c>
      <c r="F1630" t="s">
        <v>2370</v>
      </c>
      <c r="G1630">
        <v>5</v>
      </c>
      <c r="H1630">
        <v>1080.7454</v>
      </c>
      <c r="I1630">
        <v>0</v>
      </c>
      <c r="J1630">
        <v>1163.79</v>
      </c>
      <c r="K1630">
        <v>0</v>
      </c>
      <c r="L1630">
        <v>1158.8800000000001</v>
      </c>
      <c r="M1630" t="s">
        <v>27</v>
      </c>
      <c r="N1630">
        <v>1</v>
      </c>
      <c r="O1630">
        <v>1254</v>
      </c>
      <c r="P1630">
        <v>1081</v>
      </c>
      <c r="Q1630">
        <v>0</v>
      </c>
      <c r="R1630">
        <v>1081</v>
      </c>
    </row>
    <row r="1631" spans="1:18" x14ac:dyDescent="0.3">
      <c r="A1631" s="5">
        <v>45967</v>
      </c>
      <c r="B1631" t="s">
        <v>2371</v>
      </c>
      <c r="C1631">
        <v>32</v>
      </c>
      <c r="D1631">
        <v>36</v>
      </c>
      <c r="E1631" s="1">
        <v>1.9993055555555554</v>
      </c>
      <c r="F1631" t="s">
        <v>2372</v>
      </c>
      <c r="G1631">
        <v>5</v>
      </c>
      <c r="H1631">
        <v>1080.6014</v>
      </c>
      <c r="I1631">
        <v>0</v>
      </c>
      <c r="J1631">
        <v>1163.79</v>
      </c>
      <c r="K1631">
        <v>0</v>
      </c>
      <c r="L1631">
        <v>1158.8800000000001</v>
      </c>
      <c r="M1631" t="s">
        <v>27</v>
      </c>
      <c r="N1631">
        <v>1</v>
      </c>
      <c r="O1631">
        <v>1253</v>
      </c>
      <c r="P1631">
        <v>1081</v>
      </c>
      <c r="Q1631">
        <v>0</v>
      </c>
      <c r="R1631">
        <v>1081</v>
      </c>
    </row>
    <row r="1632" spans="1:18" x14ac:dyDescent="0.3">
      <c r="A1632" s="5">
        <v>45967</v>
      </c>
      <c r="B1632" t="s">
        <v>2373</v>
      </c>
      <c r="C1632">
        <v>15</v>
      </c>
      <c r="D1632">
        <v>35</v>
      </c>
      <c r="E1632" s="1">
        <v>1.9791666666666665</v>
      </c>
      <c r="F1632" t="s">
        <v>2374</v>
      </c>
      <c r="G1632">
        <v>5</v>
      </c>
      <c r="H1632">
        <v>1081.0393999999999</v>
      </c>
      <c r="I1632">
        <v>0</v>
      </c>
      <c r="J1632">
        <v>1163.79</v>
      </c>
      <c r="K1632">
        <v>0</v>
      </c>
      <c r="L1632">
        <v>1158.8800000000001</v>
      </c>
      <c r="M1632" t="s">
        <v>27</v>
      </c>
      <c r="N1632">
        <v>1</v>
      </c>
      <c r="O1632">
        <v>1254</v>
      </c>
      <c r="P1632">
        <v>1081</v>
      </c>
      <c r="Q1632">
        <v>0</v>
      </c>
      <c r="R1632">
        <v>1081</v>
      </c>
    </row>
    <row r="1633" spans="1:18" x14ac:dyDescent="0.3">
      <c r="A1633" s="5">
        <v>45967</v>
      </c>
      <c r="B1633" t="s">
        <v>2375</v>
      </c>
      <c r="C1633">
        <v>10</v>
      </c>
      <c r="D1633">
        <v>36</v>
      </c>
      <c r="E1633" s="1">
        <v>1.9993055555555554</v>
      </c>
      <c r="F1633" t="s">
        <v>2376</v>
      </c>
      <c r="G1633">
        <v>2</v>
      </c>
      <c r="H1633">
        <v>1081.2702999999999</v>
      </c>
      <c r="I1633">
        <v>5</v>
      </c>
      <c r="J1633">
        <v>1163.79</v>
      </c>
      <c r="K1633">
        <v>3.9161333999415802</v>
      </c>
      <c r="L1633">
        <v>609.91</v>
      </c>
      <c r="M1633" t="s">
        <v>60</v>
      </c>
      <c r="N1633">
        <v>1</v>
      </c>
      <c r="O1633">
        <v>1308</v>
      </c>
      <c r="P1633">
        <v>1135</v>
      </c>
      <c r="Q1633">
        <v>0.5</v>
      </c>
      <c r="R1633">
        <v>567.5</v>
      </c>
    </row>
    <row r="1634" spans="1:18" x14ac:dyDescent="0.3">
      <c r="A1634" s="5">
        <v>45967</v>
      </c>
      <c r="B1634" t="s">
        <v>2377</v>
      </c>
      <c r="C1634">
        <v>11</v>
      </c>
      <c r="D1634">
        <v>35</v>
      </c>
      <c r="E1634" s="1">
        <v>1.9791666666666665</v>
      </c>
      <c r="F1634" t="s">
        <v>2378</v>
      </c>
      <c r="G1634">
        <v>4</v>
      </c>
      <c r="H1634">
        <v>1081.1105</v>
      </c>
      <c r="I1634">
        <v>7</v>
      </c>
      <c r="J1634">
        <v>1163.79</v>
      </c>
      <c r="K1634">
        <v>5.4825867599182097</v>
      </c>
      <c r="L1634">
        <v>1158.8800000000001</v>
      </c>
      <c r="M1634" t="s">
        <v>27</v>
      </c>
      <c r="N1634">
        <v>1</v>
      </c>
      <c r="O1634">
        <v>1330</v>
      </c>
      <c r="P1634">
        <v>1157</v>
      </c>
      <c r="Q1634">
        <v>0</v>
      </c>
      <c r="R1634">
        <v>1157</v>
      </c>
    </row>
    <row r="1635" spans="1:18" x14ac:dyDescent="0.3">
      <c r="A1635" s="5">
        <v>45967</v>
      </c>
      <c r="B1635" t="s">
        <v>2379</v>
      </c>
      <c r="C1635">
        <v>13</v>
      </c>
      <c r="D1635">
        <v>36</v>
      </c>
      <c r="E1635" s="1">
        <v>1.0833333333333333</v>
      </c>
      <c r="F1635" t="s">
        <v>2380</v>
      </c>
      <c r="G1635">
        <v>0</v>
      </c>
      <c r="H1635">
        <v>1081.3626999999999</v>
      </c>
      <c r="I1635">
        <v>2.5</v>
      </c>
      <c r="J1635">
        <v>1163.79</v>
      </c>
      <c r="K1635">
        <v>1.9580666999707901</v>
      </c>
      <c r="L1635">
        <v>1097.8399999999999</v>
      </c>
      <c r="M1635" t="s">
        <v>27</v>
      </c>
      <c r="N1635">
        <v>1</v>
      </c>
      <c r="O1635">
        <v>1281</v>
      </c>
      <c r="P1635">
        <v>1108</v>
      </c>
      <c r="Q1635">
        <v>0</v>
      </c>
      <c r="R1635">
        <v>1108</v>
      </c>
    </row>
    <row r="1636" spans="1:18" x14ac:dyDescent="0.3">
      <c r="A1636" s="5">
        <v>45967</v>
      </c>
      <c r="B1636" t="s">
        <v>2379</v>
      </c>
      <c r="C1636">
        <v>13</v>
      </c>
      <c r="D1636">
        <v>36</v>
      </c>
      <c r="E1636" s="1">
        <v>1.0833333333333333</v>
      </c>
      <c r="F1636" t="s">
        <v>2380</v>
      </c>
      <c r="G1636">
        <v>0</v>
      </c>
      <c r="H1636">
        <v>1081.3626999999999</v>
      </c>
      <c r="I1636">
        <v>2.5</v>
      </c>
      <c r="J1636">
        <v>1163.79</v>
      </c>
      <c r="K1636">
        <v>1.9580666999707901</v>
      </c>
      <c r="L1636">
        <v>1097.8399999999999</v>
      </c>
      <c r="M1636" t="s">
        <v>27</v>
      </c>
      <c r="N1636">
        <v>1</v>
      </c>
      <c r="O1636">
        <v>1281</v>
      </c>
      <c r="P1636">
        <v>1108</v>
      </c>
      <c r="Q1636">
        <v>0</v>
      </c>
      <c r="R1636">
        <v>1108</v>
      </c>
    </row>
    <row r="1637" spans="1:18" x14ac:dyDescent="0.3">
      <c r="A1637" s="5">
        <v>45967</v>
      </c>
      <c r="B1637" t="s">
        <v>2381</v>
      </c>
      <c r="C1637">
        <v>21</v>
      </c>
      <c r="D1637">
        <v>36</v>
      </c>
      <c r="E1637" s="1">
        <v>1.0833333333333333</v>
      </c>
      <c r="F1637" t="s">
        <v>2380</v>
      </c>
      <c r="G1637">
        <v>0</v>
      </c>
      <c r="H1637">
        <v>1081.2189000000001</v>
      </c>
      <c r="I1637">
        <v>2.5</v>
      </c>
      <c r="J1637">
        <v>1163.79</v>
      </c>
      <c r="K1637">
        <v>1.9580666999707901</v>
      </c>
      <c r="L1637">
        <v>1097.8399999999999</v>
      </c>
      <c r="M1637" t="s">
        <v>27</v>
      </c>
      <c r="N1637">
        <v>1</v>
      </c>
      <c r="O1637">
        <v>1281</v>
      </c>
      <c r="P1637">
        <v>1108</v>
      </c>
      <c r="Q1637">
        <v>0</v>
      </c>
      <c r="R1637">
        <v>1108</v>
      </c>
    </row>
    <row r="1638" spans="1:18" x14ac:dyDescent="0.3">
      <c r="A1638" s="5">
        <v>45967</v>
      </c>
      <c r="B1638" t="s">
        <v>2381</v>
      </c>
      <c r="C1638">
        <v>21</v>
      </c>
      <c r="D1638">
        <v>36</v>
      </c>
      <c r="E1638" s="1">
        <v>1.0833333333333333</v>
      </c>
      <c r="F1638" t="s">
        <v>2380</v>
      </c>
      <c r="G1638">
        <v>0</v>
      </c>
      <c r="H1638">
        <v>1081.2189000000001</v>
      </c>
      <c r="I1638">
        <v>2.5</v>
      </c>
      <c r="J1638">
        <v>1163.79</v>
      </c>
      <c r="K1638">
        <v>1.9580666999707901</v>
      </c>
      <c r="L1638">
        <v>1097.8399999999999</v>
      </c>
      <c r="M1638" t="s">
        <v>27</v>
      </c>
      <c r="N1638">
        <v>1</v>
      </c>
      <c r="O1638">
        <v>1281</v>
      </c>
      <c r="P1638">
        <v>1108</v>
      </c>
      <c r="Q1638">
        <v>0</v>
      </c>
      <c r="R1638">
        <v>1108</v>
      </c>
    </row>
    <row r="1639" spans="1:18" x14ac:dyDescent="0.3">
      <c r="A1639" s="5">
        <v>45967</v>
      </c>
      <c r="B1639" t="s">
        <v>2382</v>
      </c>
      <c r="C1639">
        <v>33</v>
      </c>
      <c r="D1639">
        <v>36</v>
      </c>
      <c r="E1639" s="1">
        <v>1.9993055555555554</v>
      </c>
      <c r="F1639" t="s">
        <v>2383</v>
      </c>
      <c r="G1639">
        <v>1</v>
      </c>
      <c r="H1639">
        <v>1080.5913</v>
      </c>
      <c r="I1639">
        <v>8.5</v>
      </c>
      <c r="J1639">
        <v>1163.79</v>
      </c>
      <c r="K1639">
        <v>6.6574267799006801</v>
      </c>
      <c r="L1639">
        <v>1219.83</v>
      </c>
      <c r="M1639" t="s">
        <v>27</v>
      </c>
      <c r="N1639">
        <v>1</v>
      </c>
      <c r="O1639">
        <v>1345</v>
      </c>
      <c r="P1639">
        <v>1172</v>
      </c>
      <c r="Q1639">
        <v>0</v>
      </c>
      <c r="R1639">
        <v>1172</v>
      </c>
    </row>
    <row r="1640" spans="1:18" x14ac:dyDescent="0.3">
      <c r="A1640" s="5">
        <v>45967</v>
      </c>
      <c r="B1640" t="s">
        <v>2384</v>
      </c>
      <c r="C1640">
        <v>16</v>
      </c>
      <c r="D1640">
        <v>36</v>
      </c>
      <c r="E1640" s="1">
        <v>1.25</v>
      </c>
      <c r="F1640" t="s">
        <v>2385</v>
      </c>
      <c r="G1640">
        <v>0</v>
      </c>
      <c r="H1640">
        <v>1081.3065999999999</v>
      </c>
      <c r="I1640">
        <v>2.5</v>
      </c>
      <c r="J1640">
        <v>1163.79</v>
      </c>
      <c r="K1640">
        <v>1.9580666999707901</v>
      </c>
      <c r="L1640">
        <v>1158.8800000000001</v>
      </c>
      <c r="M1640" t="s">
        <v>27</v>
      </c>
      <c r="N1640">
        <v>1</v>
      </c>
      <c r="O1640">
        <v>1281</v>
      </c>
      <c r="P1640">
        <v>1108</v>
      </c>
      <c r="Q1640">
        <v>0</v>
      </c>
      <c r="R1640">
        <v>1108</v>
      </c>
    </row>
    <row r="1641" spans="1:18" x14ac:dyDescent="0.3">
      <c r="A1641" s="5">
        <v>45967</v>
      </c>
      <c r="B1641" t="s">
        <v>2386</v>
      </c>
      <c r="C1641">
        <v>10</v>
      </c>
      <c r="D1641">
        <v>36</v>
      </c>
      <c r="E1641" s="1">
        <v>1.9791666666666665</v>
      </c>
      <c r="F1641" t="s">
        <v>2387</v>
      </c>
      <c r="G1641">
        <v>3</v>
      </c>
      <c r="H1641">
        <v>1081.1057000000001</v>
      </c>
      <c r="I1641">
        <v>10</v>
      </c>
      <c r="J1641">
        <v>1163.79</v>
      </c>
      <c r="K1641">
        <v>7.8322667998831603</v>
      </c>
      <c r="L1641">
        <v>609.91</v>
      </c>
      <c r="M1641" t="s">
        <v>60</v>
      </c>
      <c r="N1641">
        <v>1</v>
      </c>
      <c r="O1641">
        <v>1362</v>
      </c>
      <c r="P1641">
        <v>1189</v>
      </c>
      <c r="Q1641">
        <v>0.5</v>
      </c>
      <c r="R1641">
        <v>594.5</v>
      </c>
    </row>
    <row r="1642" spans="1:18" x14ac:dyDescent="0.3">
      <c r="A1642" s="5">
        <v>45967</v>
      </c>
      <c r="B1642" t="s">
        <v>2388</v>
      </c>
      <c r="C1642">
        <v>19</v>
      </c>
      <c r="D1642">
        <v>36</v>
      </c>
      <c r="E1642" s="1">
        <v>1.0833333333333333</v>
      </c>
      <c r="F1642" t="s">
        <v>2389</v>
      </c>
      <c r="G1642">
        <v>0</v>
      </c>
      <c r="H1642">
        <v>1081.2539999999999</v>
      </c>
      <c r="I1642">
        <v>2.5</v>
      </c>
      <c r="J1642">
        <v>1163.79</v>
      </c>
      <c r="K1642">
        <v>1.9580666999707901</v>
      </c>
      <c r="L1642">
        <v>1158.8800000000001</v>
      </c>
      <c r="M1642" t="s">
        <v>27</v>
      </c>
      <c r="N1642">
        <v>1</v>
      </c>
      <c r="O1642">
        <v>1281</v>
      </c>
      <c r="P1642">
        <v>1108</v>
      </c>
      <c r="Q1642">
        <v>0</v>
      </c>
      <c r="R1642">
        <v>1108</v>
      </c>
    </row>
    <row r="1643" spans="1:18" x14ac:dyDescent="0.3">
      <c r="A1643" s="5">
        <v>45967</v>
      </c>
      <c r="B1643" t="s">
        <v>2390</v>
      </c>
      <c r="C1643">
        <v>21</v>
      </c>
      <c r="D1643">
        <v>36</v>
      </c>
      <c r="E1643" s="1">
        <v>1.4583333333333333</v>
      </c>
      <c r="F1643" t="s">
        <v>2391</v>
      </c>
      <c r="G1643">
        <v>4</v>
      </c>
      <c r="H1643">
        <v>1081.2135000000001</v>
      </c>
      <c r="I1643">
        <v>7</v>
      </c>
      <c r="J1643">
        <v>1163.79</v>
      </c>
      <c r="K1643">
        <v>5.4825867599182097</v>
      </c>
      <c r="L1643">
        <v>1158.8800000000001</v>
      </c>
      <c r="M1643" t="s">
        <v>27</v>
      </c>
      <c r="N1643">
        <v>1</v>
      </c>
      <c r="O1643">
        <v>1330</v>
      </c>
      <c r="P1643">
        <v>1157</v>
      </c>
      <c r="Q1643">
        <v>0</v>
      </c>
      <c r="R1643">
        <v>1157</v>
      </c>
    </row>
    <row r="1644" spans="1:18" x14ac:dyDescent="0.3">
      <c r="A1644" s="5">
        <v>45967</v>
      </c>
      <c r="B1644" t="s">
        <v>2392</v>
      </c>
      <c r="C1644">
        <v>32</v>
      </c>
      <c r="D1644">
        <v>35</v>
      </c>
      <c r="E1644" s="1">
        <v>1.9791666666666665</v>
      </c>
      <c r="F1644" t="s">
        <v>2393</v>
      </c>
      <c r="G1644">
        <v>1</v>
      </c>
      <c r="H1644">
        <v>1080.6088</v>
      </c>
      <c r="I1644">
        <v>8.5</v>
      </c>
      <c r="J1644">
        <v>1163.79</v>
      </c>
      <c r="K1644">
        <v>6.6574267799006801</v>
      </c>
      <c r="L1644">
        <v>1219.83</v>
      </c>
      <c r="M1644" t="s">
        <v>27</v>
      </c>
      <c r="N1644">
        <v>1</v>
      </c>
      <c r="O1644">
        <v>1345</v>
      </c>
      <c r="P1644">
        <v>1172</v>
      </c>
      <c r="Q1644">
        <v>0</v>
      </c>
      <c r="R1644">
        <v>1172</v>
      </c>
    </row>
    <row r="1645" spans="1:18" x14ac:dyDescent="0.3">
      <c r="A1645" s="5">
        <v>45967</v>
      </c>
      <c r="B1645" t="s">
        <v>2394</v>
      </c>
      <c r="C1645">
        <v>11</v>
      </c>
      <c r="D1645">
        <v>36</v>
      </c>
      <c r="E1645" s="1">
        <v>1.4583333333333333</v>
      </c>
      <c r="F1645" t="s">
        <v>2395</v>
      </c>
      <c r="G1645">
        <v>0</v>
      </c>
      <c r="H1645">
        <v>1081.3923</v>
      </c>
      <c r="I1645">
        <v>2.5</v>
      </c>
      <c r="J1645">
        <v>1163.79</v>
      </c>
      <c r="K1645">
        <v>1.9580666999707901</v>
      </c>
      <c r="L1645">
        <v>1158.8800000000001</v>
      </c>
      <c r="M1645" t="s">
        <v>27</v>
      </c>
      <c r="N1645">
        <v>1</v>
      </c>
      <c r="O1645">
        <v>1281</v>
      </c>
      <c r="P1645">
        <v>1108</v>
      </c>
      <c r="Q1645">
        <v>0</v>
      </c>
      <c r="R1645">
        <v>1108</v>
      </c>
    </row>
    <row r="1646" spans="1:18" x14ac:dyDescent="0.3">
      <c r="A1646" s="5">
        <v>45967</v>
      </c>
      <c r="B1646" t="s">
        <v>2396</v>
      </c>
      <c r="C1646">
        <v>12</v>
      </c>
      <c r="D1646">
        <v>36</v>
      </c>
      <c r="E1646" s="1">
        <v>1.4583333333333333</v>
      </c>
      <c r="F1646" t="s">
        <v>2395</v>
      </c>
      <c r="G1646">
        <v>0</v>
      </c>
      <c r="H1646">
        <v>1081.3746000000001</v>
      </c>
      <c r="I1646">
        <v>2.5</v>
      </c>
      <c r="J1646">
        <v>1163.79</v>
      </c>
      <c r="K1646">
        <v>1.9580666999707901</v>
      </c>
      <c r="L1646">
        <v>1158.8800000000001</v>
      </c>
      <c r="M1646" t="s">
        <v>27</v>
      </c>
      <c r="N1646">
        <v>1</v>
      </c>
      <c r="O1646">
        <v>1281</v>
      </c>
      <c r="P1646">
        <v>1108</v>
      </c>
      <c r="Q1646">
        <v>0</v>
      </c>
      <c r="R1646">
        <v>1108</v>
      </c>
    </row>
    <row r="1647" spans="1:18" x14ac:dyDescent="0.3">
      <c r="A1647" s="5">
        <v>45967</v>
      </c>
      <c r="B1647" t="s">
        <v>2397</v>
      </c>
      <c r="C1647">
        <v>34</v>
      </c>
      <c r="D1647">
        <v>36</v>
      </c>
      <c r="E1647" s="1">
        <v>1.9652777777777777</v>
      </c>
      <c r="F1647" t="s">
        <v>2398</v>
      </c>
      <c r="G1647">
        <v>5</v>
      </c>
      <c r="H1647">
        <v>1078.5189</v>
      </c>
      <c r="I1647">
        <v>0</v>
      </c>
      <c r="J1647">
        <v>1163.79</v>
      </c>
      <c r="K1647">
        <v>0</v>
      </c>
      <c r="L1647">
        <v>609.91</v>
      </c>
      <c r="M1647" t="s">
        <v>77</v>
      </c>
      <c r="N1647">
        <v>1</v>
      </c>
      <c r="O1647">
        <v>1251</v>
      </c>
      <c r="P1647">
        <v>1079</v>
      </c>
      <c r="Q1647">
        <v>0.5</v>
      </c>
      <c r="R1647">
        <v>539.5</v>
      </c>
    </row>
    <row r="1648" spans="1:18" x14ac:dyDescent="0.3">
      <c r="A1648" s="5">
        <v>45967</v>
      </c>
      <c r="B1648" t="s">
        <v>2399</v>
      </c>
      <c r="C1648">
        <v>20</v>
      </c>
      <c r="D1648">
        <v>35</v>
      </c>
      <c r="E1648" s="1">
        <v>1.9791666666666665</v>
      </c>
      <c r="F1648" t="s">
        <v>2400</v>
      </c>
      <c r="G1648">
        <v>1</v>
      </c>
      <c r="H1648">
        <v>1080.9426000000001</v>
      </c>
      <c r="I1648">
        <v>8.5</v>
      </c>
      <c r="J1648">
        <v>1163.79</v>
      </c>
      <c r="K1648">
        <v>6.6574267799006801</v>
      </c>
      <c r="L1648">
        <v>1219.83</v>
      </c>
      <c r="M1648" t="s">
        <v>27</v>
      </c>
      <c r="N1648">
        <v>1</v>
      </c>
      <c r="O1648">
        <v>1346</v>
      </c>
      <c r="P1648">
        <v>1173</v>
      </c>
      <c r="Q1648">
        <v>0</v>
      </c>
      <c r="R1648">
        <v>1173</v>
      </c>
    </row>
    <row r="1649" spans="1:18" x14ac:dyDescent="0.3">
      <c r="A1649" s="5">
        <v>45967</v>
      </c>
      <c r="B1649" t="s">
        <v>2401</v>
      </c>
      <c r="C1649">
        <v>28</v>
      </c>
      <c r="D1649">
        <v>36</v>
      </c>
      <c r="E1649" s="1">
        <v>1.9993055555555554</v>
      </c>
      <c r="F1649" t="s">
        <v>1020</v>
      </c>
      <c r="G1649">
        <v>5</v>
      </c>
      <c r="H1649">
        <v>1080.6709000000001</v>
      </c>
      <c r="I1649">
        <v>0</v>
      </c>
      <c r="J1649">
        <v>1163.79</v>
      </c>
      <c r="K1649">
        <v>0</v>
      </c>
      <c r="L1649">
        <v>1158.8800000000001</v>
      </c>
      <c r="M1649" t="s">
        <v>27</v>
      </c>
      <c r="N1649">
        <v>1</v>
      </c>
      <c r="O1649">
        <v>1254</v>
      </c>
      <c r="P1649">
        <v>1081</v>
      </c>
      <c r="Q1649">
        <v>0</v>
      </c>
      <c r="R1649">
        <v>1081</v>
      </c>
    </row>
    <row r="1650" spans="1:18" x14ac:dyDescent="0.3">
      <c r="A1650" s="5">
        <v>45967</v>
      </c>
      <c r="B1650" t="s">
        <v>2402</v>
      </c>
      <c r="C1650">
        <v>15</v>
      </c>
      <c r="D1650">
        <v>36</v>
      </c>
      <c r="E1650" s="1">
        <v>1.0833333333333333</v>
      </c>
      <c r="F1650" t="s">
        <v>2403</v>
      </c>
      <c r="G1650">
        <v>0</v>
      </c>
      <c r="H1650">
        <v>1081.3251</v>
      </c>
      <c r="I1650">
        <v>2.5</v>
      </c>
      <c r="J1650">
        <v>1163.79</v>
      </c>
      <c r="K1650">
        <v>1.9580666999707901</v>
      </c>
      <c r="L1650">
        <v>1158.8800000000001</v>
      </c>
      <c r="M1650" t="s">
        <v>27</v>
      </c>
      <c r="N1650">
        <v>1</v>
      </c>
      <c r="O1650">
        <v>1281</v>
      </c>
      <c r="P1650">
        <v>1108</v>
      </c>
      <c r="Q1650">
        <v>0</v>
      </c>
      <c r="R1650">
        <v>1108</v>
      </c>
    </row>
    <row r="1651" spans="1:18" x14ac:dyDescent="0.3">
      <c r="A1651" s="5">
        <v>45967</v>
      </c>
      <c r="B1651" t="s">
        <v>2402</v>
      </c>
      <c r="C1651">
        <v>15</v>
      </c>
      <c r="D1651">
        <v>36</v>
      </c>
      <c r="E1651" s="1">
        <v>1.0833333333333333</v>
      </c>
      <c r="F1651" t="s">
        <v>2403</v>
      </c>
      <c r="G1651">
        <v>0</v>
      </c>
      <c r="H1651">
        <v>1081.3251</v>
      </c>
      <c r="I1651">
        <v>2.5</v>
      </c>
      <c r="J1651">
        <v>1163.79</v>
      </c>
      <c r="K1651">
        <v>1.9580666999707901</v>
      </c>
      <c r="L1651">
        <v>1158.8800000000001</v>
      </c>
      <c r="M1651" t="s">
        <v>27</v>
      </c>
      <c r="N1651">
        <v>1</v>
      </c>
      <c r="O1651">
        <v>1281</v>
      </c>
      <c r="P1651">
        <v>1108</v>
      </c>
      <c r="Q1651">
        <v>0</v>
      </c>
      <c r="R1651">
        <v>1108</v>
      </c>
    </row>
    <row r="1652" spans="1:18" x14ac:dyDescent="0.3">
      <c r="A1652" s="5">
        <v>45967</v>
      </c>
      <c r="B1652" t="s">
        <v>2402</v>
      </c>
      <c r="C1652">
        <v>15</v>
      </c>
      <c r="D1652">
        <v>36</v>
      </c>
      <c r="E1652" s="1">
        <v>1.0833333333333333</v>
      </c>
      <c r="F1652" t="s">
        <v>2403</v>
      </c>
      <c r="G1652">
        <v>0</v>
      </c>
      <c r="H1652">
        <v>1081.3251</v>
      </c>
      <c r="I1652">
        <v>2.5</v>
      </c>
      <c r="J1652">
        <v>1163.79</v>
      </c>
      <c r="K1652">
        <v>1.9580666999707901</v>
      </c>
      <c r="L1652">
        <v>1158.8800000000001</v>
      </c>
      <c r="M1652" t="s">
        <v>27</v>
      </c>
      <c r="N1652">
        <v>1</v>
      </c>
      <c r="O1652">
        <v>1281</v>
      </c>
      <c r="P1652">
        <v>1108</v>
      </c>
      <c r="Q1652">
        <v>0</v>
      </c>
      <c r="R1652">
        <v>1108</v>
      </c>
    </row>
    <row r="1653" spans="1:18" x14ac:dyDescent="0.3">
      <c r="A1653" s="5">
        <v>45967</v>
      </c>
      <c r="B1653" t="s">
        <v>2404</v>
      </c>
      <c r="C1653">
        <v>32</v>
      </c>
      <c r="D1653">
        <v>36</v>
      </c>
      <c r="E1653" s="1">
        <v>1.0833333333333333</v>
      </c>
      <c r="F1653" t="s">
        <v>2403</v>
      </c>
      <c r="G1653">
        <v>0</v>
      </c>
      <c r="H1653">
        <v>1080.8868</v>
      </c>
      <c r="I1653">
        <v>2.5</v>
      </c>
      <c r="J1653">
        <v>1163.79</v>
      </c>
      <c r="K1653">
        <v>1.9580666999707901</v>
      </c>
      <c r="L1653">
        <v>1158.8800000000001</v>
      </c>
      <c r="M1653" t="s">
        <v>27</v>
      </c>
      <c r="N1653">
        <v>1</v>
      </c>
      <c r="O1653">
        <v>1281</v>
      </c>
      <c r="P1653">
        <v>1108</v>
      </c>
      <c r="Q1653">
        <v>0</v>
      </c>
      <c r="R1653">
        <v>1108</v>
      </c>
    </row>
    <row r="1654" spans="1:18" x14ac:dyDescent="0.3">
      <c r="A1654" s="5">
        <v>45967</v>
      </c>
      <c r="B1654" t="s">
        <v>2404</v>
      </c>
      <c r="C1654">
        <v>32</v>
      </c>
      <c r="D1654">
        <v>36</v>
      </c>
      <c r="E1654" s="1">
        <v>1.0833333333333333</v>
      </c>
      <c r="F1654" t="s">
        <v>2403</v>
      </c>
      <c r="G1654">
        <v>0</v>
      </c>
      <c r="H1654">
        <v>1080.8868</v>
      </c>
      <c r="I1654">
        <v>2.5</v>
      </c>
      <c r="J1654">
        <v>1163.79</v>
      </c>
      <c r="K1654">
        <v>1.9580666999707901</v>
      </c>
      <c r="L1654">
        <v>1158.8800000000001</v>
      </c>
      <c r="M1654" t="s">
        <v>27</v>
      </c>
      <c r="N1654">
        <v>1</v>
      </c>
      <c r="O1654">
        <v>1281</v>
      </c>
      <c r="P1654">
        <v>1108</v>
      </c>
      <c r="Q1654">
        <v>0</v>
      </c>
      <c r="R1654">
        <v>1108</v>
      </c>
    </row>
    <row r="1655" spans="1:18" x14ac:dyDescent="0.3">
      <c r="A1655" s="5">
        <v>45967</v>
      </c>
      <c r="B1655" t="s">
        <v>2404</v>
      </c>
      <c r="C1655">
        <v>32</v>
      </c>
      <c r="D1655">
        <v>36</v>
      </c>
      <c r="E1655" s="1">
        <v>1.0833333333333333</v>
      </c>
      <c r="F1655" t="s">
        <v>2403</v>
      </c>
      <c r="G1655">
        <v>0</v>
      </c>
      <c r="H1655">
        <v>1080.8868</v>
      </c>
      <c r="I1655">
        <v>2.5</v>
      </c>
      <c r="J1655">
        <v>1163.79</v>
      </c>
      <c r="K1655">
        <v>1.9580666999707901</v>
      </c>
      <c r="L1655">
        <v>1158.8800000000001</v>
      </c>
      <c r="M1655" t="s">
        <v>27</v>
      </c>
      <c r="N1655">
        <v>1</v>
      </c>
      <c r="O1655">
        <v>1281</v>
      </c>
      <c r="P1655">
        <v>1108</v>
      </c>
      <c r="Q1655">
        <v>0</v>
      </c>
      <c r="R1655">
        <v>1108</v>
      </c>
    </row>
    <row r="1656" spans="1:18" x14ac:dyDescent="0.3">
      <c r="A1656" s="5">
        <v>45967</v>
      </c>
      <c r="B1656" t="s">
        <v>2405</v>
      </c>
      <c r="C1656">
        <v>27</v>
      </c>
      <c r="D1656">
        <v>36</v>
      </c>
      <c r="E1656" s="1">
        <v>1.0833333333333333</v>
      </c>
      <c r="F1656" t="s">
        <v>2403</v>
      </c>
      <c r="G1656">
        <v>0</v>
      </c>
      <c r="H1656">
        <v>1080.9767999999999</v>
      </c>
      <c r="I1656">
        <v>2.5</v>
      </c>
      <c r="J1656">
        <v>1163.79</v>
      </c>
      <c r="K1656">
        <v>1.9580666999707901</v>
      </c>
      <c r="L1656">
        <v>1158.8800000000001</v>
      </c>
      <c r="M1656" t="s">
        <v>27</v>
      </c>
      <c r="N1656">
        <v>1</v>
      </c>
      <c r="O1656">
        <v>1281</v>
      </c>
      <c r="P1656">
        <v>1108</v>
      </c>
      <c r="Q1656">
        <v>0</v>
      </c>
      <c r="R1656">
        <v>1108</v>
      </c>
    </row>
    <row r="1657" spans="1:18" x14ac:dyDescent="0.3">
      <c r="A1657" s="5">
        <v>45967</v>
      </c>
      <c r="B1657" t="s">
        <v>2405</v>
      </c>
      <c r="C1657">
        <v>27</v>
      </c>
      <c r="D1657">
        <v>36</v>
      </c>
      <c r="E1657" s="1">
        <v>1.0833333333333333</v>
      </c>
      <c r="F1657" t="s">
        <v>2403</v>
      </c>
      <c r="G1657">
        <v>0</v>
      </c>
      <c r="H1657">
        <v>1080.9767999999999</v>
      </c>
      <c r="I1657">
        <v>2.5</v>
      </c>
      <c r="J1657">
        <v>1163.79</v>
      </c>
      <c r="K1657">
        <v>1.9580666999707901</v>
      </c>
      <c r="L1657">
        <v>1158.8800000000001</v>
      </c>
      <c r="M1657" t="s">
        <v>27</v>
      </c>
      <c r="N1657">
        <v>1</v>
      </c>
      <c r="O1657">
        <v>1281</v>
      </c>
      <c r="P1657">
        <v>1108</v>
      </c>
      <c r="Q1657">
        <v>0</v>
      </c>
      <c r="R1657">
        <v>1108</v>
      </c>
    </row>
    <row r="1658" spans="1:18" x14ac:dyDescent="0.3">
      <c r="A1658" s="5">
        <v>45967</v>
      </c>
      <c r="B1658" t="s">
        <v>2405</v>
      </c>
      <c r="C1658">
        <v>27</v>
      </c>
      <c r="D1658">
        <v>36</v>
      </c>
      <c r="E1658" s="1">
        <v>1.0833333333333333</v>
      </c>
      <c r="F1658" t="s">
        <v>2403</v>
      </c>
      <c r="G1658">
        <v>0</v>
      </c>
      <c r="H1658">
        <v>1080.9767999999999</v>
      </c>
      <c r="I1658">
        <v>2.5</v>
      </c>
      <c r="J1658">
        <v>1163.79</v>
      </c>
      <c r="K1658">
        <v>1.9580666999707901</v>
      </c>
      <c r="L1658">
        <v>1158.8800000000001</v>
      </c>
      <c r="M1658" t="s">
        <v>27</v>
      </c>
      <c r="N1658">
        <v>1</v>
      </c>
      <c r="O1658">
        <v>1281</v>
      </c>
      <c r="P1658">
        <v>1108</v>
      </c>
      <c r="Q1658">
        <v>0</v>
      </c>
      <c r="R1658">
        <v>1108</v>
      </c>
    </row>
    <row r="1659" spans="1:18" x14ac:dyDescent="0.3">
      <c r="A1659" s="5">
        <v>45967</v>
      </c>
      <c r="B1659" t="s">
        <v>2406</v>
      </c>
      <c r="C1659">
        <v>19</v>
      </c>
      <c r="D1659">
        <v>35</v>
      </c>
      <c r="E1659" s="1">
        <v>1.9791666666666665</v>
      </c>
      <c r="F1659" t="s">
        <v>2407</v>
      </c>
      <c r="G1659">
        <v>5</v>
      </c>
      <c r="H1659">
        <v>1080.9607000000001</v>
      </c>
      <c r="I1659">
        <v>0</v>
      </c>
      <c r="J1659">
        <v>1163.79</v>
      </c>
      <c r="K1659">
        <v>0</v>
      </c>
      <c r="L1659">
        <v>975.86</v>
      </c>
      <c r="M1659" t="s">
        <v>44</v>
      </c>
      <c r="N1659">
        <v>1</v>
      </c>
      <c r="O1659">
        <v>1254</v>
      </c>
      <c r="P1659">
        <v>1081</v>
      </c>
      <c r="Q1659">
        <v>0</v>
      </c>
      <c r="R1659">
        <v>1081</v>
      </c>
    </row>
    <row r="1660" spans="1:18" x14ac:dyDescent="0.3">
      <c r="A1660" s="5">
        <v>45967</v>
      </c>
      <c r="B1660" t="s">
        <v>2408</v>
      </c>
      <c r="C1660">
        <v>22</v>
      </c>
      <c r="D1660">
        <v>35</v>
      </c>
      <c r="E1660" s="1">
        <v>1.9791666666666665</v>
      </c>
      <c r="F1660" t="s">
        <v>2409</v>
      </c>
      <c r="G1660">
        <v>1</v>
      </c>
      <c r="H1660">
        <v>1080.9066</v>
      </c>
      <c r="I1660">
        <v>8.5</v>
      </c>
      <c r="J1660">
        <v>1163.79</v>
      </c>
      <c r="K1660">
        <v>6.6574267799006801</v>
      </c>
      <c r="L1660">
        <v>1219.83</v>
      </c>
      <c r="M1660" t="s">
        <v>27</v>
      </c>
      <c r="N1660">
        <v>1</v>
      </c>
      <c r="O1660">
        <v>1346</v>
      </c>
      <c r="P1660">
        <v>1173</v>
      </c>
      <c r="Q1660">
        <v>0</v>
      </c>
      <c r="R1660">
        <v>1173</v>
      </c>
    </row>
    <row r="1661" spans="1:18" x14ac:dyDescent="0.3">
      <c r="A1661" s="5">
        <v>45967</v>
      </c>
      <c r="B1661" t="s">
        <v>2410</v>
      </c>
      <c r="C1661">
        <v>23</v>
      </c>
      <c r="D1661">
        <v>35</v>
      </c>
      <c r="E1661" s="1">
        <v>1.9791666666666665</v>
      </c>
      <c r="F1661" t="s">
        <v>2411</v>
      </c>
      <c r="G1661">
        <v>1</v>
      </c>
      <c r="H1661">
        <v>1080.8887999999999</v>
      </c>
      <c r="I1661">
        <v>8.5</v>
      </c>
      <c r="J1661">
        <v>1163.79</v>
      </c>
      <c r="K1661">
        <v>6.6574267799006801</v>
      </c>
      <c r="L1661">
        <v>1219.83</v>
      </c>
      <c r="M1661" t="s">
        <v>27</v>
      </c>
      <c r="N1661">
        <v>1</v>
      </c>
      <c r="O1661">
        <v>1346</v>
      </c>
      <c r="P1661">
        <v>1173</v>
      </c>
      <c r="Q1661">
        <v>0</v>
      </c>
      <c r="R1661">
        <v>1173</v>
      </c>
    </row>
    <row r="1662" spans="1:18" x14ac:dyDescent="0.3">
      <c r="A1662" s="5">
        <v>45967</v>
      </c>
      <c r="B1662" t="s">
        <v>2412</v>
      </c>
      <c r="C1662">
        <v>9</v>
      </c>
      <c r="D1662">
        <v>36</v>
      </c>
      <c r="E1662" s="1">
        <v>1.0833333333333333</v>
      </c>
      <c r="F1662" t="s">
        <v>2413</v>
      </c>
      <c r="G1662">
        <v>4</v>
      </c>
      <c r="H1662">
        <v>1081.433</v>
      </c>
      <c r="I1662">
        <v>7</v>
      </c>
      <c r="J1662">
        <v>1163.79</v>
      </c>
      <c r="K1662">
        <v>5.4825867599182097</v>
      </c>
      <c r="L1662">
        <v>1158.8800000000001</v>
      </c>
      <c r="M1662" t="s">
        <v>27</v>
      </c>
      <c r="N1662">
        <v>1</v>
      </c>
      <c r="O1662">
        <v>1330</v>
      </c>
      <c r="P1662">
        <v>1157</v>
      </c>
      <c r="Q1662">
        <v>0</v>
      </c>
      <c r="R1662">
        <v>1157</v>
      </c>
    </row>
    <row r="1663" spans="1:18" x14ac:dyDescent="0.3">
      <c r="A1663" s="5">
        <v>45967</v>
      </c>
      <c r="B1663" t="s">
        <v>2414</v>
      </c>
      <c r="C1663">
        <v>13</v>
      </c>
      <c r="D1663">
        <v>36</v>
      </c>
      <c r="E1663" s="1">
        <v>1.9791666666666665</v>
      </c>
      <c r="F1663" t="s">
        <v>2415</v>
      </c>
      <c r="G1663">
        <v>0</v>
      </c>
      <c r="H1663">
        <v>1081.1297999999999</v>
      </c>
      <c r="I1663">
        <v>2.5</v>
      </c>
      <c r="J1663">
        <v>1163.79</v>
      </c>
      <c r="K1663">
        <v>1.9580666999707901</v>
      </c>
      <c r="L1663">
        <v>1158.8800000000001</v>
      </c>
      <c r="M1663" t="s">
        <v>27</v>
      </c>
      <c r="N1663">
        <v>1</v>
      </c>
      <c r="O1663">
        <v>1281</v>
      </c>
      <c r="P1663">
        <v>1108</v>
      </c>
      <c r="Q1663">
        <v>0</v>
      </c>
      <c r="R1663">
        <v>1108</v>
      </c>
    </row>
    <row r="1664" spans="1:18" x14ac:dyDescent="0.3">
      <c r="A1664" s="5">
        <v>45967</v>
      </c>
      <c r="B1664" t="s">
        <v>2416</v>
      </c>
      <c r="C1664">
        <v>29</v>
      </c>
      <c r="D1664">
        <v>35</v>
      </c>
      <c r="E1664" s="1">
        <v>1.9791666666666665</v>
      </c>
      <c r="F1664" t="s">
        <v>2417</v>
      </c>
      <c r="G1664">
        <v>1</v>
      </c>
      <c r="H1664">
        <v>1080.6615999999999</v>
      </c>
      <c r="I1664">
        <v>8.5</v>
      </c>
      <c r="J1664">
        <v>1163.79</v>
      </c>
      <c r="K1664">
        <v>6.6574267799006801</v>
      </c>
      <c r="L1664">
        <v>1219.83</v>
      </c>
      <c r="M1664" t="s">
        <v>27</v>
      </c>
      <c r="N1664">
        <v>1</v>
      </c>
      <c r="O1664">
        <v>1345</v>
      </c>
      <c r="P1664">
        <v>1173</v>
      </c>
      <c r="Q1664">
        <v>0</v>
      </c>
      <c r="R1664">
        <v>1173</v>
      </c>
    </row>
    <row r="1665" spans="1:18" x14ac:dyDescent="0.3">
      <c r="A1665" s="5">
        <v>45967</v>
      </c>
      <c r="B1665" t="s">
        <v>2418</v>
      </c>
      <c r="C1665">
        <v>22</v>
      </c>
      <c r="D1665">
        <v>36</v>
      </c>
      <c r="E1665" s="1">
        <v>1.0833333333333333</v>
      </c>
      <c r="F1665" t="s">
        <v>2419</v>
      </c>
      <c r="G1665">
        <v>0</v>
      </c>
      <c r="H1665">
        <v>1081.0658000000001</v>
      </c>
      <c r="I1665">
        <v>2.5</v>
      </c>
      <c r="J1665">
        <v>1163.79</v>
      </c>
      <c r="K1665">
        <v>1.9580666999707901</v>
      </c>
      <c r="L1665">
        <v>1158.8800000000001</v>
      </c>
      <c r="M1665" t="s">
        <v>27</v>
      </c>
      <c r="N1665">
        <v>1</v>
      </c>
      <c r="O1665">
        <v>1281</v>
      </c>
      <c r="P1665">
        <v>1108</v>
      </c>
      <c r="Q1665">
        <v>0</v>
      </c>
      <c r="R1665">
        <v>1108</v>
      </c>
    </row>
    <row r="1666" spans="1:18" x14ac:dyDescent="0.3">
      <c r="A1666" s="5">
        <v>45967</v>
      </c>
      <c r="B1666" t="s">
        <v>2420</v>
      </c>
      <c r="C1666">
        <v>23</v>
      </c>
      <c r="D1666">
        <v>36</v>
      </c>
      <c r="E1666" s="1">
        <v>1.0833333333333333</v>
      </c>
      <c r="F1666" t="s">
        <v>2421</v>
      </c>
      <c r="G1666">
        <v>0</v>
      </c>
      <c r="H1666">
        <v>1081.0479</v>
      </c>
      <c r="I1666">
        <v>2.5</v>
      </c>
      <c r="J1666">
        <v>1163.79</v>
      </c>
      <c r="K1666">
        <v>1.9580666999707901</v>
      </c>
      <c r="L1666">
        <v>1158.8800000000001</v>
      </c>
      <c r="M1666" t="s">
        <v>27</v>
      </c>
      <c r="N1666">
        <v>1</v>
      </c>
      <c r="O1666">
        <v>1281</v>
      </c>
      <c r="P1666">
        <v>1108</v>
      </c>
      <c r="Q1666">
        <v>0</v>
      </c>
      <c r="R1666">
        <v>1108</v>
      </c>
    </row>
    <row r="1667" spans="1:18" x14ac:dyDescent="0.3">
      <c r="A1667" s="5">
        <v>45967</v>
      </c>
      <c r="B1667" t="s">
        <v>2422</v>
      </c>
      <c r="C1667">
        <v>22</v>
      </c>
      <c r="D1667">
        <v>36</v>
      </c>
      <c r="E1667" s="1">
        <v>1.9993055555555554</v>
      </c>
      <c r="F1667" t="s">
        <v>2423</v>
      </c>
      <c r="G1667">
        <v>5</v>
      </c>
      <c r="H1667">
        <v>1078.7338999999999</v>
      </c>
      <c r="I1667">
        <v>0</v>
      </c>
      <c r="J1667">
        <v>1163.79</v>
      </c>
      <c r="K1667">
        <v>0</v>
      </c>
      <c r="L1667">
        <v>609.91</v>
      </c>
      <c r="M1667" t="s">
        <v>77</v>
      </c>
      <c r="N1667">
        <v>1</v>
      </c>
      <c r="O1667">
        <v>1251</v>
      </c>
      <c r="P1667">
        <v>1079</v>
      </c>
      <c r="Q1667">
        <v>0.5</v>
      </c>
      <c r="R1667">
        <v>539.5</v>
      </c>
    </row>
    <row r="1668" spans="1:18" x14ac:dyDescent="0.3">
      <c r="A1668" s="5">
        <v>45967</v>
      </c>
      <c r="B1668" t="s">
        <v>2424</v>
      </c>
      <c r="C1668">
        <v>31</v>
      </c>
      <c r="D1668">
        <v>36</v>
      </c>
      <c r="E1668" s="1">
        <v>1.9993055555555554</v>
      </c>
      <c r="F1668" t="s">
        <v>2425</v>
      </c>
      <c r="G1668">
        <v>1</v>
      </c>
      <c r="H1668">
        <v>1080.6257000000001</v>
      </c>
      <c r="I1668">
        <v>8.5</v>
      </c>
      <c r="J1668">
        <v>1163.79</v>
      </c>
      <c r="K1668">
        <v>6.6574267799006801</v>
      </c>
      <c r="L1668">
        <v>1219.83</v>
      </c>
      <c r="M1668" t="s">
        <v>27</v>
      </c>
      <c r="N1668">
        <v>1</v>
      </c>
      <c r="O1668">
        <v>1345</v>
      </c>
      <c r="P1668">
        <v>1172</v>
      </c>
      <c r="Q1668">
        <v>0</v>
      </c>
      <c r="R1668">
        <v>1172</v>
      </c>
    </row>
    <row r="1669" spans="1:18" x14ac:dyDescent="0.3">
      <c r="A1669" s="5">
        <v>45968</v>
      </c>
      <c r="B1669" t="s">
        <v>2426</v>
      </c>
      <c r="C1669">
        <v>28</v>
      </c>
      <c r="D1669">
        <v>36</v>
      </c>
      <c r="E1669" s="1">
        <v>1.0833333333333333</v>
      </c>
      <c r="F1669" t="s">
        <v>2427</v>
      </c>
      <c r="G1669">
        <v>4</v>
      </c>
      <c r="H1669">
        <v>1080.9447</v>
      </c>
      <c r="I1669">
        <v>7</v>
      </c>
      <c r="J1669">
        <v>1163.79</v>
      </c>
      <c r="K1669">
        <v>5.4825867599182097</v>
      </c>
      <c r="L1669">
        <v>1219.83</v>
      </c>
      <c r="M1669" t="s">
        <v>27</v>
      </c>
      <c r="N1669">
        <v>1</v>
      </c>
      <c r="O1669">
        <v>1330</v>
      </c>
      <c r="P1669">
        <v>1157</v>
      </c>
      <c r="Q1669">
        <v>0</v>
      </c>
      <c r="R1669">
        <v>1157</v>
      </c>
    </row>
    <row r="1670" spans="1:18" x14ac:dyDescent="0.3">
      <c r="A1670" s="5">
        <v>45968</v>
      </c>
      <c r="B1670" t="s">
        <v>2428</v>
      </c>
      <c r="C1670">
        <v>25</v>
      </c>
      <c r="D1670">
        <v>36</v>
      </c>
      <c r="E1670" s="1">
        <v>1.0833333333333333</v>
      </c>
      <c r="F1670" t="s">
        <v>2429</v>
      </c>
      <c r="G1670">
        <v>4</v>
      </c>
      <c r="H1670">
        <v>1080.9987000000001</v>
      </c>
      <c r="I1670">
        <v>7</v>
      </c>
      <c r="J1670">
        <v>1163.79</v>
      </c>
      <c r="K1670">
        <v>5.4825867599182097</v>
      </c>
      <c r="L1670">
        <v>1219.83</v>
      </c>
      <c r="M1670" t="s">
        <v>27</v>
      </c>
      <c r="N1670">
        <v>1</v>
      </c>
      <c r="O1670">
        <v>1330</v>
      </c>
      <c r="P1670">
        <v>1157</v>
      </c>
      <c r="Q1670">
        <v>0</v>
      </c>
      <c r="R1670">
        <v>1157</v>
      </c>
    </row>
    <row r="1671" spans="1:18" x14ac:dyDescent="0.3">
      <c r="A1671" s="5">
        <v>45968</v>
      </c>
      <c r="B1671" t="s">
        <v>2430</v>
      </c>
      <c r="C1671">
        <v>19</v>
      </c>
      <c r="D1671">
        <v>36</v>
      </c>
      <c r="E1671" s="1">
        <v>1.25</v>
      </c>
      <c r="F1671" t="s">
        <v>2431</v>
      </c>
      <c r="G1671">
        <v>4</v>
      </c>
      <c r="H1671">
        <v>1081.2274</v>
      </c>
      <c r="I1671">
        <v>7</v>
      </c>
      <c r="J1671">
        <v>1163.79</v>
      </c>
      <c r="K1671">
        <v>5.4825867599182097</v>
      </c>
      <c r="L1671">
        <v>1219.83</v>
      </c>
      <c r="M1671" t="s">
        <v>27</v>
      </c>
      <c r="N1671">
        <v>1</v>
      </c>
      <c r="O1671">
        <v>1330</v>
      </c>
      <c r="P1671">
        <v>1157</v>
      </c>
      <c r="Q1671">
        <v>0</v>
      </c>
      <c r="R1671">
        <v>1157</v>
      </c>
    </row>
    <row r="1672" spans="1:18" x14ac:dyDescent="0.3">
      <c r="A1672" s="5">
        <v>45968</v>
      </c>
      <c r="B1672" t="s">
        <v>2432</v>
      </c>
      <c r="C1672">
        <v>20</v>
      </c>
      <c r="D1672">
        <v>36</v>
      </c>
      <c r="E1672" s="1">
        <v>1.25</v>
      </c>
      <c r="F1672" t="s">
        <v>2433</v>
      </c>
      <c r="G1672">
        <v>4</v>
      </c>
      <c r="H1672">
        <v>1081.2094999999999</v>
      </c>
      <c r="I1672">
        <v>7</v>
      </c>
      <c r="J1672">
        <v>1163.79</v>
      </c>
      <c r="K1672">
        <v>5.4825867599182097</v>
      </c>
      <c r="L1672">
        <v>1219.83</v>
      </c>
      <c r="M1672" t="s">
        <v>27</v>
      </c>
      <c r="N1672">
        <v>1</v>
      </c>
      <c r="O1672">
        <v>1330</v>
      </c>
      <c r="P1672">
        <v>1157</v>
      </c>
      <c r="Q1672">
        <v>0</v>
      </c>
      <c r="R1672">
        <v>1157</v>
      </c>
    </row>
    <row r="1673" spans="1:18" x14ac:dyDescent="0.3">
      <c r="A1673" s="5">
        <v>45968</v>
      </c>
      <c r="B1673" t="s">
        <v>2434</v>
      </c>
      <c r="C1673">
        <v>22</v>
      </c>
      <c r="D1673">
        <v>36</v>
      </c>
      <c r="E1673" s="1">
        <v>1.25</v>
      </c>
      <c r="F1673" t="s">
        <v>2435</v>
      </c>
      <c r="G1673">
        <v>4</v>
      </c>
      <c r="H1673">
        <v>1081.0410999999999</v>
      </c>
      <c r="I1673">
        <v>7</v>
      </c>
      <c r="J1673">
        <v>1163.79</v>
      </c>
      <c r="K1673">
        <v>5.4825867599182097</v>
      </c>
      <c r="L1673">
        <v>1219.83</v>
      </c>
      <c r="M1673" t="s">
        <v>27</v>
      </c>
      <c r="N1673">
        <v>1</v>
      </c>
      <c r="O1673">
        <v>1330</v>
      </c>
      <c r="P1673">
        <v>1157</v>
      </c>
      <c r="Q1673">
        <v>0</v>
      </c>
      <c r="R1673">
        <v>1157</v>
      </c>
    </row>
    <row r="1674" spans="1:18" x14ac:dyDescent="0.3">
      <c r="A1674" s="5">
        <v>45968</v>
      </c>
      <c r="B1674" t="s">
        <v>2436</v>
      </c>
      <c r="C1674">
        <v>23</v>
      </c>
      <c r="D1674">
        <v>36</v>
      </c>
      <c r="E1674" s="1">
        <v>1.25</v>
      </c>
      <c r="F1674" t="s">
        <v>2437</v>
      </c>
      <c r="G1674">
        <v>4</v>
      </c>
      <c r="H1674">
        <v>1081.0232000000001</v>
      </c>
      <c r="I1674">
        <v>7</v>
      </c>
      <c r="J1674">
        <v>1163.79</v>
      </c>
      <c r="K1674">
        <v>5.4825867599182097</v>
      </c>
      <c r="L1674">
        <v>1219.83</v>
      </c>
      <c r="M1674" t="s">
        <v>27</v>
      </c>
      <c r="N1674">
        <v>1</v>
      </c>
      <c r="O1674">
        <v>1330</v>
      </c>
      <c r="P1674">
        <v>1157</v>
      </c>
      <c r="Q1674">
        <v>0</v>
      </c>
      <c r="R1674">
        <v>1157</v>
      </c>
    </row>
    <row r="1675" spans="1:18" x14ac:dyDescent="0.3">
      <c r="A1675" s="5">
        <v>45968</v>
      </c>
      <c r="B1675" t="s">
        <v>2438</v>
      </c>
      <c r="C1675">
        <v>2</v>
      </c>
      <c r="D1675">
        <v>36</v>
      </c>
      <c r="E1675" s="1">
        <v>1.0833333333333333</v>
      </c>
      <c r="F1675" t="s">
        <v>2439</v>
      </c>
      <c r="G1675">
        <v>0</v>
      </c>
      <c r="H1675">
        <v>1081.5446999999999</v>
      </c>
      <c r="I1675">
        <v>2.5</v>
      </c>
      <c r="J1675">
        <v>1163.79</v>
      </c>
      <c r="K1675">
        <v>1.9580666999707901</v>
      </c>
      <c r="L1675">
        <v>1158.8800000000001</v>
      </c>
      <c r="M1675" t="s">
        <v>27</v>
      </c>
      <c r="N1675">
        <v>1</v>
      </c>
      <c r="O1675">
        <v>1282</v>
      </c>
      <c r="P1675">
        <v>1109</v>
      </c>
      <c r="Q1675">
        <v>0</v>
      </c>
      <c r="R1675">
        <v>1109</v>
      </c>
    </row>
    <row r="1676" spans="1:18" x14ac:dyDescent="0.3">
      <c r="A1676" s="5">
        <v>45968</v>
      </c>
      <c r="B1676" t="s">
        <v>2440</v>
      </c>
      <c r="C1676">
        <v>5</v>
      </c>
      <c r="D1676">
        <v>36</v>
      </c>
      <c r="E1676" s="1">
        <v>1.0833333333333333</v>
      </c>
      <c r="F1676" t="s">
        <v>2439</v>
      </c>
      <c r="G1676">
        <v>0</v>
      </c>
      <c r="H1676">
        <v>1081.4906000000001</v>
      </c>
      <c r="I1676">
        <v>2.5</v>
      </c>
      <c r="J1676">
        <v>1163.79</v>
      </c>
      <c r="K1676">
        <v>1.9580666999707901</v>
      </c>
      <c r="L1676">
        <v>1158.8800000000001</v>
      </c>
      <c r="M1676" t="s">
        <v>27</v>
      </c>
      <c r="N1676">
        <v>1</v>
      </c>
      <c r="O1676">
        <v>1282</v>
      </c>
      <c r="P1676">
        <v>1109</v>
      </c>
      <c r="Q1676">
        <v>0</v>
      </c>
      <c r="R1676">
        <v>1109</v>
      </c>
    </row>
    <row r="1677" spans="1:18" x14ac:dyDescent="0.3">
      <c r="A1677" s="5">
        <v>45968</v>
      </c>
      <c r="B1677" t="s">
        <v>2441</v>
      </c>
      <c r="C1677">
        <v>6</v>
      </c>
      <c r="D1677">
        <v>36</v>
      </c>
      <c r="E1677" s="1">
        <v>1.0833333333333333</v>
      </c>
      <c r="F1677" t="s">
        <v>2439</v>
      </c>
      <c r="G1677">
        <v>0</v>
      </c>
      <c r="H1677">
        <v>1081.4728</v>
      </c>
      <c r="I1677">
        <v>2.5</v>
      </c>
      <c r="J1677">
        <v>1163.79</v>
      </c>
      <c r="K1677">
        <v>1.9580666999707901</v>
      </c>
      <c r="L1677">
        <v>1158.8800000000001</v>
      </c>
      <c r="M1677" t="s">
        <v>27</v>
      </c>
      <c r="N1677">
        <v>1</v>
      </c>
      <c r="O1677">
        <v>1282</v>
      </c>
      <c r="P1677">
        <v>1109</v>
      </c>
      <c r="Q1677">
        <v>0</v>
      </c>
      <c r="R1677">
        <v>1109</v>
      </c>
    </row>
    <row r="1678" spans="1:18" x14ac:dyDescent="0.3">
      <c r="A1678" s="5">
        <v>45968</v>
      </c>
      <c r="B1678" t="s">
        <v>2442</v>
      </c>
      <c r="C1678">
        <v>14</v>
      </c>
      <c r="D1678">
        <v>36</v>
      </c>
      <c r="E1678" s="1">
        <v>1.0833333333333333</v>
      </c>
      <c r="F1678" t="s">
        <v>2439</v>
      </c>
      <c r="G1678">
        <v>0</v>
      </c>
      <c r="H1678">
        <v>1081.329</v>
      </c>
      <c r="I1678">
        <v>2.5</v>
      </c>
      <c r="J1678">
        <v>1163.79</v>
      </c>
      <c r="K1678">
        <v>1.9580666999707901</v>
      </c>
      <c r="L1678">
        <v>1158.8800000000001</v>
      </c>
      <c r="M1678" t="s">
        <v>27</v>
      </c>
      <c r="N1678">
        <v>1</v>
      </c>
      <c r="O1678">
        <v>1281</v>
      </c>
      <c r="P1678">
        <v>1108</v>
      </c>
      <c r="Q1678">
        <v>0</v>
      </c>
      <c r="R1678">
        <v>1108</v>
      </c>
    </row>
    <row r="1679" spans="1:18" x14ac:dyDescent="0.3">
      <c r="A1679" s="5">
        <v>45968</v>
      </c>
      <c r="B1679" t="s">
        <v>2443</v>
      </c>
      <c r="C1679">
        <v>18</v>
      </c>
      <c r="D1679">
        <v>36</v>
      </c>
      <c r="E1679" s="1">
        <v>1.25</v>
      </c>
      <c r="F1679" t="s">
        <v>2444</v>
      </c>
      <c r="G1679">
        <v>4</v>
      </c>
      <c r="H1679">
        <v>1081.2550000000001</v>
      </c>
      <c r="I1679">
        <v>7</v>
      </c>
      <c r="J1679">
        <v>1163.79</v>
      </c>
      <c r="K1679">
        <v>5.4825867599182097</v>
      </c>
      <c r="L1679">
        <v>1219.83</v>
      </c>
      <c r="M1679" t="s">
        <v>27</v>
      </c>
      <c r="N1679">
        <v>1</v>
      </c>
      <c r="O1679">
        <v>1330</v>
      </c>
      <c r="P1679">
        <v>1157</v>
      </c>
      <c r="Q1679">
        <v>0</v>
      </c>
      <c r="R1679">
        <v>1157</v>
      </c>
    </row>
    <row r="1680" spans="1:18" x14ac:dyDescent="0.3">
      <c r="A1680" s="5">
        <v>45968</v>
      </c>
      <c r="B1680" t="s">
        <v>2445</v>
      </c>
      <c r="C1680">
        <v>32</v>
      </c>
      <c r="D1680">
        <v>36</v>
      </c>
      <c r="E1680" s="1">
        <v>1.25</v>
      </c>
      <c r="F1680" t="s">
        <v>2446</v>
      </c>
      <c r="G1680">
        <v>4</v>
      </c>
      <c r="H1680">
        <v>1080.8716999999999</v>
      </c>
      <c r="I1680">
        <v>7</v>
      </c>
      <c r="J1680">
        <v>1163.79</v>
      </c>
      <c r="K1680">
        <v>5.4825867599182097</v>
      </c>
      <c r="L1680">
        <v>1219.83</v>
      </c>
      <c r="M1680" t="s">
        <v>27</v>
      </c>
      <c r="N1680">
        <v>1</v>
      </c>
      <c r="O1680">
        <v>1329</v>
      </c>
      <c r="P1680">
        <v>1157</v>
      </c>
      <c r="Q1680">
        <v>0</v>
      </c>
      <c r="R1680">
        <v>1157</v>
      </c>
    </row>
    <row r="1681" spans="1:18" x14ac:dyDescent="0.3">
      <c r="A1681" s="5">
        <v>45968</v>
      </c>
      <c r="B1681" t="s">
        <v>2447</v>
      </c>
      <c r="C1681">
        <v>11</v>
      </c>
      <c r="D1681">
        <v>36</v>
      </c>
      <c r="E1681" s="1">
        <v>1.0833333333333333</v>
      </c>
      <c r="F1681" t="s">
        <v>2448</v>
      </c>
      <c r="G1681">
        <v>5</v>
      </c>
      <c r="H1681">
        <v>1081.3952999999999</v>
      </c>
      <c r="I1681">
        <v>0</v>
      </c>
      <c r="J1681">
        <v>1163.79</v>
      </c>
      <c r="K1681">
        <v>0</v>
      </c>
      <c r="L1681">
        <v>1158.8800000000001</v>
      </c>
      <c r="M1681" t="s">
        <v>27</v>
      </c>
      <c r="N1681">
        <v>1</v>
      </c>
      <c r="O1681">
        <v>1254</v>
      </c>
      <c r="P1681">
        <v>1081</v>
      </c>
      <c r="Q1681">
        <v>0</v>
      </c>
      <c r="R1681">
        <v>1081</v>
      </c>
    </row>
    <row r="1682" spans="1:18" x14ac:dyDescent="0.3">
      <c r="A1682" s="5">
        <v>45968</v>
      </c>
      <c r="B1682" t="s">
        <v>2449</v>
      </c>
      <c r="C1682">
        <v>8</v>
      </c>
      <c r="D1682">
        <v>36</v>
      </c>
      <c r="E1682" s="1">
        <v>1.0833333333333333</v>
      </c>
      <c r="F1682" t="s">
        <v>2448</v>
      </c>
      <c r="G1682">
        <v>5</v>
      </c>
      <c r="H1682">
        <v>1081.4493</v>
      </c>
      <c r="I1682">
        <v>0</v>
      </c>
      <c r="J1682">
        <v>1163.79</v>
      </c>
      <c r="K1682">
        <v>0</v>
      </c>
      <c r="L1682">
        <v>1158.8800000000001</v>
      </c>
      <c r="M1682" t="s">
        <v>27</v>
      </c>
      <c r="N1682">
        <v>1</v>
      </c>
      <c r="O1682">
        <v>1254</v>
      </c>
      <c r="P1682">
        <v>1081</v>
      </c>
      <c r="Q1682">
        <v>0</v>
      </c>
      <c r="R1682">
        <v>1081</v>
      </c>
    </row>
    <row r="1683" spans="1:18" x14ac:dyDescent="0.3">
      <c r="A1683" s="5">
        <v>45968</v>
      </c>
      <c r="B1683" t="s">
        <v>2450</v>
      </c>
      <c r="C1683">
        <v>20</v>
      </c>
      <c r="D1683">
        <v>36</v>
      </c>
      <c r="E1683" s="1">
        <v>1.0833333333333333</v>
      </c>
      <c r="F1683" t="s">
        <v>2451</v>
      </c>
      <c r="G1683">
        <v>1</v>
      </c>
      <c r="H1683">
        <v>1081.2334000000001</v>
      </c>
      <c r="I1683">
        <v>8.5</v>
      </c>
      <c r="J1683">
        <v>1163.79</v>
      </c>
      <c r="K1683">
        <v>6.6574267799006801</v>
      </c>
      <c r="L1683">
        <v>1158.8800000000001</v>
      </c>
      <c r="M1683" t="s">
        <v>27</v>
      </c>
      <c r="N1683">
        <v>1</v>
      </c>
      <c r="O1683">
        <v>1346</v>
      </c>
      <c r="P1683">
        <v>1173</v>
      </c>
      <c r="Q1683">
        <v>0</v>
      </c>
      <c r="R1683">
        <v>1173</v>
      </c>
    </row>
    <row r="1684" spans="1:18" x14ac:dyDescent="0.3">
      <c r="A1684" s="5">
        <v>45968</v>
      </c>
      <c r="B1684" t="s">
        <v>2452</v>
      </c>
      <c r="C1684">
        <v>34</v>
      </c>
      <c r="D1684">
        <v>36</v>
      </c>
      <c r="E1684" s="1">
        <v>1.25</v>
      </c>
      <c r="F1684" t="s">
        <v>2453</v>
      </c>
      <c r="G1684">
        <v>4</v>
      </c>
      <c r="H1684">
        <v>1078.8026</v>
      </c>
      <c r="I1684">
        <v>7</v>
      </c>
      <c r="J1684">
        <v>1163.79</v>
      </c>
      <c r="K1684">
        <v>5.4825867599182097</v>
      </c>
      <c r="L1684">
        <v>1219.83</v>
      </c>
      <c r="M1684" t="s">
        <v>27</v>
      </c>
      <c r="N1684">
        <v>1</v>
      </c>
      <c r="O1684">
        <v>1327</v>
      </c>
      <c r="P1684">
        <v>1154</v>
      </c>
      <c r="Q1684">
        <v>0</v>
      </c>
      <c r="R1684">
        <v>1154</v>
      </c>
    </row>
    <row r="1685" spans="1:18" x14ac:dyDescent="0.3">
      <c r="A1685" s="5">
        <v>45968</v>
      </c>
      <c r="B1685" t="s">
        <v>2454</v>
      </c>
      <c r="C1685">
        <v>14</v>
      </c>
      <c r="D1685">
        <v>36</v>
      </c>
      <c r="E1685" s="1">
        <v>1.25</v>
      </c>
      <c r="F1685" t="s">
        <v>2455</v>
      </c>
      <c r="G1685">
        <v>3</v>
      </c>
      <c r="H1685">
        <v>1081.3236999999999</v>
      </c>
      <c r="I1685">
        <v>10</v>
      </c>
      <c r="J1685">
        <v>1163.79</v>
      </c>
      <c r="K1685">
        <v>7.8322667998831603</v>
      </c>
      <c r="L1685">
        <v>609.91</v>
      </c>
      <c r="M1685" t="s">
        <v>20</v>
      </c>
      <c r="N1685">
        <v>1</v>
      </c>
      <c r="O1685">
        <v>1362</v>
      </c>
      <c r="P1685">
        <v>1189</v>
      </c>
      <c r="Q1685">
        <v>0.5</v>
      </c>
      <c r="R1685">
        <v>594.5</v>
      </c>
    </row>
    <row r="1686" spans="1:18" x14ac:dyDescent="0.3">
      <c r="A1686" s="5">
        <v>45968</v>
      </c>
      <c r="B1686" t="s">
        <v>2456</v>
      </c>
      <c r="C1686">
        <v>29</v>
      </c>
      <c r="D1686">
        <v>36</v>
      </c>
      <c r="E1686" s="1">
        <v>1.25</v>
      </c>
      <c r="F1686" t="s">
        <v>2457</v>
      </c>
      <c r="G1686">
        <v>1</v>
      </c>
      <c r="H1686">
        <v>1080.9335000000001</v>
      </c>
      <c r="I1686">
        <v>8.5</v>
      </c>
      <c r="J1686">
        <v>1163.79</v>
      </c>
      <c r="K1686">
        <v>6.6574267799006801</v>
      </c>
      <c r="L1686">
        <v>1219.83</v>
      </c>
      <c r="M1686" t="s">
        <v>27</v>
      </c>
      <c r="N1686">
        <v>1</v>
      </c>
      <c r="O1686">
        <v>1346</v>
      </c>
      <c r="P1686">
        <v>1173</v>
      </c>
      <c r="Q1686">
        <v>0</v>
      </c>
      <c r="R1686">
        <v>1173</v>
      </c>
    </row>
    <row r="1687" spans="1:18" x14ac:dyDescent="0.3">
      <c r="A1687" s="5">
        <v>45968</v>
      </c>
      <c r="B1687" t="s">
        <v>2458</v>
      </c>
      <c r="C1687">
        <v>9</v>
      </c>
      <c r="D1687">
        <v>36</v>
      </c>
      <c r="E1687" s="1">
        <v>1.25</v>
      </c>
      <c r="F1687" t="s">
        <v>2459</v>
      </c>
      <c r="G1687">
        <v>4</v>
      </c>
      <c r="H1687">
        <v>1081.5056999999999</v>
      </c>
      <c r="I1687">
        <v>7</v>
      </c>
      <c r="J1687">
        <v>1163.79</v>
      </c>
      <c r="K1687">
        <v>5.4825867599182097</v>
      </c>
      <c r="L1687">
        <v>1097.8399999999999</v>
      </c>
      <c r="M1687" t="s">
        <v>27</v>
      </c>
      <c r="N1687">
        <v>1</v>
      </c>
      <c r="O1687">
        <v>1330</v>
      </c>
      <c r="P1687">
        <v>1157</v>
      </c>
      <c r="Q1687">
        <v>0</v>
      </c>
      <c r="R1687">
        <v>1157</v>
      </c>
    </row>
    <row r="1688" spans="1:18" x14ac:dyDescent="0.3">
      <c r="A1688" s="5">
        <v>45968</v>
      </c>
      <c r="B1688" t="s">
        <v>2460</v>
      </c>
      <c r="C1688">
        <v>28</v>
      </c>
      <c r="D1688">
        <v>36</v>
      </c>
      <c r="E1688" s="1">
        <v>1.25</v>
      </c>
      <c r="F1688" t="s">
        <v>2461</v>
      </c>
      <c r="G1688">
        <v>4</v>
      </c>
      <c r="H1688">
        <v>1080.9512999999999</v>
      </c>
      <c r="I1688">
        <v>7</v>
      </c>
      <c r="J1688">
        <v>1163.79</v>
      </c>
      <c r="K1688">
        <v>5.4825867599182097</v>
      </c>
      <c r="L1688">
        <v>1158.8800000000001</v>
      </c>
      <c r="M1688" t="s">
        <v>27</v>
      </c>
      <c r="N1688">
        <v>1</v>
      </c>
      <c r="O1688">
        <v>1330</v>
      </c>
      <c r="P1688">
        <v>1157</v>
      </c>
      <c r="Q1688">
        <v>0</v>
      </c>
      <c r="R1688">
        <v>1157</v>
      </c>
    </row>
    <row r="1689" spans="1:18" x14ac:dyDescent="0.3">
      <c r="A1689" s="5">
        <v>45968</v>
      </c>
      <c r="B1689" t="s">
        <v>2460</v>
      </c>
      <c r="C1689">
        <v>28</v>
      </c>
      <c r="D1689">
        <v>36</v>
      </c>
      <c r="E1689" s="1">
        <v>1.25</v>
      </c>
      <c r="F1689" t="s">
        <v>2461</v>
      </c>
      <c r="G1689">
        <v>4</v>
      </c>
      <c r="H1689">
        <v>1080.9512999999999</v>
      </c>
      <c r="I1689">
        <v>7</v>
      </c>
      <c r="J1689">
        <v>1163.79</v>
      </c>
      <c r="K1689">
        <v>5.4825867599182097</v>
      </c>
      <c r="L1689">
        <v>1158.8800000000001</v>
      </c>
      <c r="M1689" t="s">
        <v>27</v>
      </c>
      <c r="N1689">
        <v>1</v>
      </c>
      <c r="O1689">
        <v>1330</v>
      </c>
      <c r="P1689">
        <v>1157</v>
      </c>
      <c r="Q1689">
        <v>0</v>
      </c>
      <c r="R1689">
        <v>1157</v>
      </c>
    </row>
    <row r="1690" spans="1:18" x14ac:dyDescent="0.3">
      <c r="A1690" s="5">
        <v>45968</v>
      </c>
      <c r="B1690" t="s">
        <v>2462</v>
      </c>
      <c r="C1690">
        <v>33</v>
      </c>
      <c r="D1690">
        <v>36</v>
      </c>
      <c r="E1690" s="1">
        <v>1.25</v>
      </c>
      <c r="F1690" t="s">
        <v>2461</v>
      </c>
      <c r="G1690">
        <v>4</v>
      </c>
      <c r="H1690">
        <v>1080.8615</v>
      </c>
      <c r="I1690">
        <v>7</v>
      </c>
      <c r="J1690">
        <v>1163.79</v>
      </c>
      <c r="K1690">
        <v>5.4825867599182097</v>
      </c>
      <c r="L1690">
        <v>1158.8800000000001</v>
      </c>
      <c r="M1690" t="s">
        <v>27</v>
      </c>
      <c r="N1690">
        <v>1</v>
      </c>
      <c r="O1690">
        <v>1329</v>
      </c>
      <c r="P1690">
        <v>1157</v>
      </c>
      <c r="Q1690">
        <v>0</v>
      </c>
      <c r="R1690">
        <v>1157</v>
      </c>
    </row>
    <row r="1691" spans="1:18" x14ac:dyDescent="0.3">
      <c r="A1691" s="5">
        <v>45968</v>
      </c>
      <c r="B1691" t="s">
        <v>2462</v>
      </c>
      <c r="C1691">
        <v>33</v>
      </c>
      <c r="D1691">
        <v>36</v>
      </c>
      <c r="E1691" s="1">
        <v>1.25</v>
      </c>
      <c r="F1691" t="s">
        <v>2461</v>
      </c>
      <c r="G1691">
        <v>4</v>
      </c>
      <c r="H1691">
        <v>1080.8615</v>
      </c>
      <c r="I1691">
        <v>7</v>
      </c>
      <c r="J1691">
        <v>1163.79</v>
      </c>
      <c r="K1691">
        <v>5.4825867599182097</v>
      </c>
      <c r="L1691">
        <v>1158.8800000000001</v>
      </c>
      <c r="M1691" t="s">
        <v>27</v>
      </c>
      <c r="N1691">
        <v>1</v>
      </c>
      <c r="O1691">
        <v>1329</v>
      </c>
      <c r="P1691">
        <v>1157</v>
      </c>
      <c r="Q1691">
        <v>0</v>
      </c>
      <c r="R1691">
        <v>1157</v>
      </c>
    </row>
    <row r="1692" spans="1:18" x14ac:dyDescent="0.3">
      <c r="A1692" s="5">
        <v>45968</v>
      </c>
      <c r="B1692" t="s">
        <v>2463</v>
      </c>
      <c r="C1692">
        <v>10</v>
      </c>
      <c r="D1692">
        <v>36</v>
      </c>
      <c r="E1692" s="1">
        <v>1.9993055555555554</v>
      </c>
      <c r="F1692" t="s">
        <v>2464</v>
      </c>
      <c r="G1692">
        <v>5</v>
      </c>
      <c r="H1692">
        <v>1081.1766</v>
      </c>
      <c r="I1692">
        <v>0</v>
      </c>
      <c r="J1692">
        <v>1163.79</v>
      </c>
      <c r="K1692">
        <v>0</v>
      </c>
      <c r="L1692">
        <v>1158.8800000000001</v>
      </c>
      <c r="M1692" t="s">
        <v>27</v>
      </c>
      <c r="N1692">
        <v>1</v>
      </c>
      <c r="O1692">
        <v>1254</v>
      </c>
      <c r="P1692">
        <v>1081</v>
      </c>
      <c r="Q1692">
        <v>0</v>
      </c>
      <c r="R1692">
        <v>1081</v>
      </c>
    </row>
    <row r="1693" spans="1:18" x14ac:dyDescent="0.3">
      <c r="A1693" s="5">
        <v>45968</v>
      </c>
      <c r="B1693" t="s">
        <v>2465</v>
      </c>
      <c r="C1693">
        <v>22</v>
      </c>
      <c r="D1693">
        <v>36</v>
      </c>
      <c r="E1693" s="1">
        <v>1.0833333333333333</v>
      </c>
      <c r="F1693" t="s">
        <v>2466</v>
      </c>
      <c r="G1693">
        <v>2</v>
      </c>
      <c r="H1693">
        <v>1081.2102</v>
      </c>
      <c r="I1693">
        <v>5</v>
      </c>
      <c r="J1693">
        <v>1163.79</v>
      </c>
      <c r="K1693">
        <v>3.9161333999415802</v>
      </c>
      <c r="L1693">
        <v>609.91</v>
      </c>
      <c r="M1693" t="s">
        <v>60</v>
      </c>
      <c r="N1693">
        <v>1</v>
      </c>
      <c r="O1693">
        <v>1308</v>
      </c>
      <c r="P1693">
        <v>1135</v>
      </c>
      <c r="Q1693">
        <v>0.5</v>
      </c>
      <c r="R1693">
        <v>567.5</v>
      </c>
    </row>
    <row r="1694" spans="1:18" x14ac:dyDescent="0.3">
      <c r="A1694" s="5">
        <v>45968</v>
      </c>
      <c r="B1694" t="s">
        <v>2467</v>
      </c>
      <c r="C1694">
        <v>13</v>
      </c>
      <c r="D1694">
        <v>36</v>
      </c>
      <c r="E1694" s="1">
        <v>1.4583333333333333</v>
      </c>
      <c r="F1694" t="s">
        <v>2468</v>
      </c>
      <c r="G1694">
        <v>5</v>
      </c>
      <c r="H1694">
        <v>1081.3486</v>
      </c>
      <c r="I1694">
        <v>0</v>
      </c>
      <c r="J1694">
        <v>1163.79</v>
      </c>
      <c r="K1694">
        <v>0</v>
      </c>
      <c r="L1694">
        <v>1158.8800000000001</v>
      </c>
      <c r="M1694" t="s">
        <v>27</v>
      </c>
      <c r="N1694">
        <v>1</v>
      </c>
      <c r="O1694">
        <v>1254</v>
      </c>
      <c r="P1694">
        <v>1081</v>
      </c>
      <c r="Q1694">
        <v>0</v>
      </c>
      <c r="R1694">
        <v>1081</v>
      </c>
    </row>
    <row r="1695" spans="1:18" x14ac:dyDescent="0.3">
      <c r="A1695" s="5">
        <v>45968</v>
      </c>
      <c r="B1695" t="s">
        <v>2469</v>
      </c>
      <c r="C1695">
        <v>1</v>
      </c>
      <c r="D1695">
        <v>36</v>
      </c>
      <c r="E1695" s="1">
        <v>1.9791666666666665</v>
      </c>
      <c r="F1695" t="s">
        <v>2470</v>
      </c>
      <c r="G1695">
        <v>5</v>
      </c>
      <c r="H1695">
        <v>1081.3375000000001</v>
      </c>
      <c r="I1695">
        <v>0</v>
      </c>
      <c r="J1695">
        <v>1163.79</v>
      </c>
      <c r="K1695">
        <v>0</v>
      </c>
      <c r="L1695">
        <v>1158.8800000000001</v>
      </c>
      <c r="M1695" t="s">
        <v>27</v>
      </c>
      <c r="N1695">
        <v>1</v>
      </c>
      <c r="O1695">
        <v>1254</v>
      </c>
      <c r="P1695">
        <v>1081</v>
      </c>
      <c r="Q1695">
        <v>0</v>
      </c>
      <c r="R1695">
        <v>1081</v>
      </c>
    </row>
    <row r="1696" spans="1:18" x14ac:dyDescent="0.3">
      <c r="A1696" s="5">
        <v>45968</v>
      </c>
      <c r="B1696" t="s">
        <v>2471</v>
      </c>
      <c r="C1696">
        <v>3</v>
      </c>
      <c r="D1696">
        <v>36</v>
      </c>
      <c r="E1696" s="1">
        <v>1.4583333333333333</v>
      </c>
      <c r="F1696" t="s">
        <v>2472</v>
      </c>
      <c r="G1696">
        <v>1</v>
      </c>
      <c r="H1696">
        <v>1081.5160000000001</v>
      </c>
      <c r="I1696">
        <v>8.5</v>
      </c>
      <c r="J1696">
        <v>1163.79</v>
      </c>
      <c r="K1696">
        <v>6.6574267799006801</v>
      </c>
      <c r="L1696">
        <v>1219.83</v>
      </c>
      <c r="M1696" t="s">
        <v>27</v>
      </c>
      <c r="N1696">
        <v>1</v>
      </c>
      <c r="O1696">
        <v>1346</v>
      </c>
      <c r="P1696">
        <v>1173</v>
      </c>
      <c r="Q1696">
        <v>0</v>
      </c>
      <c r="R1696">
        <v>1173</v>
      </c>
    </row>
    <row r="1697" spans="1:18" x14ac:dyDescent="0.3">
      <c r="A1697" s="5">
        <v>45968</v>
      </c>
      <c r="B1697" t="s">
        <v>2473</v>
      </c>
      <c r="C1697">
        <v>4</v>
      </c>
      <c r="D1697">
        <v>36</v>
      </c>
      <c r="E1697" s="1">
        <v>1.4583333333333333</v>
      </c>
      <c r="F1697" t="s">
        <v>2474</v>
      </c>
      <c r="G1697">
        <v>1</v>
      </c>
      <c r="H1697">
        <v>1081.3756000000001</v>
      </c>
      <c r="I1697">
        <v>8.5</v>
      </c>
      <c r="J1697">
        <v>1163.79</v>
      </c>
      <c r="K1697">
        <v>6.6574267799006801</v>
      </c>
      <c r="L1697">
        <v>1219.83</v>
      </c>
      <c r="M1697" t="s">
        <v>27</v>
      </c>
      <c r="N1697">
        <v>1</v>
      </c>
      <c r="O1697">
        <v>1346</v>
      </c>
      <c r="P1697">
        <v>1173</v>
      </c>
      <c r="Q1697">
        <v>0</v>
      </c>
      <c r="R1697">
        <v>1173</v>
      </c>
    </row>
    <row r="1698" spans="1:18" x14ac:dyDescent="0.3">
      <c r="A1698" s="5">
        <v>45968</v>
      </c>
      <c r="B1698" t="s">
        <v>2475</v>
      </c>
      <c r="C1698">
        <v>19</v>
      </c>
      <c r="D1698">
        <v>36</v>
      </c>
      <c r="E1698" s="1">
        <v>1.4583333333333333</v>
      </c>
      <c r="F1698" t="s">
        <v>2476</v>
      </c>
      <c r="G1698">
        <v>5</v>
      </c>
      <c r="H1698">
        <v>1081.2275</v>
      </c>
      <c r="I1698">
        <v>0</v>
      </c>
      <c r="J1698">
        <v>1163.79</v>
      </c>
      <c r="K1698">
        <v>0</v>
      </c>
      <c r="L1698">
        <v>1158.8800000000001</v>
      </c>
      <c r="M1698" t="s">
        <v>27</v>
      </c>
      <c r="N1698">
        <v>1</v>
      </c>
      <c r="O1698">
        <v>1254</v>
      </c>
      <c r="P1698">
        <v>1081</v>
      </c>
      <c r="Q1698">
        <v>0</v>
      </c>
      <c r="R1698">
        <v>1081</v>
      </c>
    </row>
    <row r="1699" spans="1:18" x14ac:dyDescent="0.3">
      <c r="A1699" s="5">
        <v>45968</v>
      </c>
      <c r="B1699" t="s">
        <v>2477</v>
      </c>
      <c r="C1699">
        <v>28</v>
      </c>
      <c r="D1699">
        <v>36</v>
      </c>
      <c r="E1699" s="1">
        <v>1.4583333333333333</v>
      </c>
      <c r="F1699" t="s">
        <v>2478</v>
      </c>
      <c r="G1699">
        <v>1</v>
      </c>
      <c r="H1699">
        <v>1080.943</v>
      </c>
      <c r="I1699">
        <v>8.5</v>
      </c>
      <c r="J1699">
        <v>1163.79</v>
      </c>
      <c r="K1699">
        <v>6.6574267799006801</v>
      </c>
      <c r="L1699">
        <v>1219.83</v>
      </c>
      <c r="M1699" t="s">
        <v>27</v>
      </c>
      <c r="N1699">
        <v>1</v>
      </c>
      <c r="O1699">
        <v>1346</v>
      </c>
      <c r="P1699">
        <v>1173</v>
      </c>
      <c r="Q1699">
        <v>0</v>
      </c>
      <c r="R1699">
        <v>1173</v>
      </c>
    </row>
    <row r="1700" spans="1:18" x14ac:dyDescent="0.3">
      <c r="A1700" s="5">
        <v>45968</v>
      </c>
      <c r="B1700" t="s">
        <v>2479</v>
      </c>
      <c r="C1700">
        <v>29</v>
      </c>
      <c r="D1700">
        <v>36</v>
      </c>
      <c r="E1700" s="1">
        <v>1.4583333333333333</v>
      </c>
      <c r="F1700" t="s">
        <v>2480</v>
      </c>
      <c r="G1700">
        <v>1</v>
      </c>
      <c r="H1700">
        <v>1080.925</v>
      </c>
      <c r="I1700">
        <v>8.5</v>
      </c>
      <c r="J1700">
        <v>1163.79</v>
      </c>
      <c r="K1700">
        <v>6.6574267799006801</v>
      </c>
      <c r="L1700">
        <v>1219.83</v>
      </c>
      <c r="M1700" t="s">
        <v>27</v>
      </c>
      <c r="N1700">
        <v>1</v>
      </c>
      <c r="O1700">
        <v>1346</v>
      </c>
      <c r="P1700">
        <v>1173</v>
      </c>
      <c r="Q1700">
        <v>0</v>
      </c>
      <c r="R1700">
        <v>1173</v>
      </c>
    </row>
    <row r="1701" spans="1:18" x14ac:dyDescent="0.3">
      <c r="A1701" s="5">
        <v>45968</v>
      </c>
      <c r="B1701" t="s">
        <v>2481</v>
      </c>
      <c r="C1701">
        <v>35</v>
      </c>
      <c r="D1701">
        <v>36</v>
      </c>
      <c r="E1701" s="1">
        <v>1.4583333333333333</v>
      </c>
      <c r="F1701" t="s">
        <v>2482</v>
      </c>
      <c r="G1701">
        <v>1</v>
      </c>
      <c r="H1701">
        <v>1080.817</v>
      </c>
      <c r="I1701">
        <v>8.5</v>
      </c>
      <c r="J1701">
        <v>1163.79</v>
      </c>
      <c r="K1701">
        <v>6.6574267799006801</v>
      </c>
      <c r="L1701">
        <v>1219.83</v>
      </c>
      <c r="M1701" t="s">
        <v>27</v>
      </c>
      <c r="N1701">
        <v>1</v>
      </c>
      <c r="O1701">
        <v>1346</v>
      </c>
      <c r="P1701">
        <v>1173</v>
      </c>
      <c r="Q1701">
        <v>0</v>
      </c>
      <c r="R1701">
        <v>1173</v>
      </c>
    </row>
    <row r="1702" spans="1:18" x14ac:dyDescent="0.3">
      <c r="A1702" s="5">
        <v>45968</v>
      </c>
      <c r="B1702" t="s">
        <v>2483</v>
      </c>
      <c r="C1702">
        <v>2</v>
      </c>
      <c r="D1702">
        <v>36</v>
      </c>
      <c r="E1702" s="1">
        <v>1.9791666666666665</v>
      </c>
      <c r="F1702" t="s">
        <v>2484</v>
      </c>
      <c r="G1702">
        <v>1</v>
      </c>
      <c r="H1702">
        <v>1081.2397000000001</v>
      </c>
      <c r="I1702">
        <v>8.5</v>
      </c>
      <c r="J1702">
        <v>1163.79</v>
      </c>
      <c r="K1702">
        <v>6.6574267799006801</v>
      </c>
      <c r="L1702">
        <v>1219.83</v>
      </c>
      <c r="M1702" t="s">
        <v>27</v>
      </c>
      <c r="N1702">
        <v>1</v>
      </c>
      <c r="O1702">
        <v>1346</v>
      </c>
      <c r="P1702">
        <v>1173</v>
      </c>
      <c r="Q1702">
        <v>0</v>
      </c>
      <c r="R1702">
        <v>1173</v>
      </c>
    </row>
    <row r="1703" spans="1:18" x14ac:dyDescent="0.3">
      <c r="A1703" s="5">
        <v>45968</v>
      </c>
      <c r="B1703" t="s">
        <v>2485</v>
      </c>
      <c r="C1703">
        <v>3</v>
      </c>
      <c r="D1703">
        <v>36</v>
      </c>
      <c r="E1703" s="1">
        <v>1.9791666666666665</v>
      </c>
      <c r="F1703" t="s">
        <v>2486</v>
      </c>
      <c r="G1703">
        <v>4</v>
      </c>
      <c r="H1703">
        <v>1081.2218</v>
      </c>
      <c r="I1703">
        <v>7</v>
      </c>
      <c r="J1703">
        <v>1163.79</v>
      </c>
      <c r="K1703">
        <v>5.4825867599182097</v>
      </c>
      <c r="L1703">
        <v>1219.83</v>
      </c>
      <c r="M1703" t="s">
        <v>27</v>
      </c>
      <c r="N1703">
        <v>1</v>
      </c>
      <c r="O1703">
        <v>1330</v>
      </c>
      <c r="P1703">
        <v>1157</v>
      </c>
      <c r="Q1703">
        <v>0</v>
      </c>
      <c r="R1703">
        <v>1157</v>
      </c>
    </row>
    <row r="1704" spans="1:18" x14ac:dyDescent="0.3">
      <c r="A1704" s="5">
        <v>45968</v>
      </c>
      <c r="B1704" t="s">
        <v>2483</v>
      </c>
      <c r="C1704">
        <v>5</v>
      </c>
      <c r="D1704">
        <v>36</v>
      </c>
      <c r="E1704" s="1">
        <v>1.9791666666666665</v>
      </c>
      <c r="F1704" t="s">
        <v>2484</v>
      </c>
      <c r="G1704">
        <v>1</v>
      </c>
      <c r="H1704">
        <v>1081.2543000000001</v>
      </c>
      <c r="I1704">
        <v>8.5</v>
      </c>
      <c r="J1704">
        <v>1163.79</v>
      </c>
      <c r="K1704">
        <v>6.6574267799006801</v>
      </c>
      <c r="L1704">
        <v>1219.83</v>
      </c>
      <c r="M1704" t="s">
        <v>27</v>
      </c>
      <c r="N1704">
        <v>1</v>
      </c>
      <c r="O1704">
        <v>1346</v>
      </c>
      <c r="P1704">
        <v>1173</v>
      </c>
      <c r="Q1704">
        <v>0</v>
      </c>
      <c r="R1704">
        <v>1173</v>
      </c>
    </row>
    <row r="1705" spans="1:18" x14ac:dyDescent="0.3">
      <c r="A1705" s="5">
        <v>45968</v>
      </c>
      <c r="B1705" t="s">
        <v>2485</v>
      </c>
      <c r="C1705">
        <v>6</v>
      </c>
      <c r="D1705">
        <v>36</v>
      </c>
      <c r="E1705" s="1">
        <v>1.9791666666666665</v>
      </c>
      <c r="F1705" t="s">
        <v>2486</v>
      </c>
      <c r="G1705">
        <v>1</v>
      </c>
      <c r="H1705">
        <v>1081.2361000000001</v>
      </c>
      <c r="I1705">
        <v>8.5</v>
      </c>
      <c r="J1705">
        <v>1163.79</v>
      </c>
      <c r="K1705">
        <v>6.6574267799006801</v>
      </c>
      <c r="L1705">
        <v>1219.83</v>
      </c>
      <c r="M1705" t="s">
        <v>27</v>
      </c>
      <c r="N1705">
        <v>1</v>
      </c>
      <c r="O1705">
        <v>1346</v>
      </c>
      <c r="P1705">
        <v>1173</v>
      </c>
      <c r="Q1705">
        <v>0</v>
      </c>
      <c r="R1705">
        <v>1173</v>
      </c>
    </row>
    <row r="1706" spans="1:18" x14ac:dyDescent="0.3">
      <c r="A1706" s="5">
        <v>45968</v>
      </c>
      <c r="B1706" t="s">
        <v>2487</v>
      </c>
      <c r="C1706">
        <v>25</v>
      </c>
      <c r="D1706">
        <v>36</v>
      </c>
      <c r="E1706" s="1">
        <v>1.4583333333333333</v>
      </c>
      <c r="F1706" t="s">
        <v>2488</v>
      </c>
      <c r="G1706">
        <v>1</v>
      </c>
      <c r="H1706">
        <v>1080.9970000000001</v>
      </c>
      <c r="I1706">
        <v>8.5</v>
      </c>
      <c r="J1706">
        <v>1163.79</v>
      </c>
      <c r="K1706">
        <v>6.6574267799006801</v>
      </c>
      <c r="L1706">
        <v>1219.83</v>
      </c>
      <c r="M1706" t="s">
        <v>27</v>
      </c>
      <c r="N1706">
        <v>1</v>
      </c>
      <c r="O1706">
        <v>1346</v>
      </c>
      <c r="P1706">
        <v>1173</v>
      </c>
      <c r="Q1706">
        <v>0</v>
      </c>
      <c r="R1706">
        <v>1173</v>
      </c>
    </row>
    <row r="1707" spans="1:18" x14ac:dyDescent="0.3">
      <c r="A1707" s="5">
        <v>45968</v>
      </c>
      <c r="B1707" t="s">
        <v>2489</v>
      </c>
      <c r="C1707">
        <v>15</v>
      </c>
      <c r="D1707">
        <v>36</v>
      </c>
      <c r="E1707" s="1">
        <v>1.4583333333333333</v>
      </c>
      <c r="F1707" t="s">
        <v>2490</v>
      </c>
      <c r="G1707">
        <v>5</v>
      </c>
      <c r="H1707">
        <v>1081.3113000000001</v>
      </c>
      <c r="I1707">
        <v>0</v>
      </c>
      <c r="J1707">
        <v>1163.79</v>
      </c>
      <c r="K1707">
        <v>0</v>
      </c>
      <c r="L1707">
        <v>1158.8800000000001</v>
      </c>
      <c r="M1707" t="s">
        <v>27</v>
      </c>
      <c r="N1707">
        <v>1</v>
      </c>
      <c r="O1707">
        <v>1254</v>
      </c>
      <c r="P1707">
        <v>1081</v>
      </c>
      <c r="Q1707">
        <v>0</v>
      </c>
      <c r="R1707">
        <v>1081</v>
      </c>
    </row>
    <row r="1708" spans="1:18" x14ac:dyDescent="0.3">
      <c r="A1708" s="5">
        <v>45968</v>
      </c>
      <c r="B1708" t="s">
        <v>2491</v>
      </c>
      <c r="C1708">
        <v>20</v>
      </c>
      <c r="D1708">
        <v>36</v>
      </c>
      <c r="E1708" s="1">
        <v>1.4583333333333333</v>
      </c>
      <c r="F1708" t="s">
        <v>2492</v>
      </c>
      <c r="G1708">
        <v>1</v>
      </c>
      <c r="H1708">
        <v>1081.2086999999999</v>
      </c>
      <c r="I1708">
        <v>8.5</v>
      </c>
      <c r="J1708">
        <v>1163.79</v>
      </c>
      <c r="K1708">
        <v>6.6574267799006801</v>
      </c>
      <c r="L1708">
        <v>1219.83</v>
      </c>
      <c r="M1708" t="s">
        <v>27</v>
      </c>
      <c r="N1708">
        <v>1</v>
      </c>
      <c r="O1708">
        <v>1346</v>
      </c>
      <c r="P1708">
        <v>1173</v>
      </c>
      <c r="Q1708">
        <v>0</v>
      </c>
      <c r="R1708">
        <v>1173</v>
      </c>
    </row>
    <row r="1709" spans="1:18" x14ac:dyDescent="0.3">
      <c r="A1709" s="5">
        <v>45968</v>
      </c>
      <c r="B1709" t="s">
        <v>1560</v>
      </c>
      <c r="C1709">
        <v>14</v>
      </c>
      <c r="D1709">
        <v>36</v>
      </c>
      <c r="E1709" s="1">
        <v>1.4583333333333333</v>
      </c>
      <c r="F1709" t="s">
        <v>1561</v>
      </c>
      <c r="G1709">
        <v>1</v>
      </c>
      <c r="H1709">
        <v>1081.3167000000001</v>
      </c>
      <c r="I1709">
        <v>8.5</v>
      </c>
      <c r="J1709">
        <v>1163.79</v>
      </c>
      <c r="K1709">
        <v>6.6574267799006801</v>
      </c>
      <c r="L1709">
        <v>1097.8399999999999</v>
      </c>
      <c r="M1709" t="s">
        <v>27</v>
      </c>
      <c r="N1709">
        <v>1</v>
      </c>
      <c r="O1709">
        <v>1346</v>
      </c>
      <c r="P1709">
        <v>1173</v>
      </c>
      <c r="Q1709">
        <v>0</v>
      </c>
      <c r="R1709">
        <v>1173</v>
      </c>
    </row>
    <row r="1710" spans="1:18" x14ac:dyDescent="0.3">
      <c r="A1710" s="5">
        <v>45968</v>
      </c>
      <c r="B1710" t="s">
        <v>2493</v>
      </c>
      <c r="C1710">
        <v>36</v>
      </c>
      <c r="D1710">
        <v>36</v>
      </c>
      <c r="E1710" s="1">
        <v>1.9791666666666665</v>
      </c>
      <c r="F1710" t="s">
        <v>2494</v>
      </c>
      <c r="G1710">
        <v>5</v>
      </c>
      <c r="H1710">
        <v>1080.5734</v>
      </c>
      <c r="I1710">
        <v>0</v>
      </c>
      <c r="J1710">
        <v>1163.79</v>
      </c>
      <c r="K1710">
        <v>0</v>
      </c>
      <c r="L1710">
        <v>1158.8800000000001</v>
      </c>
      <c r="M1710" t="s">
        <v>27</v>
      </c>
      <c r="N1710">
        <v>1</v>
      </c>
      <c r="O1710">
        <v>1253</v>
      </c>
      <c r="P1710">
        <v>1081</v>
      </c>
      <c r="Q1710">
        <v>0</v>
      </c>
      <c r="R1710">
        <v>1081</v>
      </c>
    </row>
    <row r="1711" spans="1:18" x14ac:dyDescent="0.3">
      <c r="A1711" s="5">
        <v>45968</v>
      </c>
      <c r="B1711" t="s">
        <v>2495</v>
      </c>
      <c r="C1711">
        <v>14</v>
      </c>
      <c r="D1711">
        <v>36</v>
      </c>
      <c r="E1711" s="1">
        <v>1.9791666666666665</v>
      </c>
      <c r="F1711" t="s">
        <v>2496</v>
      </c>
      <c r="G1711">
        <v>2</v>
      </c>
      <c r="H1711">
        <v>1081.1732999999999</v>
      </c>
      <c r="I1711">
        <v>5</v>
      </c>
      <c r="J1711">
        <v>1163.79</v>
      </c>
      <c r="K1711">
        <v>3.9161333999415802</v>
      </c>
      <c r="L1711">
        <v>609.91</v>
      </c>
      <c r="M1711" t="s">
        <v>60</v>
      </c>
      <c r="N1711">
        <v>1</v>
      </c>
      <c r="O1711">
        <v>1308</v>
      </c>
      <c r="P1711">
        <v>1135</v>
      </c>
      <c r="Q1711">
        <v>0.5</v>
      </c>
      <c r="R1711">
        <v>567.5</v>
      </c>
    </row>
    <row r="1712" spans="1:18" x14ac:dyDescent="0.3">
      <c r="A1712" s="5">
        <v>45968</v>
      </c>
      <c r="B1712" t="s">
        <v>2497</v>
      </c>
      <c r="C1712">
        <v>15</v>
      </c>
      <c r="D1712">
        <v>36</v>
      </c>
      <c r="E1712" s="1">
        <v>1.9791666666666665</v>
      </c>
      <c r="F1712" t="s">
        <v>2498</v>
      </c>
      <c r="G1712">
        <v>4</v>
      </c>
      <c r="H1712">
        <v>1081.1552999999999</v>
      </c>
      <c r="I1712">
        <v>7</v>
      </c>
      <c r="J1712">
        <v>1163.79</v>
      </c>
      <c r="K1712">
        <v>5.4825867599182097</v>
      </c>
      <c r="L1712">
        <v>1097.8399999999999</v>
      </c>
      <c r="M1712" t="s">
        <v>27</v>
      </c>
      <c r="N1712">
        <v>1</v>
      </c>
      <c r="O1712">
        <v>1330</v>
      </c>
      <c r="P1712">
        <v>1157</v>
      </c>
      <c r="Q1712">
        <v>0</v>
      </c>
      <c r="R1712">
        <v>1157</v>
      </c>
    </row>
    <row r="1713" spans="1:18" x14ac:dyDescent="0.3">
      <c r="A1713" s="5">
        <v>45968</v>
      </c>
      <c r="B1713" t="s">
        <v>2499</v>
      </c>
      <c r="C1713">
        <v>10</v>
      </c>
      <c r="D1713">
        <v>36</v>
      </c>
      <c r="E1713" s="1">
        <v>1.9791666666666665</v>
      </c>
      <c r="F1713" t="s">
        <v>2500</v>
      </c>
      <c r="G1713">
        <v>5</v>
      </c>
      <c r="H1713">
        <v>1081.1723999999999</v>
      </c>
      <c r="I1713">
        <v>0</v>
      </c>
      <c r="J1713">
        <v>1163.79</v>
      </c>
      <c r="K1713">
        <v>0</v>
      </c>
      <c r="L1713">
        <v>1158.8800000000001</v>
      </c>
      <c r="M1713" t="s">
        <v>27</v>
      </c>
      <c r="N1713">
        <v>1</v>
      </c>
      <c r="O1713">
        <v>1254</v>
      </c>
      <c r="P1713">
        <v>1081</v>
      </c>
      <c r="Q1713">
        <v>0</v>
      </c>
      <c r="R1713">
        <v>1081</v>
      </c>
    </row>
    <row r="1714" spans="1:18" x14ac:dyDescent="0.3">
      <c r="A1714" s="5">
        <v>45968</v>
      </c>
      <c r="B1714" t="s">
        <v>2501</v>
      </c>
      <c r="C1714">
        <v>14</v>
      </c>
      <c r="D1714">
        <v>36</v>
      </c>
      <c r="E1714" s="1">
        <v>1.9791666666666665</v>
      </c>
      <c r="F1714" t="s">
        <v>2502</v>
      </c>
      <c r="G1714">
        <v>3</v>
      </c>
      <c r="H1714">
        <v>1081.0907999999999</v>
      </c>
      <c r="I1714">
        <v>10</v>
      </c>
      <c r="J1714">
        <v>1163.79</v>
      </c>
      <c r="K1714">
        <v>7.8322667998831603</v>
      </c>
      <c r="L1714">
        <v>609.91</v>
      </c>
      <c r="M1714" t="s">
        <v>20</v>
      </c>
      <c r="N1714">
        <v>1</v>
      </c>
      <c r="O1714">
        <v>1362</v>
      </c>
      <c r="P1714">
        <v>1189</v>
      </c>
      <c r="Q1714">
        <v>0.5</v>
      </c>
      <c r="R1714">
        <v>594.5</v>
      </c>
    </row>
    <row r="1715" spans="1:18" x14ac:dyDescent="0.3">
      <c r="A1715" s="5">
        <v>45968</v>
      </c>
      <c r="B1715" t="s">
        <v>2503</v>
      </c>
      <c r="C1715">
        <v>36</v>
      </c>
      <c r="D1715">
        <v>36</v>
      </c>
      <c r="E1715" s="1">
        <v>1.25</v>
      </c>
      <c r="F1715" t="s">
        <v>2504</v>
      </c>
      <c r="G1715">
        <v>0</v>
      </c>
      <c r="H1715">
        <v>1080.7352000000001</v>
      </c>
      <c r="I1715">
        <v>2.5</v>
      </c>
      <c r="J1715">
        <v>1163.79</v>
      </c>
      <c r="K1715">
        <v>1.9580666999707901</v>
      </c>
      <c r="L1715">
        <v>1158.8800000000001</v>
      </c>
      <c r="M1715" t="s">
        <v>27</v>
      </c>
      <c r="N1715">
        <v>1</v>
      </c>
      <c r="O1715">
        <v>1281</v>
      </c>
      <c r="P1715">
        <v>1108</v>
      </c>
      <c r="Q1715">
        <v>0</v>
      </c>
      <c r="R1715">
        <v>1108</v>
      </c>
    </row>
    <row r="1716" spans="1:18" x14ac:dyDescent="0.3">
      <c r="A1716" s="5">
        <v>45968</v>
      </c>
      <c r="B1716" t="s">
        <v>2505</v>
      </c>
      <c r="C1716">
        <v>9</v>
      </c>
      <c r="D1716">
        <v>36</v>
      </c>
      <c r="E1716" s="1">
        <v>1.9993055555555554</v>
      </c>
      <c r="F1716" t="s">
        <v>2506</v>
      </c>
      <c r="G1716">
        <v>5</v>
      </c>
      <c r="H1716">
        <v>1081.2739999999999</v>
      </c>
      <c r="I1716">
        <v>0</v>
      </c>
      <c r="J1716">
        <v>1163.79</v>
      </c>
      <c r="K1716">
        <v>0</v>
      </c>
      <c r="L1716">
        <v>1158.8800000000001</v>
      </c>
      <c r="M1716" t="s">
        <v>27</v>
      </c>
      <c r="N1716">
        <v>1</v>
      </c>
      <c r="O1716">
        <v>1254</v>
      </c>
      <c r="P1716">
        <v>1081</v>
      </c>
      <c r="Q1716">
        <v>0</v>
      </c>
      <c r="R1716">
        <v>1081</v>
      </c>
    </row>
    <row r="1717" spans="1:18" x14ac:dyDescent="0.3">
      <c r="A1717" s="5">
        <v>45968</v>
      </c>
      <c r="B1717" t="s">
        <v>2505</v>
      </c>
      <c r="C1717">
        <v>9</v>
      </c>
      <c r="D1717">
        <v>36</v>
      </c>
      <c r="E1717" s="1">
        <v>1.9993055555555554</v>
      </c>
      <c r="F1717" t="s">
        <v>2507</v>
      </c>
      <c r="G1717">
        <v>5</v>
      </c>
      <c r="H1717">
        <v>1081.2739999999999</v>
      </c>
      <c r="I1717">
        <v>0</v>
      </c>
      <c r="J1717">
        <v>1163.79</v>
      </c>
      <c r="K1717">
        <v>0</v>
      </c>
      <c r="L1717">
        <v>1158.8800000000001</v>
      </c>
      <c r="M1717" t="s">
        <v>27</v>
      </c>
      <c r="N1717">
        <v>1</v>
      </c>
      <c r="O1717">
        <v>1254</v>
      </c>
      <c r="P1717">
        <v>1081</v>
      </c>
      <c r="Q1717">
        <v>0</v>
      </c>
      <c r="R1717">
        <v>1081</v>
      </c>
    </row>
    <row r="1718" spans="1:18" x14ac:dyDescent="0.3">
      <c r="A1718" s="5">
        <v>45968</v>
      </c>
      <c r="B1718" t="s">
        <v>2508</v>
      </c>
      <c r="C1718">
        <v>8</v>
      </c>
      <c r="D1718">
        <v>36</v>
      </c>
      <c r="E1718" s="1">
        <v>1.9993055555555554</v>
      </c>
      <c r="F1718" t="s">
        <v>2506</v>
      </c>
      <c r="G1718">
        <v>5</v>
      </c>
      <c r="H1718">
        <v>1081.2919999999999</v>
      </c>
      <c r="I1718">
        <v>0</v>
      </c>
      <c r="J1718">
        <v>1163.79</v>
      </c>
      <c r="K1718">
        <v>0</v>
      </c>
      <c r="L1718">
        <v>1158.8800000000001</v>
      </c>
      <c r="M1718" t="s">
        <v>27</v>
      </c>
      <c r="N1718">
        <v>1</v>
      </c>
      <c r="O1718">
        <v>1254</v>
      </c>
      <c r="P1718">
        <v>1081</v>
      </c>
      <c r="Q1718">
        <v>0</v>
      </c>
      <c r="R1718">
        <v>1081</v>
      </c>
    </row>
    <row r="1719" spans="1:18" x14ac:dyDescent="0.3">
      <c r="A1719" s="5">
        <v>45968</v>
      </c>
      <c r="B1719" t="s">
        <v>2508</v>
      </c>
      <c r="C1719">
        <v>8</v>
      </c>
      <c r="D1719">
        <v>36</v>
      </c>
      <c r="E1719" s="1">
        <v>1.9993055555555554</v>
      </c>
      <c r="F1719" t="s">
        <v>2507</v>
      </c>
      <c r="G1719">
        <v>5</v>
      </c>
      <c r="H1719">
        <v>1081.2919999999999</v>
      </c>
      <c r="I1719">
        <v>0</v>
      </c>
      <c r="J1719">
        <v>1163.79</v>
      </c>
      <c r="K1719">
        <v>0</v>
      </c>
      <c r="L1719">
        <v>1158.8800000000001</v>
      </c>
      <c r="M1719" t="s">
        <v>27</v>
      </c>
      <c r="N1719">
        <v>1</v>
      </c>
      <c r="O1719">
        <v>1254</v>
      </c>
      <c r="P1719">
        <v>1081</v>
      </c>
      <c r="Q1719">
        <v>0</v>
      </c>
      <c r="R1719">
        <v>1081</v>
      </c>
    </row>
    <row r="1720" spans="1:18" x14ac:dyDescent="0.3">
      <c r="A1720" s="5">
        <v>45968</v>
      </c>
      <c r="B1720" t="s">
        <v>2509</v>
      </c>
      <c r="C1720">
        <v>10</v>
      </c>
      <c r="D1720">
        <v>36</v>
      </c>
      <c r="E1720" s="1">
        <v>1.25</v>
      </c>
      <c r="F1720" t="s">
        <v>2510</v>
      </c>
      <c r="G1720">
        <v>4</v>
      </c>
      <c r="H1720">
        <v>1081.3217999999999</v>
      </c>
      <c r="I1720">
        <v>7</v>
      </c>
      <c r="J1720">
        <v>1163.79</v>
      </c>
      <c r="K1720">
        <v>5.4825867599182097</v>
      </c>
      <c r="L1720">
        <v>1219.83</v>
      </c>
      <c r="M1720" t="s">
        <v>27</v>
      </c>
      <c r="N1720">
        <v>1</v>
      </c>
      <c r="O1720">
        <v>1330</v>
      </c>
      <c r="P1720">
        <v>1157</v>
      </c>
      <c r="Q1720">
        <v>0</v>
      </c>
      <c r="R1720">
        <v>1157</v>
      </c>
    </row>
    <row r="1721" spans="1:18" x14ac:dyDescent="0.3">
      <c r="A1721" s="5">
        <v>45968</v>
      </c>
      <c r="B1721" t="s">
        <v>2511</v>
      </c>
      <c r="C1721">
        <v>21</v>
      </c>
      <c r="D1721">
        <v>36</v>
      </c>
      <c r="E1721" s="1">
        <v>1.0833333333333333</v>
      </c>
      <c r="F1721" t="s">
        <v>2512</v>
      </c>
      <c r="G1721">
        <v>4</v>
      </c>
      <c r="H1721">
        <v>1081.1383000000001</v>
      </c>
      <c r="I1721">
        <v>7</v>
      </c>
      <c r="J1721">
        <v>1163.79</v>
      </c>
      <c r="K1721">
        <v>5.4825867599182097</v>
      </c>
      <c r="L1721">
        <v>1158.8800000000001</v>
      </c>
      <c r="M1721" t="s">
        <v>27</v>
      </c>
      <c r="N1721">
        <v>1</v>
      </c>
      <c r="O1721">
        <v>1330</v>
      </c>
      <c r="P1721">
        <v>1157</v>
      </c>
      <c r="Q1721">
        <v>0</v>
      </c>
      <c r="R1721">
        <v>1157</v>
      </c>
    </row>
    <row r="1722" spans="1:18" x14ac:dyDescent="0.3">
      <c r="A1722" s="5">
        <v>45968</v>
      </c>
      <c r="B1722" t="s">
        <v>2271</v>
      </c>
      <c r="C1722">
        <v>4</v>
      </c>
      <c r="D1722">
        <v>36</v>
      </c>
      <c r="E1722" s="1">
        <v>1.0833333333333333</v>
      </c>
      <c r="F1722" t="s">
        <v>2272</v>
      </c>
      <c r="G1722">
        <v>4</v>
      </c>
      <c r="H1722">
        <v>1081.3116</v>
      </c>
      <c r="I1722">
        <v>7</v>
      </c>
      <c r="J1722">
        <v>1163.79</v>
      </c>
      <c r="K1722">
        <v>5.4825867599182097</v>
      </c>
      <c r="L1722">
        <v>1158.8800000000001</v>
      </c>
      <c r="M1722" t="s">
        <v>27</v>
      </c>
      <c r="N1722">
        <v>1</v>
      </c>
      <c r="O1722">
        <v>1330</v>
      </c>
      <c r="P1722">
        <v>1157</v>
      </c>
      <c r="Q1722">
        <v>0</v>
      </c>
      <c r="R1722">
        <v>1157</v>
      </c>
    </row>
    <row r="1723" spans="1:18" x14ac:dyDescent="0.3">
      <c r="A1723" s="5">
        <v>45968</v>
      </c>
      <c r="B1723" t="s">
        <v>2513</v>
      </c>
      <c r="C1723">
        <v>13</v>
      </c>
      <c r="D1723">
        <v>36</v>
      </c>
      <c r="E1723" s="1">
        <v>1.0833333333333333</v>
      </c>
      <c r="F1723" t="s">
        <v>2514</v>
      </c>
      <c r="G1723">
        <v>0</v>
      </c>
      <c r="H1723">
        <v>1081.2811999999999</v>
      </c>
      <c r="I1723">
        <v>2.5</v>
      </c>
      <c r="J1723">
        <v>1163.79</v>
      </c>
      <c r="K1723">
        <v>1.9580666999707901</v>
      </c>
      <c r="L1723">
        <v>1158.8800000000001</v>
      </c>
      <c r="M1723" t="s">
        <v>27</v>
      </c>
      <c r="N1723">
        <v>1</v>
      </c>
      <c r="O1723">
        <v>1281</v>
      </c>
      <c r="P1723">
        <v>1108</v>
      </c>
      <c r="Q1723">
        <v>0</v>
      </c>
      <c r="R1723">
        <v>1108</v>
      </c>
    </row>
    <row r="1724" spans="1:18" x14ac:dyDescent="0.3">
      <c r="A1724" s="5">
        <v>45968</v>
      </c>
      <c r="B1724" t="s">
        <v>2515</v>
      </c>
      <c r="C1724">
        <v>19</v>
      </c>
      <c r="D1724">
        <v>36</v>
      </c>
      <c r="E1724" s="1">
        <v>1.9791666666666665</v>
      </c>
      <c r="F1724" t="s">
        <v>2516</v>
      </c>
      <c r="G1724">
        <v>3</v>
      </c>
      <c r="H1724">
        <v>1081</v>
      </c>
      <c r="I1724">
        <v>10</v>
      </c>
      <c r="J1724">
        <v>1163.79</v>
      </c>
      <c r="K1724">
        <v>7.8322667998831603</v>
      </c>
      <c r="L1724">
        <v>609.91</v>
      </c>
      <c r="M1724" t="s">
        <v>20</v>
      </c>
      <c r="N1724">
        <v>1</v>
      </c>
      <c r="O1724">
        <v>1362</v>
      </c>
      <c r="P1724">
        <v>1189</v>
      </c>
      <c r="Q1724">
        <v>0.5</v>
      </c>
      <c r="R1724">
        <v>594.5</v>
      </c>
    </row>
    <row r="1725" spans="1:18" x14ac:dyDescent="0.3">
      <c r="A1725" s="5">
        <v>45968</v>
      </c>
      <c r="B1725" t="s">
        <v>2517</v>
      </c>
      <c r="C1725">
        <v>20</v>
      </c>
      <c r="D1725">
        <v>36</v>
      </c>
      <c r="E1725" s="1">
        <v>1.9791666666666665</v>
      </c>
      <c r="F1725" t="s">
        <v>2518</v>
      </c>
      <c r="G1725">
        <v>2</v>
      </c>
      <c r="H1725">
        <v>1080.9819</v>
      </c>
      <c r="I1725">
        <v>5</v>
      </c>
      <c r="J1725">
        <v>1163.79</v>
      </c>
      <c r="K1725">
        <v>3.9161333999415802</v>
      </c>
      <c r="L1725">
        <v>609.91</v>
      </c>
      <c r="M1725" t="s">
        <v>60</v>
      </c>
      <c r="N1725">
        <v>1</v>
      </c>
      <c r="O1725">
        <v>1308</v>
      </c>
      <c r="P1725">
        <v>1135</v>
      </c>
      <c r="Q1725">
        <v>0.5</v>
      </c>
      <c r="R1725">
        <v>567.5</v>
      </c>
    </row>
    <row r="1726" spans="1:18" x14ac:dyDescent="0.3">
      <c r="A1726" s="5">
        <v>45968</v>
      </c>
      <c r="B1726" t="s">
        <v>2519</v>
      </c>
      <c r="C1726">
        <v>22</v>
      </c>
      <c r="D1726">
        <v>36</v>
      </c>
      <c r="E1726" s="1">
        <v>1.9791666666666665</v>
      </c>
      <c r="F1726" t="s">
        <v>2520</v>
      </c>
      <c r="G1726">
        <v>1</v>
      </c>
      <c r="H1726">
        <v>1080.8276000000001</v>
      </c>
      <c r="I1726">
        <v>8.5</v>
      </c>
      <c r="J1726">
        <v>1163.79</v>
      </c>
      <c r="K1726">
        <v>6.6574267799006801</v>
      </c>
      <c r="L1726">
        <v>1097.8399999999999</v>
      </c>
      <c r="M1726" t="s">
        <v>27</v>
      </c>
      <c r="N1726">
        <v>1</v>
      </c>
      <c r="O1726">
        <v>1346</v>
      </c>
      <c r="P1726">
        <v>1173</v>
      </c>
      <c r="Q1726">
        <v>0</v>
      </c>
      <c r="R1726">
        <v>1173</v>
      </c>
    </row>
    <row r="1727" spans="1:18" x14ac:dyDescent="0.3">
      <c r="A1727" s="5">
        <v>45968</v>
      </c>
      <c r="B1727" t="s">
        <v>2521</v>
      </c>
      <c r="C1727">
        <v>23</v>
      </c>
      <c r="D1727">
        <v>36</v>
      </c>
      <c r="E1727" s="1">
        <v>1.9791666666666665</v>
      </c>
      <c r="F1727" t="s">
        <v>2522</v>
      </c>
      <c r="G1727">
        <v>1</v>
      </c>
      <c r="H1727">
        <v>1080.8097</v>
      </c>
      <c r="I1727">
        <v>8.5</v>
      </c>
      <c r="J1727">
        <v>1163.79</v>
      </c>
      <c r="K1727">
        <v>6.6574267799006801</v>
      </c>
      <c r="L1727">
        <v>1097.8399999999999</v>
      </c>
      <c r="M1727" t="s">
        <v>27</v>
      </c>
      <c r="N1727">
        <v>1</v>
      </c>
      <c r="O1727">
        <v>1346</v>
      </c>
      <c r="P1727">
        <v>1173</v>
      </c>
      <c r="Q1727">
        <v>0</v>
      </c>
      <c r="R1727">
        <v>1173</v>
      </c>
    </row>
    <row r="1728" spans="1:18" x14ac:dyDescent="0.3">
      <c r="A1728" s="5">
        <v>45968</v>
      </c>
      <c r="B1728" t="s">
        <v>2523</v>
      </c>
      <c r="C1728">
        <v>36</v>
      </c>
      <c r="D1728">
        <v>36</v>
      </c>
      <c r="E1728" s="1">
        <v>1.0833333333333333</v>
      </c>
      <c r="F1728" t="s">
        <v>2524</v>
      </c>
      <c r="G1728">
        <v>0</v>
      </c>
      <c r="H1728">
        <v>1080.7354</v>
      </c>
      <c r="I1728">
        <v>2.5</v>
      </c>
      <c r="J1728">
        <v>1163.79</v>
      </c>
      <c r="K1728">
        <v>1.9580666999707901</v>
      </c>
      <c r="L1728">
        <v>1158.8800000000001</v>
      </c>
      <c r="M1728" t="s">
        <v>27</v>
      </c>
      <c r="N1728">
        <v>1</v>
      </c>
      <c r="O1728">
        <v>1281</v>
      </c>
      <c r="P1728">
        <v>1108</v>
      </c>
      <c r="Q1728">
        <v>0</v>
      </c>
      <c r="R1728">
        <v>1108</v>
      </c>
    </row>
    <row r="1729" spans="1:18" x14ac:dyDescent="0.3">
      <c r="A1729" s="5">
        <v>45968</v>
      </c>
      <c r="B1729" t="s">
        <v>2525</v>
      </c>
      <c r="C1729">
        <v>2</v>
      </c>
      <c r="D1729">
        <v>36</v>
      </c>
      <c r="E1729" s="1">
        <v>1.9791666666666665</v>
      </c>
      <c r="F1729" t="s">
        <v>2526</v>
      </c>
      <c r="G1729">
        <v>4</v>
      </c>
      <c r="H1729">
        <v>1081.3867</v>
      </c>
      <c r="I1729">
        <v>7</v>
      </c>
      <c r="J1729">
        <v>1163.79</v>
      </c>
      <c r="K1729">
        <v>5.4825867599182097</v>
      </c>
      <c r="L1729">
        <v>1219.83</v>
      </c>
      <c r="M1729" t="s">
        <v>27</v>
      </c>
      <c r="N1729">
        <v>1</v>
      </c>
      <c r="O1729">
        <v>1330</v>
      </c>
      <c r="P1729">
        <v>1157</v>
      </c>
      <c r="Q1729">
        <v>0</v>
      </c>
      <c r="R1729">
        <v>1157</v>
      </c>
    </row>
    <row r="1730" spans="1:18" x14ac:dyDescent="0.3">
      <c r="A1730" s="5">
        <v>45968</v>
      </c>
      <c r="B1730" t="s">
        <v>2527</v>
      </c>
      <c r="C1730">
        <v>3</v>
      </c>
      <c r="D1730">
        <v>36</v>
      </c>
      <c r="E1730" s="1">
        <v>1.9791666666666665</v>
      </c>
      <c r="F1730" t="s">
        <v>2528</v>
      </c>
      <c r="G1730">
        <v>4</v>
      </c>
      <c r="H1730">
        <v>1081.3687</v>
      </c>
      <c r="I1730">
        <v>7</v>
      </c>
      <c r="J1730">
        <v>1163.79</v>
      </c>
      <c r="K1730">
        <v>5.4825867599182097</v>
      </c>
      <c r="L1730">
        <v>1219.83</v>
      </c>
      <c r="M1730" t="s">
        <v>27</v>
      </c>
      <c r="N1730">
        <v>1</v>
      </c>
      <c r="O1730">
        <v>1330</v>
      </c>
      <c r="P1730">
        <v>1157</v>
      </c>
      <c r="Q1730">
        <v>0</v>
      </c>
      <c r="R1730">
        <v>1157</v>
      </c>
    </row>
    <row r="1731" spans="1:18" x14ac:dyDescent="0.3">
      <c r="A1731" s="5">
        <v>45968</v>
      </c>
      <c r="B1731" t="s">
        <v>2529</v>
      </c>
      <c r="C1731">
        <v>13</v>
      </c>
      <c r="D1731">
        <v>36</v>
      </c>
      <c r="E1731" s="1">
        <v>1.9993055555555554</v>
      </c>
      <c r="F1731" t="s">
        <v>2530</v>
      </c>
      <c r="G1731">
        <v>0</v>
      </c>
      <c r="H1731">
        <v>1081.1058</v>
      </c>
      <c r="I1731">
        <v>2.5</v>
      </c>
      <c r="J1731">
        <v>1163.79</v>
      </c>
      <c r="K1731">
        <v>1.9580666999707901</v>
      </c>
      <c r="L1731">
        <v>1158.8800000000001</v>
      </c>
      <c r="M1731" t="s">
        <v>27</v>
      </c>
      <c r="N1731">
        <v>1</v>
      </c>
      <c r="O1731">
        <v>1281</v>
      </c>
      <c r="P1731">
        <v>1108</v>
      </c>
      <c r="Q1731">
        <v>0</v>
      </c>
      <c r="R1731">
        <v>1108</v>
      </c>
    </row>
    <row r="1732" spans="1:18" x14ac:dyDescent="0.3">
      <c r="A1732" s="5">
        <v>45968</v>
      </c>
      <c r="B1732" t="s">
        <v>2531</v>
      </c>
      <c r="C1732">
        <v>4</v>
      </c>
      <c r="D1732">
        <v>36</v>
      </c>
      <c r="E1732" s="1">
        <v>1.4583333333333333</v>
      </c>
      <c r="F1732" t="s">
        <v>2532</v>
      </c>
      <c r="G1732">
        <v>0</v>
      </c>
      <c r="H1732">
        <v>1081.3056999999999</v>
      </c>
      <c r="I1732">
        <v>2.5</v>
      </c>
      <c r="J1732">
        <v>1163.79</v>
      </c>
      <c r="K1732">
        <v>1.9580666999707901</v>
      </c>
      <c r="L1732">
        <v>1158.8800000000001</v>
      </c>
      <c r="M1732" t="s">
        <v>27</v>
      </c>
      <c r="N1732">
        <v>1</v>
      </c>
      <c r="O1732">
        <v>1281</v>
      </c>
      <c r="P1732">
        <v>1108</v>
      </c>
      <c r="Q1732">
        <v>0</v>
      </c>
      <c r="R1732">
        <v>1108</v>
      </c>
    </row>
    <row r="1733" spans="1:18" x14ac:dyDescent="0.3">
      <c r="A1733" s="5">
        <v>45968</v>
      </c>
      <c r="B1733" t="s">
        <v>2533</v>
      </c>
      <c r="C1733">
        <v>13</v>
      </c>
      <c r="D1733">
        <v>36</v>
      </c>
      <c r="E1733" s="1">
        <v>1.9791666666666665</v>
      </c>
      <c r="F1733" t="s">
        <v>2534</v>
      </c>
      <c r="G1733">
        <v>0</v>
      </c>
      <c r="H1733">
        <v>1081.1958999999999</v>
      </c>
      <c r="I1733">
        <v>2.5</v>
      </c>
      <c r="J1733">
        <v>1163.79</v>
      </c>
      <c r="K1733">
        <v>1.9580666999707901</v>
      </c>
      <c r="L1733">
        <v>1175.17</v>
      </c>
      <c r="M1733" t="s">
        <v>27</v>
      </c>
      <c r="N1733">
        <v>1</v>
      </c>
      <c r="O1733">
        <v>1281</v>
      </c>
      <c r="P1733">
        <v>1108</v>
      </c>
      <c r="Q1733">
        <v>0</v>
      </c>
      <c r="R1733">
        <v>1108</v>
      </c>
    </row>
    <row r="1734" spans="1:18" x14ac:dyDescent="0.3">
      <c r="A1734" s="5">
        <v>45968</v>
      </c>
      <c r="B1734" t="s">
        <v>2535</v>
      </c>
      <c r="C1734">
        <v>7</v>
      </c>
      <c r="D1734">
        <v>36</v>
      </c>
      <c r="E1734" s="1">
        <v>1.9993055555555554</v>
      </c>
      <c r="F1734" t="s">
        <v>2536</v>
      </c>
      <c r="G1734">
        <v>3</v>
      </c>
      <c r="H1734">
        <v>1081.2012</v>
      </c>
      <c r="I1734">
        <v>10</v>
      </c>
      <c r="J1734">
        <v>1163.79</v>
      </c>
      <c r="K1734">
        <v>7.8322667998831603</v>
      </c>
      <c r="L1734">
        <v>609.91</v>
      </c>
      <c r="M1734" t="s">
        <v>20</v>
      </c>
      <c r="N1734">
        <v>1</v>
      </c>
      <c r="O1734">
        <v>1362</v>
      </c>
      <c r="P1734">
        <v>1189</v>
      </c>
      <c r="Q1734">
        <v>0.5</v>
      </c>
      <c r="R1734">
        <v>594.5</v>
      </c>
    </row>
    <row r="1735" spans="1:18" x14ac:dyDescent="0.3">
      <c r="A1735" s="5">
        <v>45968</v>
      </c>
      <c r="B1735" t="s">
        <v>2537</v>
      </c>
      <c r="C1735">
        <v>6</v>
      </c>
      <c r="D1735">
        <v>36</v>
      </c>
      <c r="E1735" s="1">
        <v>1.9993055555555554</v>
      </c>
      <c r="F1735" t="s">
        <v>2538</v>
      </c>
      <c r="G1735">
        <v>4</v>
      </c>
      <c r="H1735">
        <v>1081.2308</v>
      </c>
      <c r="I1735">
        <v>7</v>
      </c>
      <c r="J1735">
        <v>1163.79</v>
      </c>
      <c r="K1735">
        <v>5.4825867599182097</v>
      </c>
      <c r="L1735">
        <v>1097.8399999999999</v>
      </c>
      <c r="M1735" t="s">
        <v>27</v>
      </c>
      <c r="N1735">
        <v>1</v>
      </c>
      <c r="O1735">
        <v>1330</v>
      </c>
      <c r="P1735">
        <v>1157</v>
      </c>
      <c r="Q1735">
        <v>0</v>
      </c>
      <c r="R1735">
        <v>1157</v>
      </c>
    </row>
    <row r="1736" spans="1:18" x14ac:dyDescent="0.3">
      <c r="A1736" s="5">
        <v>45968</v>
      </c>
      <c r="B1736" t="s">
        <v>2539</v>
      </c>
      <c r="C1736">
        <v>7</v>
      </c>
      <c r="D1736">
        <v>36</v>
      </c>
      <c r="E1736" s="1">
        <v>1.9993055555555554</v>
      </c>
      <c r="F1736" t="s">
        <v>2540</v>
      </c>
      <c r="G1736">
        <v>0</v>
      </c>
      <c r="H1736">
        <v>1081.1564000000001</v>
      </c>
      <c r="I1736">
        <v>2.5</v>
      </c>
      <c r="J1736">
        <v>1163.79</v>
      </c>
      <c r="K1736">
        <v>1.9580666999707901</v>
      </c>
      <c r="L1736">
        <v>1158.8800000000001</v>
      </c>
      <c r="M1736" t="s">
        <v>27</v>
      </c>
      <c r="N1736">
        <v>1</v>
      </c>
      <c r="O1736">
        <v>1281</v>
      </c>
      <c r="P1736">
        <v>1108</v>
      </c>
      <c r="Q1736">
        <v>0</v>
      </c>
      <c r="R1736">
        <v>1108</v>
      </c>
    </row>
    <row r="1737" spans="1:18" x14ac:dyDescent="0.3">
      <c r="A1737" s="5">
        <v>45968</v>
      </c>
      <c r="B1737" t="s">
        <v>2541</v>
      </c>
      <c r="C1737">
        <v>15</v>
      </c>
      <c r="D1737">
        <v>36</v>
      </c>
      <c r="E1737" s="1">
        <v>1.4583333333333333</v>
      </c>
      <c r="F1737" t="s">
        <v>2542</v>
      </c>
      <c r="G1737">
        <v>0</v>
      </c>
      <c r="H1737">
        <v>1081.3906999999999</v>
      </c>
      <c r="I1737">
        <v>2.5</v>
      </c>
      <c r="J1737">
        <v>1163.79</v>
      </c>
      <c r="K1737">
        <v>1.9580666999707901</v>
      </c>
      <c r="L1737">
        <v>1158.8800000000001</v>
      </c>
      <c r="M1737" t="s">
        <v>27</v>
      </c>
      <c r="N1737">
        <v>1</v>
      </c>
      <c r="O1737">
        <v>1281</v>
      </c>
      <c r="P1737">
        <v>1108</v>
      </c>
      <c r="Q1737">
        <v>0</v>
      </c>
      <c r="R1737">
        <v>1108</v>
      </c>
    </row>
    <row r="1738" spans="1:18" x14ac:dyDescent="0.3">
      <c r="A1738" s="5">
        <v>45968</v>
      </c>
      <c r="B1738" t="s">
        <v>2543</v>
      </c>
      <c r="C1738">
        <v>27</v>
      </c>
      <c r="D1738">
        <v>36</v>
      </c>
      <c r="E1738" s="1">
        <v>1.9652777777777777</v>
      </c>
      <c r="F1738" t="s">
        <v>2544</v>
      </c>
      <c r="G1738">
        <v>0</v>
      </c>
      <c r="H1738">
        <v>1080.7302999999999</v>
      </c>
      <c r="I1738">
        <v>2.5</v>
      </c>
      <c r="J1738">
        <v>1163.79</v>
      </c>
      <c r="K1738">
        <v>1.9580666999707901</v>
      </c>
      <c r="L1738">
        <v>1158.8800000000001</v>
      </c>
      <c r="M1738" t="s">
        <v>27</v>
      </c>
      <c r="N1738">
        <v>1</v>
      </c>
      <c r="O1738">
        <v>1281</v>
      </c>
      <c r="P1738">
        <v>1108</v>
      </c>
      <c r="Q1738">
        <v>0</v>
      </c>
      <c r="R1738">
        <v>1108</v>
      </c>
    </row>
    <row r="1739" spans="1:18" x14ac:dyDescent="0.3">
      <c r="A1739" s="5">
        <v>45968</v>
      </c>
      <c r="B1739" t="s">
        <v>2545</v>
      </c>
      <c r="C1739">
        <v>7</v>
      </c>
      <c r="D1739">
        <v>36</v>
      </c>
      <c r="E1739" s="1">
        <v>1.9993055555555554</v>
      </c>
      <c r="F1739" t="s">
        <v>2546</v>
      </c>
      <c r="G1739">
        <v>0</v>
      </c>
      <c r="H1739">
        <v>1081.3028999999999</v>
      </c>
      <c r="I1739">
        <v>2.5</v>
      </c>
      <c r="J1739">
        <v>1163.79</v>
      </c>
      <c r="K1739">
        <v>1.9580666999707901</v>
      </c>
      <c r="L1739">
        <v>1097.8399999999999</v>
      </c>
      <c r="M1739" t="s">
        <v>27</v>
      </c>
      <c r="N1739">
        <v>1</v>
      </c>
      <c r="O1739">
        <v>1281</v>
      </c>
      <c r="P1739">
        <v>1108</v>
      </c>
      <c r="Q1739">
        <v>0</v>
      </c>
      <c r="R1739">
        <v>1108</v>
      </c>
    </row>
    <row r="1740" spans="1:18" x14ac:dyDescent="0.3">
      <c r="A1740" s="5">
        <v>45968</v>
      </c>
      <c r="B1740" t="s">
        <v>2268</v>
      </c>
      <c r="C1740">
        <v>15</v>
      </c>
      <c r="D1740">
        <v>36</v>
      </c>
      <c r="E1740" s="1">
        <v>1.0833333333333333</v>
      </c>
      <c r="F1740" t="s">
        <v>1862</v>
      </c>
      <c r="G1740">
        <v>0</v>
      </c>
      <c r="H1740">
        <v>1081.2431999999999</v>
      </c>
      <c r="I1740">
        <v>2.5</v>
      </c>
      <c r="J1740">
        <v>1163.79</v>
      </c>
      <c r="K1740">
        <v>1.9580666999707901</v>
      </c>
      <c r="L1740">
        <v>1158.8800000000001</v>
      </c>
      <c r="M1740" t="s">
        <v>27</v>
      </c>
      <c r="N1740">
        <v>1</v>
      </c>
      <c r="O1740">
        <v>1281</v>
      </c>
      <c r="P1740">
        <v>1108</v>
      </c>
      <c r="Q1740">
        <v>0</v>
      </c>
      <c r="R1740">
        <v>1108</v>
      </c>
    </row>
    <row r="1741" spans="1:18" x14ac:dyDescent="0.3">
      <c r="A1741" s="5">
        <v>45968</v>
      </c>
      <c r="B1741" t="s">
        <v>2547</v>
      </c>
      <c r="C1741">
        <v>19</v>
      </c>
      <c r="D1741">
        <v>36</v>
      </c>
      <c r="E1741" s="1">
        <v>1.0833333333333333</v>
      </c>
      <c r="F1741" t="s">
        <v>2548</v>
      </c>
      <c r="G1741">
        <v>2</v>
      </c>
      <c r="H1741">
        <v>1081.1587</v>
      </c>
      <c r="I1741">
        <v>5</v>
      </c>
      <c r="J1741">
        <v>1163.79</v>
      </c>
      <c r="K1741">
        <v>3.9161333999415802</v>
      </c>
      <c r="L1741">
        <v>609.91</v>
      </c>
      <c r="M1741" t="s">
        <v>60</v>
      </c>
      <c r="N1741">
        <v>1</v>
      </c>
      <c r="O1741">
        <v>1308</v>
      </c>
      <c r="P1741">
        <v>1135</v>
      </c>
      <c r="Q1741">
        <v>0.5</v>
      </c>
      <c r="R1741">
        <v>567.5</v>
      </c>
    </row>
    <row r="1742" spans="1:18" x14ac:dyDescent="0.3">
      <c r="A1742" s="5">
        <v>45968</v>
      </c>
      <c r="B1742" t="s">
        <v>2549</v>
      </c>
      <c r="C1742">
        <v>15</v>
      </c>
      <c r="D1742">
        <v>36</v>
      </c>
      <c r="E1742" s="1">
        <v>1.4583333333333333</v>
      </c>
      <c r="F1742" t="s">
        <v>2550</v>
      </c>
      <c r="G1742">
        <v>0</v>
      </c>
      <c r="H1742">
        <v>1081.2953</v>
      </c>
      <c r="I1742">
        <v>2.5</v>
      </c>
      <c r="J1742">
        <v>1163.79</v>
      </c>
      <c r="K1742">
        <v>1.9580666999707901</v>
      </c>
      <c r="L1742">
        <v>1158.8800000000001</v>
      </c>
      <c r="M1742" t="s">
        <v>27</v>
      </c>
      <c r="N1742">
        <v>1</v>
      </c>
      <c r="O1742">
        <v>1281</v>
      </c>
      <c r="P1742">
        <v>1108</v>
      </c>
      <c r="Q1742">
        <v>0</v>
      </c>
      <c r="R1742">
        <v>1108</v>
      </c>
    </row>
    <row r="1743" spans="1:18" x14ac:dyDescent="0.3">
      <c r="A1743" s="5">
        <v>45968</v>
      </c>
      <c r="B1743" t="s">
        <v>2551</v>
      </c>
      <c r="C1743">
        <v>14</v>
      </c>
      <c r="D1743">
        <v>36</v>
      </c>
      <c r="E1743" s="1">
        <v>1.4583333333333333</v>
      </c>
      <c r="F1743" t="s">
        <v>2550</v>
      </c>
      <c r="G1743">
        <v>0</v>
      </c>
      <c r="H1743">
        <v>1081.3131000000001</v>
      </c>
      <c r="I1743">
        <v>2.5</v>
      </c>
      <c r="J1743">
        <v>1163.79</v>
      </c>
      <c r="K1743">
        <v>1.9580666999707901</v>
      </c>
      <c r="L1743">
        <v>1158.8800000000001</v>
      </c>
      <c r="M1743" t="s">
        <v>27</v>
      </c>
      <c r="N1743">
        <v>1</v>
      </c>
      <c r="O1743">
        <v>1281</v>
      </c>
      <c r="P1743">
        <v>1108</v>
      </c>
      <c r="Q1743">
        <v>0</v>
      </c>
      <c r="R1743">
        <v>1108</v>
      </c>
    </row>
    <row r="1744" spans="1:18" x14ac:dyDescent="0.3">
      <c r="A1744" s="5">
        <v>45968</v>
      </c>
      <c r="B1744" t="s">
        <v>2552</v>
      </c>
      <c r="C1744">
        <v>3</v>
      </c>
      <c r="D1744">
        <v>36</v>
      </c>
      <c r="E1744" s="1">
        <v>1.9993055555555554</v>
      </c>
      <c r="F1744" t="s">
        <v>2553</v>
      </c>
      <c r="G1744">
        <v>5</v>
      </c>
      <c r="H1744">
        <v>1081.2936999999999</v>
      </c>
      <c r="I1744">
        <v>0</v>
      </c>
      <c r="J1744">
        <v>1163.79</v>
      </c>
      <c r="K1744">
        <v>0</v>
      </c>
      <c r="L1744">
        <v>1158.8800000000001</v>
      </c>
      <c r="M1744" t="s">
        <v>27</v>
      </c>
      <c r="N1744">
        <v>1</v>
      </c>
      <c r="O1744">
        <v>1254</v>
      </c>
      <c r="P1744">
        <v>1081</v>
      </c>
      <c r="Q1744">
        <v>0</v>
      </c>
      <c r="R1744">
        <v>1081</v>
      </c>
    </row>
    <row r="1745" spans="1:18" x14ac:dyDescent="0.3">
      <c r="A1745" s="5">
        <v>45968</v>
      </c>
      <c r="B1745" t="s">
        <v>2554</v>
      </c>
      <c r="C1745">
        <v>16</v>
      </c>
      <c r="D1745">
        <v>36</v>
      </c>
      <c r="E1745" s="1">
        <v>1.25</v>
      </c>
      <c r="F1745" t="s">
        <v>2555</v>
      </c>
      <c r="G1745">
        <v>0</v>
      </c>
      <c r="H1745">
        <v>1081.2233000000001</v>
      </c>
      <c r="I1745">
        <v>2.5</v>
      </c>
      <c r="J1745">
        <v>1163.79</v>
      </c>
      <c r="K1745">
        <v>1.9580666999707901</v>
      </c>
      <c r="L1745">
        <v>1158.8800000000001</v>
      </c>
      <c r="M1745" t="s">
        <v>27</v>
      </c>
      <c r="N1745">
        <v>1</v>
      </c>
      <c r="O1745">
        <v>1281</v>
      </c>
      <c r="P1745">
        <v>1108</v>
      </c>
      <c r="Q1745">
        <v>0</v>
      </c>
      <c r="R1745">
        <v>1108</v>
      </c>
    </row>
    <row r="1746" spans="1:18" x14ac:dyDescent="0.3">
      <c r="A1746" s="5">
        <v>45968</v>
      </c>
      <c r="B1746" t="s">
        <v>2554</v>
      </c>
      <c r="C1746">
        <v>16</v>
      </c>
      <c r="D1746">
        <v>36</v>
      </c>
      <c r="E1746" s="1">
        <v>1.25</v>
      </c>
      <c r="F1746" t="s">
        <v>2555</v>
      </c>
      <c r="G1746">
        <v>0</v>
      </c>
      <c r="H1746">
        <v>1081.2233000000001</v>
      </c>
      <c r="I1746">
        <v>2.5</v>
      </c>
      <c r="J1746">
        <v>1163.79</v>
      </c>
      <c r="K1746">
        <v>1.9580666999707901</v>
      </c>
      <c r="L1746">
        <v>1158.8800000000001</v>
      </c>
      <c r="M1746" t="s">
        <v>27</v>
      </c>
      <c r="N1746">
        <v>1</v>
      </c>
      <c r="O1746">
        <v>1281</v>
      </c>
      <c r="P1746">
        <v>1108</v>
      </c>
      <c r="Q1746">
        <v>0</v>
      </c>
      <c r="R1746">
        <v>1108</v>
      </c>
    </row>
    <row r="1747" spans="1:18" x14ac:dyDescent="0.3">
      <c r="A1747" s="5">
        <v>45968</v>
      </c>
      <c r="B1747" t="s">
        <v>2556</v>
      </c>
      <c r="C1747">
        <v>17</v>
      </c>
      <c r="D1747">
        <v>36</v>
      </c>
      <c r="E1747" s="1">
        <v>1.25</v>
      </c>
      <c r="F1747" t="s">
        <v>2555</v>
      </c>
      <c r="G1747">
        <v>0</v>
      </c>
      <c r="H1747">
        <v>1081.2052000000001</v>
      </c>
      <c r="I1747">
        <v>2.5</v>
      </c>
      <c r="J1747">
        <v>1163.79</v>
      </c>
      <c r="K1747">
        <v>1.9580666999707901</v>
      </c>
      <c r="L1747">
        <v>1158.8800000000001</v>
      </c>
      <c r="M1747" t="s">
        <v>27</v>
      </c>
      <c r="N1747">
        <v>1</v>
      </c>
      <c r="O1747">
        <v>1281</v>
      </c>
      <c r="P1747">
        <v>1108</v>
      </c>
      <c r="Q1747">
        <v>0</v>
      </c>
      <c r="R1747">
        <v>1108</v>
      </c>
    </row>
    <row r="1748" spans="1:18" x14ac:dyDescent="0.3">
      <c r="A1748" s="5">
        <v>45968</v>
      </c>
      <c r="B1748" t="s">
        <v>2556</v>
      </c>
      <c r="C1748">
        <v>17</v>
      </c>
      <c r="D1748">
        <v>36</v>
      </c>
      <c r="E1748" s="1">
        <v>1.25</v>
      </c>
      <c r="F1748" t="s">
        <v>2555</v>
      </c>
      <c r="G1748">
        <v>0</v>
      </c>
      <c r="H1748">
        <v>1081.2052000000001</v>
      </c>
      <c r="I1748">
        <v>2.5</v>
      </c>
      <c r="J1748">
        <v>1163.79</v>
      </c>
      <c r="K1748">
        <v>1.9580666999707901</v>
      </c>
      <c r="L1748">
        <v>1158.8800000000001</v>
      </c>
      <c r="M1748" t="s">
        <v>27</v>
      </c>
      <c r="N1748">
        <v>1</v>
      </c>
      <c r="O1748">
        <v>1281</v>
      </c>
      <c r="P1748">
        <v>1108</v>
      </c>
      <c r="Q1748">
        <v>0</v>
      </c>
      <c r="R1748">
        <v>1108</v>
      </c>
    </row>
    <row r="1749" spans="1:18" x14ac:dyDescent="0.3">
      <c r="A1749" s="5">
        <v>45968</v>
      </c>
      <c r="B1749" t="s">
        <v>2557</v>
      </c>
      <c r="C1749">
        <v>4</v>
      </c>
      <c r="D1749">
        <v>36</v>
      </c>
      <c r="E1749" s="1">
        <v>1.9993055555555554</v>
      </c>
      <c r="F1749" t="s">
        <v>2558</v>
      </c>
      <c r="G1749">
        <v>5</v>
      </c>
      <c r="H1749">
        <v>1081.1432</v>
      </c>
      <c r="I1749">
        <v>0</v>
      </c>
      <c r="J1749">
        <v>1163.79</v>
      </c>
      <c r="K1749">
        <v>0</v>
      </c>
      <c r="L1749">
        <v>1158.8800000000001</v>
      </c>
      <c r="M1749" t="s">
        <v>27</v>
      </c>
      <c r="N1749">
        <v>1</v>
      </c>
      <c r="O1749">
        <v>1254</v>
      </c>
      <c r="P1749">
        <v>1081</v>
      </c>
      <c r="Q1749">
        <v>0</v>
      </c>
      <c r="R1749">
        <v>1081</v>
      </c>
    </row>
    <row r="1750" spans="1:18" x14ac:dyDescent="0.3">
      <c r="A1750" s="5">
        <v>45968</v>
      </c>
      <c r="B1750" t="s">
        <v>2559</v>
      </c>
      <c r="C1750">
        <v>21</v>
      </c>
      <c r="D1750">
        <v>36</v>
      </c>
      <c r="E1750" s="1">
        <v>1.9993055555555554</v>
      </c>
      <c r="F1750" t="s">
        <v>2560</v>
      </c>
      <c r="G1750">
        <v>1</v>
      </c>
      <c r="H1750">
        <v>1080.9619</v>
      </c>
      <c r="I1750">
        <v>8.5</v>
      </c>
      <c r="J1750">
        <v>1163.79</v>
      </c>
      <c r="K1750">
        <v>6.6574267799006801</v>
      </c>
      <c r="L1750">
        <v>1219.83</v>
      </c>
      <c r="M1750" t="s">
        <v>27</v>
      </c>
      <c r="N1750">
        <v>1</v>
      </c>
      <c r="O1750">
        <v>1346</v>
      </c>
      <c r="P1750">
        <v>1173</v>
      </c>
      <c r="Q1750">
        <v>0</v>
      </c>
      <c r="R1750">
        <v>1173</v>
      </c>
    </row>
    <row r="1751" spans="1:18" x14ac:dyDescent="0.3">
      <c r="A1751" s="5">
        <v>45968</v>
      </c>
      <c r="B1751" t="s">
        <v>2561</v>
      </c>
      <c r="C1751">
        <v>1</v>
      </c>
      <c r="D1751">
        <v>36</v>
      </c>
      <c r="E1751" s="1">
        <v>1.25</v>
      </c>
      <c r="F1751" t="s">
        <v>2562</v>
      </c>
      <c r="G1751">
        <v>4</v>
      </c>
      <c r="H1751">
        <v>1081.6432</v>
      </c>
      <c r="I1751">
        <v>7</v>
      </c>
      <c r="J1751">
        <v>1163.79</v>
      </c>
      <c r="K1751">
        <v>5.4825867599182097</v>
      </c>
      <c r="L1751">
        <v>1158.8800000000001</v>
      </c>
      <c r="M1751" t="s">
        <v>27</v>
      </c>
      <c r="N1751">
        <v>1</v>
      </c>
      <c r="O1751">
        <v>1330</v>
      </c>
      <c r="P1751">
        <v>1157</v>
      </c>
      <c r="Q1751">
        <v>0</v>
      </c>
      <c r="R1751">
        <v>1157</v>
      </c>
    </row>
    <row r="1752" spans="1:18" x14ac:dyDescent="0.3">
      <c r="A1752" s="5">
        <v>45968</v>
      </c>
      <c r="B1752" t="s">
        <v>2563</v>
      </c>
      <c r="C1752">
        <v>26</v>
      </c>
      <c r="D1752">
        <v>36</v>
      </c>
      <c r="E1752" s="1">
        <v>1.0833333333333333</v>
      </c>
      <c r="F1752" t="s">
        <v>2564</v>
      </c>
      <c r="G1752">
        <v>0</v>
      </c>
      <c r="H1752">
        <v>1080.912</v>
      </c>
      <c r="I1752">
        <v>2.5</v>
      </c>
      <c r="J1752">
        <v>1163.79</v>
      </c>
      <c r="K1752">
        <v>1.9580666999707901</v>
      </c>
      <c r="L1752">
        <v>1158.8800000000001</v>
      </c>
      <c r="M1752" t="s">
        <v>27</v>
      </c>
      <c r="N1752">
        <v>1</v>
      </c>
      <c r="O1752">
        <v>1281</v>
      </c>
      <c r="P1752">
        <v>1108</v>
      </c>
      <c r="Q1752">
        <v>0</v>
      </c>
      <c r="R1752">
        <v>1108</v>
      </c>
    </row>
    <row r="1753" spans="1:18" x14ac:dyDescent="0.3">
      <c r="A1753" s="5">
        <v>45968</v>
      </c>
      <c r="B1753" t="s">
        <v>2565</v>
      </c>
      <c r="C1753">
        <v>10</v>
      </c>
      <c r="D1753">
        <v>36</v>
      </c>
      <c r="E1753" s="1">
        <v>1.9652777777777777</v>
      </c>
      <c r="F1753" t="s">
        <v>2566</v>
      </c>
      <c r="G1753">
        <v>0</v>
      </c>
      <c r="H1753">
        <v>1081.1566</v>
      </c>
      <c r="I1753">
        <v>2.5</v>
      </c>
      <c r="J1753">
        <v>1163.79</v>
      </c>
      <c r="K1753">
        <v>1.9580666999707901</v>
      </c>
      <c r="L1753">
        <v>1158.8800000000001</v>
      </c>
      <c r="M1753" t="s">
        <v>27</v>
      </c>
      <c r="N1753">
        <v>1</v>
      </c>
      <c r="O1753">
        <v>1281</v>
      </c>
      <c r="P1753">
        <v>1108</v>
      </c>
      <c r="Q1753">
        <v>0</v>
      </c>
      <c r="R1753">
        <v>1108</v>
      </c>
    </row>
    <row r="1754" spans="1:18" x14ac:dyDescent="0.3">
      <c r="A1754" s="5">
        <v>45968</v>
      </c>
      <c r="B1754" t="s">
        <v>2567</v>
      </c>
      <c r="C1754">
        <v>28</v>
      </c>
      <c r="D1754">
        <v>36</v>
      </c>
      <c r="E1754" s="1">
        <v>1.9791666666666665</v>
      </c>
      <c r="F1754" t="s">
        <v>2568</v>
      </c>
      <c r="G1754">
        <v>5</v>
      </c>
      <c r="H1754">
        <v>1080.7102</v>
      </c>
      <c r="I1754">
        <v>0</v>
      </c>
      <c r="J1754">
        <v>1163.79</v>
      </c>
      <c r="K1754">
        <v>0</v>
      </c>
      <c r="L1754">
        <v>1158.8800000000001</v>
      </c>
      <c r="M1754" t="s">
        <v>27</v>
      </c>
      <c r="N1754">
        <v>1</v>
      </c>
      <c r="O1754">
        <v>1254</v>
      </c>
      <c r="P1754">
        <v>1081</v>
      </c>
      <c r="Q1754">
        <v>0</v>
      </c>
      <c r="R1754">
        <v>1081</v>
      </c>
    </row>
    <row r="1755" spans="1:18" x14ac:dyDescent="0.3">
      <c r="A1755" s="5">
        <v>45968</v>
      </c>
      <c r="B1755" t="s">
        <v>2569</v>
      </c>
      <c r="C1755">
        <v>29</v>
      </c>
      <c r="D1755">
        <v>36</v>
      </c>
      <c r="E1755" s="1">
        <v>1.9791666666666665</v>
      </c>
      <c r="F1755" t="s">
        <v>2568</v>
      </c>
      <c r="G1755">
        <v>5</v>
      </c>
      <c r="H1755">
        <v>1080.6921</v>
      </c>
      <c r="I1755">
        <v>0</v>
      </c>
      <c r="J1755">
        <v>1163.79</v>
      </c>
      <c r="K1755">
        <v>0</v>
      </c>
      <c r="L1755">
        <v>1158.8800000000001</v>
      </c>
      <c r="M1755" t="s">
        <v>27</v>
      </c>
      <c r="N1755">
        <v>1</v>
      </c>
      <c r="O1755">
        <v>1254</v>
      </c>
      <c r="P1755">
        <v>1081</v>
      </c>
      <c r="Q1755">
        <v>0</v>
      </c>
      <c r="R1755">
        <v>1081</v>
      </c>
    </row>
    <row r="1756" spans="1:18" x14ac:dyDescent="0.3">
      <c r="A1756" s="5">
        <v>45968</v>
      </c>
      <c r="B1756" t="s">
        <v>2570</v>
      </c>
      <c r="C1756">
        <v>35</v>
      </c>
      <c r="D1756">
        <v>36</v>
      </c>
      <c r="E1756" s="1">
        <v>1.9993055555555554</v>
      </c>
      <c r="F1756" t="s">
        <v>2571</v>
      </c>
      <c r="G1756">
        <v>1</v>
      </c>
      <c r="H1756">
        <v>1080.5844</v>
      </c>
      <c r="I1756">
        <v>8.5</v>
      </c>
      <c r="J1756">
        <v>1163.79</v>
      </c>
      <c r="K1756">
        <v>6.6574267799006801</v>
      </c>
      <c r="L1756">
        <v>1158.8800000000001</v>
      </c>
      <c r="M1756" t="s">
        <v>27</v>
      </c>
      <c r="N1756">
        <v>1</v>
      </c>
      <c r="O1756">
        <v>1345</v>
      </c>
      <c r="P1756">
        <v>1172</v>
      </c>
      <c r="Q1756">
        <v>0</v>
      </c>
      <c r="R1756">
        <v>1172</v>
      </c>
    </row>
    <row r="1757" spans="1:18" x14ac:dyDescent="0.3">
      <c r="A1757" s="5">
        <v>45968</v>
      </c>
      <c r="B1757" t="s">
        <v>2572</v>
      </c>
      <c r="C1757">
        <v>24</v>
      </c>
      <c r="D1757">
        <v>36</v>
      </c>
      <c r="E1757" s="1">
        <v>1.9993055555555554</v>
      </c>
      <c r="F1757" t="s">
        <v>2573</v>
      </c>
      <c r="G1757">
        <v>4</v>
      </c>
      <c r="H1757">
        <v>1080.7157</v>
      </c>
      <c r="I1757">
        <v>7</v>
      </c>
      <c r="J1757">
        <v>1163.79</v>
      </c>
      <c r="K1757">
        <v>5.4825867599182097</v>
      </c>
      <c r="L1757">
        <v>1097.8399999999999</v>
      </c>
      <c r="M1757" t="s">
        <v>27</v>
      </c>
      <c r="N1757">
        <v>1</v>
      </c>
      <c r="O1757">
        <v>1329</v>
      </c>
      <c r="P1757">
        <v>1156</v>
      </c>
      <c r="Q1757">
        <v>0</v>
      </c>
      <c r="R1757">
        <v>1156</v>
      </c>
    </row>
    <row r="1758" spans="1:18" x14ac:dyDescent="0.3">
      <c r="A1758" s="5">
        <v>45968</v>
      </c>
      <c r="B1758" t="s">
        <v>2574</v>
      </c>
      <c r="C1758">
        <v>4</v>
      </c>
      <c r="D1758">
        <v>36</v>
      </c>
      <c r="E1758" s="1">
        <v>1.9791666666666665</v>
      </c>
      <c r="F1758" t="s">
        <v>2575</v>
      </c>
      <c r="G1758">
        <v>5</v>
      </c>
      <c r="H1758">
        <v>1081.1415999999999</v>
      </c>
      <c r="I1758">
        <v>0</v>
      </c>
      <c r="J1758">
        <v>1163.79</v>
      </c>
      <c r="K1758">
        <v>0</v>
      </c>
      <c r="L1758">
        <v>1158.8800000000001</v>
      </c>
      <c r="M1758" t="s">
        <v>27</v>
      </c>
      <c r="N1758">
        <v>1</v>
      </c>
      <c r="O1758">
        <v>1254</v>
      </c>
      <c r="P1758">
        <v>1081</v>
      </c>
      <c r="Q1758">
        <v>0</v>
      </c>
      <c r="R1758">
        <v>1081</v>
      </c>
    </row>
    <row r="1759" spans="1:18" x14ac:dyDescent="0.3">
      <c r="A1759" s="5">
        <v>45968</v>
      </c>
      <c r="B1759" t="s">
        <v>2576</v>
      </c>
      <c r="C1759">
        <v>10</v>
      </c>
      <c r="D1759">
        <v>36</v>
      </c>
      <c r="E1759" s="1">
        <v>1.9791666666666665</v>
      </c>
      <c r="F1759" t="s">
        <v>2577</v>
      </c>
      <c r="G1759">
        <v>4</v>
      </c>
      <c r="H1759">
        <v>1081.2465999999999</v>
      </c>
      <c r="I1759">
        <v>7</v>
      </c>
      <c r="J1759">
        <v>1163.79</v>
      </c>
      <c r="K1759">
        <v>5.4825867599182097</v>
      </c>
      <c r="L1759">
        <v>1158.8800000000001</v>
      </c>
      <c r="M1759" t="s">
        <v>27</v>
      </c>
      <c r="N1759">
        <v>1</v>
      </c>
      <c r="O1759">
        <v>1330</v>
      </c>
      <c r="P1759">
        <v>1157</v>
      </c>
      <c r="Q1759">
        <v>0</v>
      </c>
      <c r="R1759">
        <v>1157</v>
      </c>
    </row>
    <row r="1760" spans="1:18" x14ac:dyDescent="0.3">
      <c r="A1760" s="5">
        <v>45968</v>
      </c>
      <c r="B1760" t="s">
        <v>2578</v>
      </c>
      <c r="C1760">
        <v>22</v>
      </c>
      <c r="D1760">
        <v>36</v>
      </c>
      <c r="E1760" s="1">
        <v>1.25</v>
      </c>
      <c r="F1760" t="s">
        <v>2579</v>
      </c>
      <c r="G1760">
        <v>0</v>
      </c>
      <c r="H1760">
        <v>1080.9804999999999</v>
      </c>
      <c r="I1760">
        <v>2.5</v>
      </c>
      <c r="J1760">
        <v>1163.79</v>
      </c>
      <c r="K1760">
        <v>1.9580666999707901</v>
      </c>
      <c r="L1760">
        <v>1158.8800000000001</v>
      </c>
      <c r="M1760" t="s">
        <v>27</v>
      </c>
      <c r="N1760">
        <v>1</v>
      </c>
      <c r="O1760">
        <v>1281</v>
      </c>
      <c r="P1760">
        <v>1108</v>
      </c>
      <c r="Q1760">
        <v>0</v>
      </c>
      <c r="R1760">
        <v>1108</v>
      </c>
    </row>
    <row r="1761" spans="1:18" x14ac:dyDescent="0.3">
      <c r="A1761" s="5">
        <v>45968</v>
      </c>
      <c r="B1761" t="s">
        <v>2578</v>
      </c>
      <c r="C1761">
        <v>22</v>
      </c>
      <c r="D1761">
        <v>36</v>
      </c>
      <c r="E1761" s="1">
        <v>1.25</v>
      </c>
      <c r="F1761" t="s">
        <v>2579</v>
      </c>
      <c r="G1761">
        <v>0</v>
      </c>
      <c r="H1761">
        <v>1080.9804999999999</v>
      </c>
      <c r="I1761">
        <v>2.5</v>
      </c>
      <c r="J1761">
        <v>1163.79</v>
      </c>
      <c r="K1761">
        <v>1.9580666999707901</v>
      </c>
      <c r="L1761">
        <v>1158.8800000000001</v>
      </c>
      <c r="M1761" t="s">
        <v>27</v>
      </c>
      <c r="N1761">
        <v>1</v>
      </c>
      <c r="O1761">
        <v>1281</v>
      </c>
      <c r="P1761">
        <v>1108</v>
      </c>
      <c r="Q1761">
        <v>0</v>
      </c>
      <c r="R1761">
        <v>1108</v>
      </c>
    </row>
    <row r="1762" spans="1:18" x14ac:dyDescent="0.3">
      <c r="A1762" s="5">
        <v>45968</v>
      </c>
      <c r="B1762" t="s">
        <v>2580</v>
      </c>
      <c r="C1762">
        <v>23</v>
      </c>
      <c r="D1762">
        <v>36</v>
      </c>
      <c r="E1762" s="1">
        <v>1.25</v>
      </c>
      <c r="F1762" t="s">
        <v>2579</v>
      </c>
      <c r="G1762">
        <v>0</v>
      </c>
      <c r="H1762">
        <v>1080.9623999999999</v>
      </c>
      <c r="I1762">
        <v>2.5</v>
      </c>
      <c r="J1762">
        <v>1163.79</v>
      </c>
      <c r="K1762">
        <v>1.9580666999707901</v>
      </c>
      <c r="L1762">
        <v>1158.8800000000001</v>
      </c>
      <c r="M1762" t="s">
        <v>27</v>
      </c>
      <c r="N1762">
        <v>1</v>
      </c>
      <c r="O1762">
        <v>1281</v>
      </c>
      <c r="P1762">
        <v>1108</v>
      </c>
      <c r="Q1762">
        <v>0</v>
      </c>
      <c r="R1762">
        <v>1108</v>
      </c>
    </row>
    <row r="1763" spans="1:18" x14ac:dyDescent="0.3">
      <c r="A1763" s="5">
        <v>45968</v>
      </c>
      <c r="B1763" t="s">
        <v>2580</v>
      </c>
      <c r="C1763">
        <v>23</v>
      </c>
      <c r="D1763">
        <v>36</v>
      </c>
      <c r="E1763" s="1">
        <v>1.25</v>
      </c>
      <c r="F1763" t="s">
        <v>2579</v>
      </c>
      <c r="G1763">
        <v>0</v>
      </c>
      <c r="H1763">
        <v>1080.9623999999999</v>
      </c>
      <c r="I1763">
        <v>2.5</v>
      </c>
      <c r="J1763">
        <v>1163.79</v>
      </c>
      <c r="K1763">
        <v>1.9580666999707901</v>
      </c>
      <c r="L1763">
        <v>1158.8800000000001</v>
      </c>
      <c r="M1763" t="s">
        <v>27</v>
      </c>
      <c r="N1763">
        <v>1</v>
      </c>
      <c r="O1763">
        <v>1281</v>
      </c>
      <c r="P1763">
        <v>1108</v>
      </c>
      <c r="Q1763">
        <v>0</v>
      </c>
      <c r="R1763">
        <v>1108</v>
      </c>
    </row>
    <row r="1764" spans="1:18" x14ac:dyDescent="0.3">
      <c r="A1764" s="5">
        <v>45968</v>
      </c>
      <c r="B1764" t="s">
        <v>2581</v>
      </c>
      <c r="C1764">
        <v>33</v>
      </c>
      <c r="D1764">
        <v>36</v>
      </c>
      <c r="E1764" s="1">
        <v>1.25</v>
      </c>
      <c r="F1764" t="s">
        <v>2582</v>
      </c>
      <c r="G1764">
        <v>3</v>
      </c>
      <c r="H1764">
        <v>1080.8268</v>
      </c>
      <c r="I1764">
        <v>10</v>
      </c>
      <c r="J1764">
        <v>1163.79</v>
      </c>
      <c r="K1764">
        <v>7.8322667998831603</v>
      </c>
      <c r="L1764">
        <v>609.91</v>
      </c>
      <c r="M1764" t="s">
        <v>20</v>
      </c>
      <c r="N1764">
        <v>1</v>
      </c>
      <c r="O1764">
        <v>1362</v>
      </c>
      <c r="P1764">
        <v>1189</v>
      </c>
      <c r="Q1764">
        <v>0.5</v>
      </c>
      <c r="R1764">
        <v>594.5</v>
      </c>
    </row>
    <row r="1765" spans="1:18" x14ac:dyDescent="0.3">
      <c r="A1765" s="5">
        <v>45968</v>
      </c>
      <c r="B1765" t="s">
        <v>2583</v>
      </c>
      <c r="C1765">
        <v>34</v>
      </c>
      <c r="D1765">
        <v>36</v>
      </c>
      <c r="E1765" s="1">
        <v>1.25</v>
      </c>
      <c r="F1765" t="s">
        <v>2584</v>
      </c>
      <c r="G1765">
        <v>3</v>
      </c>
      <c r="H1765">
        <v>1080.809</v>
      </c>
      <c r="I1765">
        <v>10</v>
      </c>
      <c r="J1765">
        <v>1163.79</v>
      </c>
      <c r="K1765">
        <v>7.8322667998831603</v>
      </c>
      <c r="L1765">
        <v>609.91</v>
      </c>
      <c r="M1765" t="s">
        <v>20</v>
      </c>
      <c r="N1765">
        <v>1</v>
      </c>
      <c r="O1765">
        <v>1362</v>
      </c>
      <c r="P1765">
        <v>1189</v>
      </c>
      <c r="Q1765">
        <v>0.5</v>
      </c>
      <c r="R1765">
        <v>594.5</v>
      </c>
    </row>
    <row r="1766" spans="1:18" x14ac:dyDescent="0.3">
      <c r="A1766" s="5">
        <v>45968</v>
      </c>
      <c r="B1766" t="s">
        <v>2585</v>
      </c>
      <c r="C1766">
        <v>13</v>
      </c>
      <c r="D1766">
        <v>36</v>
      </c>
      <c r="E1766" s="1">
        <v>1.9791666666666665</v>
      </c>
      <c r="F1766" t="s">
        <v>2586</v>
      </c>
      <c r="G1766">
        <v>0</v>
      </c>
      <c r="H1766">
        <v>1081.1018999999999</v>
      </c>
      <c r="I1766">
        <v>2.5</v>
      </c>
      <c r="J1766">
        <v>1163.79</v>
      </c>
      <c r="K1766">
        <v>1.9580666999707901</v>
      </c>
      <c r="L1766">
        <v>1158.8800000000001</v>
      </c>
      <c r="M1766" t="s">
        <v>27</v>
      </c>
      <c r="N1766">
        <v>1</v>
      </c>
      <c r="O1766">
        <v>1281</v>
      </c>
      <c r="P1766">
        <v>1108</v>
      </c>
      <c r="Q1766">
        <v>0</v>
      </c>
      <c r="R1766">
        <v>1108</v>
      </c>
    </row>
    <row r="1767" spans="1:18" x14ac:dyDescent="0.3">
      <c r="A1767" s="5">
        <v>45968</v>
      </c>
      <c r="B1767" t="s">
        <v>2585</v>
      </c>
      <c r="C1767">
        <v>13</v>
      </c>
      <c r="D1767">
        <v>36</v>
      </c>
      <c r="E1767" s="1">
        <v>1.9791666666666665</v>
      </c>
      <c r="F1767" t="s">
        <v>2586</v>
      </c>
      <c r="G1767">
        <v>0</v>
      </c>
      <c r="H1767">
        <v>1081.1018999999999</v>
      </c>
      <c r="I1767">
        <v>2.5</v>
      </c>
      <c r="J1767">
        <v>1163.79</v>
      </c>
      <c r="K1767">
        <v>1.9580666999707901</v>
      </c>
      <c r="L1767">
        <v>1158.8800000000001</v>
      </c>
      <c r="M1767" t="s">
        <v>27</v>
      </c>
      <c r="N1767">
        <v>1</v>
      </c>
      <c r="O1767">
        <v>1281</v>
      </c>
      <c r="P1767">
        <v>1108</v>
      </c>
      <c r="Q1767">
        <v>0</v>
      </c>
      <c r="R1767">
        <v>1108</v>
      </c>
    </row>
    <row r="1768" spans="1:18" x14ac:dyDescent="0.3">
      <c r="A1768" s="5">
        <v>45968</v>
      </c>
      <c r="B1768" t="s">
        <v>2585</v>
      </c>
      <c r="C1768">
        <v>13</v>
      </c>
      <c r="D1768">
        <v>36</v>
      </c>
      <c r="E1768" s="1">
        <v>1.9791666666666665</v>
      </c>
      <c r="F1768" t="s">
        <v>2586</v>
      </c>
      <c r="G1768">
        <v>0</v>
      </c>
      <c r="H1768">
        <v>1081.1018999999999</v>
      </c>
      <c r="I1768">
        <v>2.5</v>
      </c>
      <c r="J1768">
        <v>1163.79</v>
      </c>
      <c r="K1768">
        <v>1.9580666999707901</v>
      </c>
      <c r="L1768">
        <v>1158.8800000000001</v>
      </c>
      <c r="M1768" t="s">
        <v>27</v>
      </c>
      <c r="N1768">
        <v>1</v>
      </c>
      <c r="O1768">
        <v>1281</v>
      </c>
      <c r="P1768">
        <v>1108</v>
      </c>
      <c r="Q1768">
        <v>0</v>
      </c>
      <c r="R1768">
        <v>1108</v>
      </c>
    </row>
    <row r="1769" spans="1:18" x14ac:dyDescent="0.3">
      <c r="A1769" s="5">
        <v>45968</v>
      </c>
      <c r="B1769" t="s">
        <v>2587</v>
      </c>
      <c r="C1769">
        <v>16</v>
      </c>
      <c r="D1769">
        <v>36</v>
      </c>
      <c r="E1769" s="1">
        <v>1.9791666666666665</v>
      </c>
      <c r="F1769" t="s">
        <v>2586</v>
      </c>
      <c r="G1769">
        <v>0</v>
      </c>
      <c r="H1769">
        <v>1081.0482</v>
      </c>
      <c r="I1769">
        <v>2.5</v>
      </c>
      <c r="J1769">
        <v>1163.79</v>
      </c>
      <c r="K1769">
        <v>1.9580666999707901</v>
      </c>
      <c r="L1769">
        <v>1158.8800000000001</v>
      </c>
      <c r="M1769" t="s">
        <v>27</v>
      </c>
      <c r="N1769">
        <v>1</v>
      </c>
      <c r="O1769">
        <v>1281</v>
      </c>
      <c r="P1769">
        <v>1108</v>
      </c>
      <c r="Q1769">
        <v>0</v>
      </c>
      <c r="R1769">
        <v>1108</v>
      </c>
    </row>
    <row r="1770" spans="1:18" x14ac:dyDescent="0.3">
      <c r="A1770" s="5">
        <v>45968</v>
      </c>
      <c r="B1770" t="s">
        <v>2587</v>
      </c>
      <c r="C1770">
        <v>16</v>
      </c>
      <c r="D1770">
        <v>36</v>
      </c>
      <c r="E1770" s="1">
        <v>1.9791666666666665</v>
      </c>
      <c r="F1770" t="s">
        <v>2586</v>
      </c>
      <c r="G1770">
        <v>0</v>
      </c>
      <c r="H1770">
        <v>1081.0482</v>
      </c>
      <c r="I1770">
        <v>2.5</v>
      </c>
      <c r="J1770">
        <v>1163.79</v>
      </c>
      <c r="K1770">
        <v>1.9580666999707901</v>
      </c>
      <c r="L1770">
        <v>1158.8800000000001</v>
      </c>
      <c r="M1770" t="s">
        <v>27</v>
      </c>
      <c r="N1770">
        <v>1</v>
      </c>
      <c r="O1770">
        <v>1281</v>
      </c>
      <c r="P1770">
        <v>1108</v>
      </c>
      <c r="Q1770">
        <v>0</v>
      </c>
      <c r="R1770">
        <v>1108</v>
      </c>
    </row>
    <row r="1771" spans="1:18" x14ac:dyDescent="0.3">
      <c r="A1771" s="5">
        <v>45968</v>
      </c>
      <c r="B1771" t="s">
        <v>2587</v>
      </c>
      <c r="C1771">
        <v>16</v>
      </c>
      <c r="D1771">
        <v>36</v>
      </c>
      <c r="E1771" s="1">
        <v>1.9791666666666665</v>
      </c>
      <c r="F1771" t="s">
        <v>2586</v>
      </c>
      <c r="G1771">
        <v>0</v>
      </c>
      <c r="H1771">
        <v>1081.0482</v>
      </c>
      <c r="I1771">
        <v>2.5</v>
      </c>
      <c r="J1771">
        <v>1163.79</v>
      </c>
      <c r="K1771">
        <v>1.9580666999707901</v>
      </c>
      <c r="L1771">
        <v>1158.8800000000001</v>
      </c>
      <c r="M1771" t="s">
        <v>27</v>
      </c>
      <c r="N1771">
        <v>1</v>
      </c>
      <c r="O1771">
        <v>1281</v>
      </c>
      <c r="P1771">
        <v>1108</v>
      </c>
      <c r="Q1771">
        <v>0</v>
      </c>
      <c r="R1771">
        <v>1108</v>
      </c>
    </row>
    <row r="1772" spans="1:18" x14ac:dyDescent="0.3">
      <c r="A1772" s="5">
        <v>45968</v>
      </c>
      <c r="B1772" t="s">
        <v>2588</v>
      </c>
      <c r="C1772">
        <v>10</v>
      </c>
      <c r="D1772">
        <v>36</v>
      </c>
      <c r="E1772" s="1">
        <v>1.9791666666666665</v>
      </c>
      <c r="F1772" t="s">
        <v>2586</v>
      </c>
      <c r="G1772">
        <v>0</v>
      </c>
      <c r="H1772">
        <v>1081.1559</v>
      </c>
      <c r="I1772">
        <v>2.5</v>
      </c>
      <c r="J1772">
        <v>1163.79</v>
      </c>
      <c r="K1772">
        <v>1.9580666999707901</v>
      </c>
      <c r="L1772">
        <v>1158.8800000000001</v>
      </c>
      <c r="M1772" t="s">
        <v>27</v>
      </c>
      <c r="N1772">
        <v>1</v>
      </c>
      <c r="O1772">
        <v>1281</v>
      </c>
      <c r="P1772">
        <v>1108</v>
      </c>
      <c r="Q1772">
        <v>0</v>
      </c>
      <c r="R1772">
        <v>1108</v>
      </c>
    </row>
    <row r="1773" spans="1:18" x14ac:dyDescent="0.3">
      <c r="A1773" s="5">
        <v>45968</v>
      </c>
      <c r="B1773" t="s">
        <v>2588</v>
      </c>
      <c r="C1773">
        <v>10</v>
      </c>
      <c r="D1773">
        <v>36</v>
      </c>
      <c r="E1773" s="1">
        <v>1.9791666666666665</v>
      </c>
      <c r="F1773" t="s">
        <v>2586</v>
      </c>
      <c r="G1773">
        <v>0</v>
      </c>
      <c r="H1773">
        <v>1081.1559</v>
      </c>
      <c r="I1773">
        <v>2.5</v>
      </c>
      <c r="J1773">
        <v>1163.79</v>
      </c>
      <c r="K1773">
        <v>1.9580666999707901</v>
      </c>
      <c r="L1773">
        <v>1158.8800000000001</v>
      </c>
      <c r="M1773" t="s">
        <v>27</v>
      </c>
      <c r="N1773">
        <v>1</v>
      </c>
      <c r="O1773">
        <v>1281</v>
      </c>
      <c r="P1773">
        <v>1108</v>
      </c>
      <c r="Q1773">
        <v>0</v>
      </c>
      <c r="R1773">
        <v>1108</v>
      </c>
    </row>
    <row r="1774" spans="1:18" x14ac:dyDescent="0.3">
      <c r="A1774" s="5">
        <v>45968</v>
      </c>
      <c r="B1774" t="s">
        <v>2588</v>
      </c>
      <c r="C1774">
        <v>10</v>
      </c>
      <c r="D1774">
        <v>36</v>
      </c>
      <c r="E1774" s="1">
        <v>1.9791666666666665</v>
      </c>
      <c r="F1774" t="s">
        <v>2586</v>
      </c>
      <c r="G1774">
        <v>0</v>
      </c>
      <c r="H1774">
        <v>1081.1559</v>
      </c>
      <c r="I1774">
        <v>2.5</v>
      </c>
      <c r="J1774">
        <v>1163.79</v>
      </c>
      <c r="K1774">
        <v>1.9580666999707901</v>
      </c>
      <c r="L1774">
        <v>1158.8800000000001</v>
      </c>
      <c r="M1774" t="s">
        <v>27</v>
      </c>
      <c r="N1774">
        <v>1</v>
      </c>
      <c r="O1774">
        <v>1281</v>
      </c>
      <c r="P1774">
        <v>1108</v>
      </c>
      <c r="Q1774">
        <v>0</v>
      </c>
      <c r="R1774">
        <v>1108</v>
      </c>
    </row>
    <row r="1775" spans="1:18" x14ac:dyDescent="0.3">
      <c r="A1775" s="5">
        <v>45968</v>
      </c>
      <c r="B1775" t="s">
        <v>2589</v>
      </c>
      <c r="C1775">
        <v>16</v>
      </c>
      <c r="D1775">
        <v>36</v>
      </c>
      <c r="E1775" s="1">
        <v>1.9791666666666665</v>
      </c>
      <c r="F1775" t="s">
        <v>2590</v>
      </c>
      <c r="G1775">
        <v>5</v>
      </c>
      <c r="H1775">
        <v>1079.0137</v>
      </c>
      <c r="I1775">
        <v>0</v>
      </c>
      <c r="J1775">
        <v>1163.79</v>
      </c>
      <c r="K1775">
        <v>0</v>
      </c>
      <c r="L1775">
        <v>609.91</v>
      </c>
      <c r="M1775" t="s">
        <v>77</v>
      </c>
      <c r="N1775">
        <v>1</v>
      </c>
      <c r="O1775">
        <v>1252</v>
      </c>
      <c r="P1775">
        <v>1079</v>
      </c>
      <c r="Q1775">
        <v>0.5</v>
      </c>
      <c r="R1775">
        <v>539.5</v>
      </c>
    </row>
    <row r="1776" spans="1:18" x14ac:dyDescent="0.3">
      <c r="A1776" s="5">
        <v>45968</v>
      </c>
      <c r="B1776" t="s">
        <v>2591</v>
      </c>
      <c r="C1776">
        <v>23</v>
      </c>
      <c r="D1776">
        <v>36</v>
      </c>
      <c r="E1776" s="1">
        <v>1.0833333333333333</v>
      </c>
      <c r="F1776" t="s">
        <v>2592</v>
      </c>
      <c r="G1776">
        <v>0</v>
      </c>
      <c r="H1776">
        <v>1080.9645</v>
      </c>
      <c r="I1776">
        <v>2.5</v>
      </c>
      <c r="J1776">
        <v>1163.79</v>
      </c>
      <c r="K1776">
        <v>1.9580666999707901</v>
      </c>
      <c r="L1776">
        <v>1158.8800000000001</v>
      </c>
      <c r="M1776" t="s">
        <v>27</v>
      </c>
      <c r="N1776">
        <v>1</v>
      </c>
      <c r="O1776">
        <v>1281</v>
      </c>
      <c r="P1776">
        <v>1108</v>
      </c>
      <c r="Q1776">
        <v>0</v>
      </c>
      <c r="R1776">
        <v>1108</v>
      </c>
    </row>
    <row r="1777" spans="1:18" x14ac:dyDescent="0.3">
      <c r="A1777" s="5">
        <v>45968</v>
      </c>
      <c r="B1777" t="s">
        <v>2591</v>
      </c>
      <c r="C1777">
        <v>23</v>
      </c>
      <c r="D1777">
        <v>36</v>
      </c>
      <c r="E1777" s="1">
        <v>1.0833333333333333</v>
      </c>
      <c r="F1777" t="s">
        <v>2592</v>
      </c>
      <c r="G1777">
        <v>0</v>
      </c>
      <c r="H1777">
        <v>1080.9645</v>
      </c>
      <c r="I1777">
        <v>2.5</v>
      </c>
      <c r="J1777">
        <v>1163.79</v>
      </c>
      <c r="K1777">
        <v>1.9580666999707901</v>
      </c>
      <c r="L1777">
        <v>1158.8800000000001</v>
      </c>
      <c r="M1777" t="s">
        <v>27</v>
      </c>
      <c r="N1777">
        <v>1</v>
      </c>
      <c r="O1777">
        <v>1281</v>
      </c>
      <c r="P1777">
        <v>1108</v>
      </c>
      <c r="Q1777">
        <v>0</v>
      </c>
      <c r="R1777">
        <v>1108</v>
      </c>
    </row>
    <row r="1778" spans="1:18" x14ac:dyDescent="0.3">
      <c r="A1778" s="5">
        <v>45968</v>
      </c>
      <c r="B1778" t="s">
        <v>2593</v>
      </c>
      <c r="C1778">
        <v>22</v>
      </c>
      <c r="D1778">
        <v>36</v>
      </c>
      <c r="E1778" s="1">
        <v>1.0833333333333333</v>
      </c>
      <c r="F1778" t="s">
        <v>2592</v>
      </c>
      <c r="G1778">
        <v>0</v>
      </c>
      <c r="H1778">
        <v>1080.9822999999999</v>
      </c>
      <c r="I1778">
        <v>2.5</v>
      </c>
      <c r="J1778">
        <v>1163.79</v>
      </c>
      <c r="K1778">
        <v>1.9580666999707901</v>
      </c>
      <c r="L1778">
        <v>1158.8800000000001</v>
      </c>
      <c r="M1778" t="s">
        <v>27</v>
      </c>
      <c r="N1778">
        <v>1</v>
      </c>
      <c r="O1778">
        <v>1281</v>
      </c>
      <c r="P1778">
        <v>1108</v>
      </c>
      <c r="Q1778">
        <v>0</v>
      </c>
      <c r="R1778">
        <v>1108</v>
      </c>
    </row>
    <row r="1779" spans="1:18" x14ac:dyDescent="0.3">
      <c r="A1779" s="5">
        <v>45968</v>
      </c>
      <c r="B1779" t="s">
        <v>2593</v>
      </c>
      <c r="C1779">
        <v>22</v>
      </c>
      <c r="D1779">
        <v>36</v>
      </c>
      <c r="E1779" s="1">
        <v>1.0833333333333333</v>
      </c>
      <c r="F1779" t="s">
        <v>2592</v>
      </c>
      <c r="G1779">
        <v>0</v>
      </c>
      <c r="H1779">
        <v>1080.9822999999999</v>
      </c>
      <c r="I1779">
        <v>2.5</v>
      </c>
      <c r="J1779">
        <v>1163.79</v>
      </c>
      <c r="K1779">
        <v>1.9580666999707901</v>
      </c>
      <c r="L1779">
        <v>1158.8800000000001</v>
      </c>
      <c r="M1779" t="s">
        <v>27</v>
      </c>
      <c r="N1779">
        <v>1</v>
      </c>
      <c r="O1779">
        <v>1281</v>
      </c>
      <c r="P1779">
        <v>1108</v>
      </c>
      <c r="Q1779">
        <v>0</v>
      </c>
      <c r="R1779">
        <v>1108</v>
      </c>
    </row>
    <row r="1780" spans="1:18" x14ac:dyDescent="0.3">
      <c r="A1780" s="5">
        <v>45968</v>
      </c>
      <c r="B1780" t="s">
        <v>2594</v>
      </c>
      <c r="C1780">
        <v>25</v>
      </c>
      <c r="D1780">
        <v>36</v>
      </c>
      <c r="E1780" s="1">
        <v>1.9652777777777777</v>
      </c>
      <c r="F1780" t="s">
        <v>2595</v>
      </c>
      <c r="G1780">
        <v>1</v>
      </c>
      <c r="H1780">
        <v>1080.7705000000001</v>
      </c>
      <c r="I1780">
        <v>8.5</v>
      </c>
      <c r="J1780">
        <v>1163.79</v>
      </c>
      <c r="K1780">
        <v>6.6574267799006801</v>
      </c>
      <c r="L1780">
        <v>1097.8399999999999</v>
      </c>
      <c r="M1780" t="s">
        <v>27</v>
      </c>
      <c r="N1780">
        <v>1</v>
      </c>
      <c r="O1780">
        <v>1346</v>
      </c>
      <c r="P1780">
        <v>1173</v>
      </c>
      <c r="Q1780">
        <v>0</v>
      </c>
      <c r="R1780">
        <v>1173</v>
      </c>
    </row>
    <row r="1781" spans="1:18" x14ac:dyDescent="0.3">
      <c r="A1781" s="5">
        <v>45968</v>
      </c>
      <c r="B1781" t="s">
        <v>2596</v>
      </c>
      <c r="C1781">
        <v>2</v>
      </c>
      <c r="D1781">
        <v>36</v>
      </c>
      <c r="E1781" s="1">
        <v>1.9993055555555554</v>
      </c>
      <c r="F1781" t="s">
        <v>2597</v>
      </c>
      <c r="G1781">
        <v>3</v>
      </c>
      <c r="H1781">
        <v>1081.3022000000001</v>
      </c>
      <c r="I1781">
        <v>10</v>
      </c>
      <c r="J1781">
        <v>1163.79</v>
      </c>
      <c r="K1781">
        <v>7.8322667998831603</v>
      </c>
      <c r="L1781">
        <v>609.91</v>
      </c>
      <c r="M1781" t="s">
        <v>20</v>
      </c>
      <c r="N1781">
        <v>1</v>
      </c>
      <c r="O1781">
        <v>1362</v>
      </c>
      <c r="P1781">
        <v>1189</v>
      </c>
      <c r="Q1781">
        <v>0.5</v>
      </c>
      <c r="R1781">
        <v>594.5</v>
      </c>
    </row>
    <row r="1782" spans="1:18" x14ac:dyDescent="0.3">
      <c r="A1782" s="5">
        <v>45968</v>
      </c>
      <c r="B1782" t="s">
        <v>2598</v>
      </c>
      <c r="C1782">
        <v>30</v>
      </c>
      <c r="D1782">
        <v>36</v>
      </c>
      <c r="E1782" s="1">
        <v>1.9791666666666665</v>
      </c>
      <c r="F1782" t="s">
        <v>2599</v>
      </c>
      <c r="G1782">
        <v>1</v>
      </c>
      <c r="H1782">
        <v>1080.6802</v>
      </c>
      <c r="I1782">
        <v>8.5</v>
      </c>
      <c r="J1782">
        <v>1163.79</v>
      </c>
      <c r="K1782">
        <v>6.6574267799006801</v>
      </c>
      <c r="L1782">
        <v>1219.83</v>
      </c>
      <c r="M1782" t="s">
        <v>27</v>
      </c>
      <c r="N1782">
        <v>1</v>
      </c>
      <c r="O1782">
        <v>1345</v>
      </c>
      <c r="P1782">
        <v>1173</v>
      </c>
      <c r="Q1782">
        <v>0</v>
      </c>
      <c r="R1782">
        <v>1173</v>
      </c>
    </row>
    <row r="1783" spans="1:18" x14ac:dyDescent="0.3">
      <c r="A1783" s="5">
        <v>45968</v>
      </c>
      <c r="B1783" t="s">
        <v>2600</v>
      </c>
      <c r="C1783">
        <v>12</v>
      </c>
      <c r="D1783">
        <v>36</v>
      </c>
      <c r="E1783" s="1">
        <v>1.9652777777777777</v>
      </c>
      <c r="F1783" t="s">
        <v>2601</v>
      </c>
      <c r="G1783">
        <v>1</v>
      </c>
      <c r="H1783">
        <v>1081.1225999999999</v>
      </c>
      <c r="I1783">
        <v>8.5</v>
      </c>
      <c r="J1783">
        <v>1163.79</v>
      </c>
      <c r="K1783">
        <v>6.6574267799006801</v>
      </c>
      <c r="L1783">
        <v>1219.83</v>
      </c>
      <c r="M1783" t="s">
        <v>27</v>
      </c>
      <c r="N1783">
        <v>1</v>
      </c>
      <c r="O1783">
        <v>1346</v>
      </c>
      <c r="P1783">
        <v>1173</v>
      </c>
      <c r="Q1783">
        <v>0</v>
      </c>
      <c r="R1783">
        <v>1173</v>
      </c>
    </row>
    <row r="1784" spans="1:18" x14ac:dyDescent="0.3">
      <c r="A1784" s="5">
        <v>45968</v>
      </c>
      <c r="B1784" t="s">
        <v>2602</v>
      </c>
      <c r="C1784">
        <v>33</v>
      </c>
      <c r="D1784">
        <v>36</v>
      </c>
      <c r="E1784" s="1">
        <v>1.0833333333333333</v>
      </c>
      <c r="F1784" t="s">
        <v>2603</v>
      </c>
      <c r="G1784">
        <v>0</v>
      </c>
      <c r="H1784">
        <v>1080.8403000000001</v>
      </c>
      <c r="I1784">
        <v>2.5</v>
      </c>
      <c r="J1784">
        <v>1163.79</v>
      </c>
      <c r="K1784">
        <v>1.9580666999707901</v>
      </c>
      <c r="L1784">
        <v>1158.8800000000001</v>
      </c>
      <c r="M1784" t="s">
        <v>27</v>
      </c>
      <c r="N1784">
        <v>1</v>
      </c>
      <c r="O1784">
        <v>1281</v>
      </c>
      <c r="P1784">
        <v>1108</v>
      </c>
      <c r="Q1784">
        <v>0</v>
      </c>
      <c r="R1784">
        <v>1108</v>
      </c>
    </row>
    <row r="1785" spans="1:18" x14ac:dyDescent="0.3">
      <c r="A1785" s="5">
        <v>45968</v>
      </c>
      <c r="B1785" t="s">
        <v>2604</v>
      </c>
      <c r="C1785">
        <v>36</v>
      </c>
      <c r="D1785">
        <v>36</v>
      </c>
      <c r="E1785" s="1">
        <v>1.9993055555555554</v>
      </c>
      <c r="F1785" t="s">
        <v>2605</v>
      </c>
      <c r="G1785">
        <v>5</v>
      </c>
      <c r="H1785">
        <v>1080.5648000000001</v>
      </c>
      <c r="I1785">
        <v>0</v>
      </c>
      <c r="J1785">
        <v>1163.79</v>
      </c>
      <c r="K1785">
        <v>0</v>
      </c>
      <c r="L1785">
        <v>1158.8800000000001</v>
      </c>
      <c r="M1785" t="s">
        <v>27</v>
      </c>
      <c r="N1785">
        <v>1</v>
      </c>
      <c r="O1785">
        <v>1253</v>
      </c>
      <c r="P1785">
        <v>1081</v>
      </c>
      <c r="Q1785">
        <v>0</v>
      </c>
      <c r="R1785">
        <v>1081</v>
      </c>
    </row>
    <row r="1786" spans="1:18" x14ac:dyDescent="0.3">
      <c r="A1786" s="5">
        <v>45968</v>
      </c>
      <c r="B1786" t="s">
        <v>2606</v>
      </c>
      <c r="C1786">
        <v>14</v>
      </c>
      <c r="D1786">
        <v>36</v>
      </c>
      <c r="E1786" s="1">
        <v>1.25</v>
      </c>
      <c r="F1786" t="s">
        <v>2607</v>
      </c>
      <c r="G1786">
        <v>4</v>
      </c>
      <c r="H1786">
        <v>1081.3126</v>
      </c>
      <c r="I1786">
        <v>7</v>
      </c>
      <c r="J1786">
        <v>1163.79</v>
      </c>
      <c r="K1786">
        <v>5.4825867599182097</v>
      </c>
      <c r="L1786">
        <v>1158.8800000000001</v>
      </c>
      <c r="M1786" t="s">
        <v>27</v>
      </c>
      <c r="N1786">
        <v>1</v>
      </c>
      <c r="O1786">
        <v>1330</v>
      </c>
      <c r="P1786">
        <v>1157</v>
      </c>
      <c r="Q1786">
        <v>0</v>
      </c>
      <c r="R1786">
        <v>1157</v>
      </c>
    </row>
    <row r="1787" spans="1:18" x14ac:dyDescent="0.3">
      <c r="A1787" s="5">
        <v>45968</v>
      </c>
      <c r="B1787" t="s">
        <v>2606</v>
      </c>
      <c r="C1787">
        <v>14</v>
      </c>
      <c r="D1787">
        <v>36</v>
      </c>
      <c r="E1787" s="1">
        <v>1.25</v>
      </c>
      <c r="F1787" t="s">
        <v>2607</v>
      </c>
      <c r="G1787">
        <v>4</v>
      </c>
      <c r="H1787">
        <v>1081.3126</v>
      </c>
      <c r="I1787">
        <v>7</v>
      </c>
      <c r="J1787">
        <v>1163.79</v>
      </c>
      <c r="K1787">
        <v>5.4825867599182097</v>
      </c>
      <c r="L1787">
        <v>1158.8800000000001</v>
      </c>
      <c r="M1787" t="s">
        <v>27</v>
      </c>
      <c r="N1787">
        <v>1</v>
      </c>
      <c r="O1787">
        <v>1330</v>
      </c>
      <c r="P1787">
        <v>1157</v>
      </c>
      <c r="Q1787">
        <v>0</v>
      </c>
      <c r="R1787">
        <v>1157</v>
      </c>
    </row>
    <row r="1788" spans="1:18" x14ac:dyDescent="0.3">
      <c r="A1788" s="5">
        <v>45968</v>
      </c>
      <c r="B1788" t="s">
        <v>2608</v>
      </c>
      <c r="C1788">
        <v>15</v>
      </c>
      <c r="D1788">
        <v>36</v>
      </c>
      <c r="E1788" s="1">
        <v>1.25</v>
      </c>
      <c r="F1788" t="s">
        <v>2607</v>
      </c>
      <c r="G1788">
        <v>4</v>
      </c>
      <c r="H1788">
        <v>1081.2945999999999</v>
      </c>
      <c r="I1788">
        <v>7</v>
      </c>
      <c r="J1788">
        <v>1163.79</v>
      </c>
      <c r="K1788">
        <v>5.4825867599182097</v>
      </c>
      <c r="L1788">
        <v>1158.8800000000001</v>
      </c>
      <c r="M1788" t="s">
        <v>27</v>
      </c>
      <c r="N1788">
        <v>1</v>
      </c>
      <c r="O1788">
        <v>1330</v>
      </c>
      <c r="P1788">
        <v>1157</v>
      </c>
      <c r="Q1788">
        <v>0</v>
      </c>
      <c r="R1788">
        <v>1157</v>
      </c>
    </row>
    <row r="1789" spans="1:18" x14ac:dyDescent="0.3">
      <c r="A1789" s="5">
        <v>45968</v>
      </c>
      <c r="B1789" t="s">
        <v>2608</v>
      </c>
      <c r="C1789">
        <v>15</v>
      </c>
      <c r="D1789">
        <v>36</v>
      </c>
      <c r="E1789" s="1">
        <v>1.25</v>
      </c>
      <c r="F1789" t="s">
        <v>2607</v>
      </c>
      <c r="G1789">
        <v>4</v>
      </c>
      <c r="H1789">
        <v>1081.2945999999999</v>
      </c>
      <c r="I1789">
        <v>7</v>
      </c>
      <c r="J1789">
        <v>1163.79</v>
      </c>
      <c r="K1789">
        <v>5.4825867599182097</v>
      </c>
      <c r="L1789">
        <v>1158.8800000000001</v>
      </c>
      <c r="M1789" t="s">
        <v>27</v>
      </c>
      <c r="N1789">
        <v>1</v>
      </c>
      <c r="O1789">
        <v>1330</v>
      </c>
      <c r="P1789">
        <v>1157</v>
      </c>
      <c r="Q1789">
        <v>0</v>
      </c>
      <c r="R1789">
        <v>1157</v>
      </c>
    </row>
    <row r="1790" spans="1:18" x14ac:dyDescent="0.3">
      <c r="A1790" s="5">
        <v>45968</v>
      </c>
      <c r="B1790" t="s">
        <v>2609</v>
      </c>
      <c r="C1790">
        <v>28</v>
      </c>
      <c r="D1790">
        <v>36</v>
      </c>
      <c r="E1790" s="1">
        <v>1.9652777777777777</v>
      </c>
      <c r="F1790" t="s">
        <v>2610</v>
      </c>
      <c r="G1790">
        <v>1</v>
      </c>
      <c r="H1790">
        <v>1080.7085999999999</v>
      </c>
      <c r="I1790">
        <v>8.5</v>
      </c>
      <c r="J1790">
        <v>1163.79</v>
      </c>
      <c r="K1790">
        <v>6.6574267799006801</v>
      </c>
      <c r="L1790">
        <v>1219.83</v>
      </c>
      <c r="M1790" t="s">
        <v>27</v>
      </c>
      <c r="N1790">
        <v>1</v>
      </c>
      <c r="O1790">
        <v>1345</v>
      </c>
      <c r="P1790">
        <v>1173</v>
      </c>
      <c r="Q1790">
        <v>0</v>
      </c>
      <c r="R1790">
        <v>1173</v>
      </c>
    </row>
    <row r="1791" spans="1:18" x14ac:dyDescent="0.3">
      <c r="A1791" s="5">
        <v>45968</v>
      </c>
      <c r="B1791" t="s">
        <v>2611</v>
      </c>
      <c r="C1791">
        <v>29</v>
      </c>
      <c r="D1791">
        <v>36</v>
      </c>
      <c r="E1791" s="1">
        <v>1.9652777777777777</v>
      </c>
      <c r="F1791" t="s">
        <v>2612</v>
      </c>
      <c r="G1791">
        <v>1</v>
      </c>
      <c r="H1791">
        <v>1080.6905999999999</v>
      </c>
      <c r="I1791">
        <v>8.5</v>
      </c>
      <c r="J1791">
        <v>1163.79</v>
      </c>
      <c r="K1791">
        <v>6.6574267799006801</v>
      </c>
      <c r="L1791">
        <v>1219.83</v>
      </c>
      <c r="M1791" t="s">
        <v>27</v>
      </c>
      <c r="N1791">
        <v>1</v>
      </c>
      <c r="O1791">
        <v>1345</v>
      </c>
      <c r="P1791">
        <v>1173</v>
      </c>
      <c r="Q1791">
        <v>0</v>
      </c>
      <c r="R1791">
        <v>1173</v>
      </c>
    </row>
    <row r="1792" spans="1:18" x14ac:dyDescent="0.3">
      <c r="A1792" s="5">
        <v>45968</v>
      </c>
      <c r="B1792" t="s">
        <v>2613</v>
      </c>
      <c r="C1792">
        <v>13</v>
      </c>
      <c r="D1792">
        <v>36</v>
      </c>
      <c r="E1792" s="1">
        <v>1.4583333333333333</v>
      </c>
      <c r="F1792" t="s">
        <v>2614</v>
      </c>
      <c r="G1792">
        <v>0</v>
      </c>
      <c r="H1792">
        <v>1081.3280999999999</v>
      </c>
      <c r="I1792">
        <v>2.5</v>
      </c>
      <c r="J1792">
        <v>1163.79</v>
      </c>
      <c r="K1792">
        <v>1.9580666999707901</v>
      </c>
      <c r="L1792">
        <v>1158.8800000000001</v>
      </c>
      <c r="M1792" t="s">
        <v>27</v>
      </c>
      <c r="N1792">
        <v>1</v>
      </c>
      <c r="O1792">
        <v>1281</v>
      </c>
      <c r="P1792">
        <v>1108</v>
      </c>
      <c r="Q1792">
        <v>0</v>
      </c>
      <c r="R1792">
        <v>1108</v>
      </c>
    </row>
    <row r="1793" spans="1:18" x14ac:dyDescent="0.3">
      <c r="A1793" s="5">
        <v>45968</v>
      </c>
      <c r="B1793" t="s">
        <v>2615</v>
      </c>
      <c r="C1793">
        <v>33</v>
      </c>
      <c r="D1793">
        <v>36</v>
      </c>
      <c r="E1793" s="1">
        <v>1.9652777777777777</v>
      </c>
      <c r="F1793" t="s">
        <v>2616</v>
      </c>
      <c r="G1793">
        <v>4</v>
      </c>
      <c r="H1793">
        <v>1080.4727</v>
      </c>
      <c r="I1793">
        <v>7</v>
      </c>
      <c r="J1793">
        <v>1163.79</v>
      </c>
      <c r="K1793">
        <v>5.4825867599182097</v>
      </c>
      <c r="L1793">
        <v>1097.8399999999999</v>
      </c>
      <c r="M1793" t="s">
        <v>27</v>
      </c>
      <c r="N1793">
        <v>1</v>
      </c>
      <c r="O1793">
        <v>1329</v>
      </c>
      <c r="P1793">
        <v>1156</v>
      </c>
      <c r="Q1793">
        <v>0</v>
      </c>
      <c r="R1793">
        <v>1156</v>
      </c>
    </row>
    <row r="1794" spans="1:18" x14ac:dyDescent="0.3">
      <c r="A1794" s="5">
        <v>45968</v>
      </c>
      <c r="B1794" t="s">
        <v>2617</v>
      </c>
      <c r="C1794">
        <v>34</v>
      </c>
      <c r="D1794">
        <v>36</v>
      </c>
      <c r="E1794" s="1">
        <v>1.9652777777777777</v>
      </c>
      <c r="F1794" t="s">
        <v>2618</v>
      </c>
      <c r="G1794">
        <v>4</v>
      </c>
      <c r="H1794">
        <v>1080.4278999999999</v>
      </c>
      <c r="I1794">
        <v>7</v>
      </c>
      <c r="J1794">
        <v>1163.79</v>
      </c>
      <c r="K1794">
        <v>5.4825867599182097</v>
      </c>
      <c r="L1794">
        <v>1097.8399999999999</v>
      </c>
      <c r="M1794" t="s">
        <v>27</v>
      </c>
      <c r="N1794">
        <v>1</v>
      </c>
      <c r="O1794">
        <v>1329</v>
      </c>
      <c r="P1794">
        <v>1156</v>
      </c>
      <c r="Q1794">
        <v>0</v>
      </c>
      <c r="R1794">
        <v>1156</v>
      </c>
    </row>
    <row r="1795" spans="1:18" x14ac:dyDescent="0.3">
      <c r="A1795" s="5">
        <v>45968</v>
      </c>
      <c r="B1795" t="s">
        <v>2619</v>
      </c>
      <c r="C1795">
        <v>27</v>
      </c>
      <c r="D1795">
        <v>36</v>
      </c>
      <c r="E1795" s="1">
        <v>1.9791666666666665</v>
      </c>
      <c r="F1795" t="s">
        <v>2620</v>
      </c>
      <c r="G1795">
        <v>1</v>
      </c>
      <c r="H1795">
        <v>1080.7338</v>
      </c>
      <c r="I1795">
        <v>8.5</v>
      </c>
      <c r="J1795">
        <v>1163.79</v>
      </c>
      <c r="K1795">
        <v>6.6574267799006801</v>
      </c>
      <c r="L1795">
        <v>1219.83</v>
      </c>
      <c r="M1795" t="s">
        <v>27</v>
      </c>
      <c r="N1795">
        <v>1</v>
      </c>
      <c r="O1795">
        <v>1346</v>
      </c>
      <c r="P1795">
        <v>1173</v>
      </c>
      <c r="Q1795">
        <v>0</v>
      </c>
      <c r="R1795">
        <v>1173</v>
      </c>
    </row>
    <row r="1796" spans="1:18" x14ac:dyDescent="0.3">
      <c r="A1796" s="5">
        <v>45968</v>
      </c>
      <c r="B1796" t="s">
        <v>2621</v>
      </c>
      <c r="C1796">
        <v>20</v>
      </c>
      <c r="D1796">
        <v>36</v>
      </c>
      <c r="E1796" s="1">
        <v>1.9993055555555554</v>
      </c>
      <c r="F1796" t="s">
        <v>2622</v>
      </c>
      <c r="G1796">
        <v>5</v>
      </c>
      <c r="H1796">
        <v>1080.9839999999999</v>
      </c>
      <c r="I1796">
        <v>0</v>
      </c>
      <c r="J1796">
        <v>1163.79</v>
      </c>
      <c r="K1796">
        <v>0</v>
      </c>
      <c r="L1796">
        <v>1158.8800000000001</v>
      </c>
      <c r="M1796" t="s">
        <v>27</v>
      </c>
      <c r="N1796">
        <v>1</v>
      </c>
      <c r="O1796">
        <v>1254</v>
      </c>
      <c r="P1796">
        <v>1081</v>
      </c>
      <c r="Q1796">
        <v>0</v>
      </c>
      <c r="R1796">
        <v>1081</v>
      </c>
    </row>
    <row r="1797" spans="1:18" x14ac:dyDescent="0.3">
      <c r="A1797" s="5">
        <v>45968</v>
      </c>
      <c r="B1797" t="s">
        <v>2623</v>
      </c>
      <c r="C1797">
        <v>32</v>
      </c>
      <c r="D1797">
        <v>36</v>
      </c>
      <c r="E1797" s="1">
        <v>1.9993055555555554</v>
      </c>
      <c r="F1797" t="s">
        <v>2624</v>
      </c>
      <c r="G1797">
        <v>3</v>
      </c>
      <c r="H1797">
        <v>1080.6437000000001</v>
      </c>
      <c r="I1797">
        <v>10</v>
      </c>
      <c r="J1797">
        <v>1163.79</v>
      </c>
      <c r="K1797">
        <v>7.8322667998831603</v>
      </c>
      <c r="L1797">
        <v>609.91</v>
      </c>
      <c r="M1797" t="s">
        <v>20</v>
      </c>
      <c r="N1797">
        <v>1</v>
      </c>
      <c r="O1797">
        <v>1362</v>
      </c>
      <c r="P1797">
        <v>1189</v>
      </c>
      <c r="Q1797">
        <v>0.5</v>
      </c>
      <c r="R1797">
        <v>594.5</v>
      </c>
    </row>
    <row r="1798" spans="1:18" x14ac:dyDescent="0.3">
      <c r="A1798" s="5">
        <v>45968</v>
      </c>
      <c r="B1798" t="s">
        <v>2625</v>
      </c>
      <c r="C1798">
        <v>22</v>
      </c>
      <c r="D1798">
        <v>36</v>
      </c>
      <c r="E1798" s="1">
        <v>1.9993055555555554</v>
      </c>
      <c r="F1798" t="s">
        <v>2626</v>
      </c>
      <c r="G1798">
        <v>1</v>
      </c>
      <c r="H1798">
        <v>1080.8235999999999</v>
      </c>
      <c r="I1798">
        <v>8.5</v>
      </c>
      <c r="J1798">
        <v>1163.79</v>
      </c>
      <c r="K1798">
        <v>6.6574267799006801</v>
      </c>
      <c r="L1798">
        <v>1219.83</v>
      </c>
      <c r="M1798" t="s">
        <v>27</v>
      </c>
      <c r="N1798">
        <v>1</v>
      </c>
      <c r="O1798">
        <v>1346</v>
      </c>
      <c r="P1798">
        <v>1173</v>
      </c>
      <c r="Q1798">
        <v>0</v>
      </c>
      <c r="R1798">
        <v>1173</v>
      </c>
    </row>
    <row r="1799" spans="1:18" x14ac:dyDescent="0.3">
      <c r="A1799" s="5">
        <v>45968</v>
      </c>
      <c r="B1799" t="s">
        <v>2627</v>
      </c>
      <c r="C1799">
        <v>35</v>
      </c>
      <c r="D1799">
        <v>36</v>
      </c>
      <c r="E1799" s="1">
        <v>1.0833333333333333</v>
      </c>
      <c r="F1799" t="s">
        <v>2628</v>
      </c>
      <c r="G1799">
        <v>0</v>
      </c>
      <c r="H1799">
        <v>1080.8036999999999</v>
      </c>
      <c r="I1799">
        <v>2.5</v>
      </c>
      <c r="J1799">
        <v>1163.79</v>
      </c>
      <c r="K1799">
        <v>1.9580666999707901</v>
      </c>
      <c r="L1799">
        <v>1158.8800000000001</v>
      </c>
      <c r="M1799" t="s">
        <v>27</v>
      </c>
      <c r="N1799">
        <v>1</v>
      </c>
      <c r="O1799">
        <v>1281</v>
      </c>
      <c r="P1799">
        <v>1108</v>
      </c>
      <c r="Q1799">
        <v>0</v>
      </c>
      <c r="R1799">
        <v>1108</v>
      </c>
    </row>
    <row r="1800" spans="1:18" x14ac:dyDescent="0.3">
      <c r="A1800" s="5">
        <v>45968</v>
      </c>
      <c r="B1800" t="s">
        <v>2629</v>
      </c>
      <c r="C1800">
        <v>8</v>
      </c>
      <c r="D1800">
        <v>36</v>
      </c>
      <c r="E1800" s="1">
        <v>1.9791666666666665</v>
      </c>
      <c r="F1800" t="s">
        <v>97</v>
      </c>
      <c r="G1800">
        <v>4</v>
      </c>
      <c r="H1800">
        <v>1079.1558</v>
      </c>
      <c r="I1800">
        <v>7</v>
      </c>
      <c r="J1800">
        <v>1163.79</v>
      </c>
      <c r="K1800">
        <v>5.4825867599182097</v>
      </c>
      <c r="L1800">
        <v>1219.83</v>
      </c>
      <c r="M1800" t="s">
        <v>27</v>
      </c>
      <c r="N1800">
        <v>1</v>
      </c>
      <c r="O1800">
        <v>1327</v>
      </c>
      <c r="P1800">
        <v>1155</v>
      </c>
      <c r="Q1800">
        <v>0</v>
      </c>
      <c r="R1800">
        <v>1155</v>
      </c>
    </row>
    <row r="1801" spans="1:18" x14ac:dyDescent="0.3">
      <c r="A1801" s="5">
        <v>45968</v>
      </c>
      <c r="B1801" t="s">
        <v>2630</v>
      </c>
      <c r="C1801">
        <v>9</v>
      </c>
      <c r="D1801">
        <v>36</v>
      </c>
      <c r="E1801" s="1">
        <v>1.9791666666666665</v>
      </c>
      <c r="F1801" t="s">
        <v>97</v>
      </c>
      <c r="G1801">
        <v>4</v>
      </c>
      <c r="H1801">
        <v>1079.1377</v>
      </c>
      <c r="I1801">
        <v>7</v>
      </c>
      <c r="J1801">
        <v>1163.79</v>
      </c>
      <c r="K1801">
        <v>5.4825867599182097</v>
      </c>
      <c r="L1801">
        <v>1219.83</v>
      </c>
      <c r="M1801" t="s">
        <v>27</v>
      </c>
      <c r="N1801">
        <v>1</v>
      </c>
      <c r="O1801">
        <v>1327</v>
      </c>
      <c r="P1801">
        <v>1155</v>
      </c>
      <c r="Q1801">
        <v>0</v>
      </c>
      <c r="R1801">
        <v>1155</v>
      </c>
    </row>
    <row r="1802" spans="1:18" x14ac:dyDescent="0.3">
      <c r="A1802" s="5">
        <v>45968</v>
      </c>
      <c r="B1802" t="s">
        <v>1310</v>
      </c>
      <c r="C1802">
        <v>11</v>
      </c>
      <c r="D1802">
        <v>36</v>
      </c>
      <c r="E1802" s="1">
        <v>1.9993055555555554</v>
      </c>
      <c r="F1802" t="s">
        <v>1311</v>
      </c>
      <c r="G1802">
        <v>5</v>
      </c>
      <c r="H1802">
        <v>1081.1400000000001</v>
      </c>
      <c r="I1802">
        <v>0</v>
      </c>
      <c r="J1802">
        <v>1163.79</v>
      </c>
      <c r="K1802">
        <v>0</v>
      </c>
      <c r="L1802">
        <v>1158.8800000000001</v>
      </c>
      <c r="M1802" t="s">
        <v>27</v>
      </c>
      <c r="N1802">
        <v>1</v>
      </c>
      <c r="O1802">
        <v>1254</v>
      </c>
      <c r="P1802">
        <v>1081</v>
      </c>
      <c r="Q1802">
        <v>0</v>
      </c>
      <c r="R1802">
        <v>1081</v>
      </c>
    </row>
    <row r="1803" spans="1:18" x14ac:dyDescent="0.3">
      <c r="A1803" s="5">
        <v>45968</v>
      </c>
      <c r="B1803" t="s">
        <v>1310</v>
      </c>
      <c r="C1803">
        <v>11</v>
      </c>
      <c r="D1803">
        <v>36</v>
      </c>
      <c r="E1803" s="1">
        <v>1.9993055555555554</v>
      </c>
      <c r="F1803" t="s">
        <v>1311</v>
      </c>
      <c r="G1803">
        <v>5</v>
      </c>
      <c r="H1803">
        <v>1081.1400000000001</v>
      </c>
      <c r="I1803">
        <v>0</v>
      </c>
      <c r="J1803">
        <v>1163.79</v>
      </c>
      <c r="K1803">
        <v>0</v>
      </c>
      <c r="L1803">
        <v>1158.8800000000001</v>
      </c>
      <c r="M1803" t="s">
        <v>27</v>
      </c>
      <c r="N1803">
        <v>1</v>
      </c>
      <c r="O1803">
        <v>1254</v>
      </c>
      <c r="P1803">
        <v>1081</v>
      </c>
      <c r="Q1803">
        <v>0</v>
      </c>
      <c r="R1803">
        <v>1081</v>
      </c>
    </row>
    <row r="1804" spans="1:18" x14ac:dyDescent="0.3">
      <c r="A1804" s="5">
        <v>45968</v>
      </c>
      <c r="B1804" t="s">
        <v>1310</v>
      </c>
      <c r="C1804">
        <v>11</v>
      </c>
      <c r="D1804">
        <v>36</v>
      </c>
      <c r="E1804" s="1">
        <v>1.9993055555555554</v>
      </c>
      <c r="F1804" t="s">
        <v>1311</v>
      </c>
      <c r="G1804">
        <v>5</v>
      </c>
      <c r="H1804">
        <v>1081.1400000000001</v>
      </c>
      <c r="I1804">
        <v>0</v>
      </c>
      <c r="J1804">
        <v>1163.79</v>
      </c>
      <c r="K1804">
        <v>0</v>
      </c>
      <c r="L1804">
        <v>1158.8800000000001</v>
      </c>
      <c r="M1804" t="s">
        <v>27</v>
      </c>
      <c r="N1804">
        <v>1</v>
      </c>
      <c r="O1804">
        <v>1254</v>
      </c>
      <c r="P1804">
        <v>1081</v>
      </c>
      <c r="Q1804">
        <v>0</v>
      </c>
      <c r="R1804">
        <v>1081</v>
      </c>
    </row>
    <row r="1805" spans="1:18" x14ac:dyDescent="0.3">
      <c r="A1805" s="5">
        <v>45968</v>
      </c>
      <c r="B1805" t="s">
        <v>1312</v>
      </c>
      <c r="C1805">
        <v>12</v>
      </c>
      <c r="D1805">
        <v>36</v>
      </c>
      <c r="E1805" s="1">
        <v>1.9993055555555554</v>
      </c>
      <c r="F1805" t="s">
        <v>1311</v>
      </c>
      <c r="G1805">
        <v>5</v>
      </c>
      <c r="H1805">
        <v>1081.1220000000001</v>
      </c>
      <c r="I1805">
        <v>0</v>
      </c>
      <c r="J1805">
        <v>1163.79</v>
      </c>
      <c r="K1805">
        <v>0</v>
      </c>
      <c r="L1805">
        <v>1158.8800000000001</v>
      </c>
      <c r="M1805" t="s">
        <v>27</v>
      </c>
      <c r="N1805">
        <v>1</v>
      </c>
      <c r="O1805">
        <v>1254</v>
      </c>
      <c r="P1805">
        <v>1081</v>
      </c>
      <c r="Q1805">
        <v>0</v>
      </c>
      <c r="R1805">
        <v>1081</v>
      </c>
    </row>
    <row r="1806" spans="1:18" x14ac:dyDescent="0.3">
      <c r="A1806" s="5">
        <v>45968</v>
      </c>
      <c r="B1806" t="s">
        <v>1312</v>
      </c>
      <c r="C1806">
        <v>12</v>
      </c>
      <c r="D1806">
        <v>36</v>
      </c>
      <c r="E1806" s="1">
        <v>1.9993055555555554</v>
      </c>
      <c r="F1806" t="s">
        <v>1311</v>
      </c>
      <c r="G1806">
        <v>5</v>
      </c>
      <c r="H1806">
        <v>1081.1220000000001</v>
      </c>
      <c r="I1806">
        <v>0</v>
      </c>
      <c r="J1806">
        <v>1163.79</v>
      </c>
      <c r="K1806">
        <v>0</v>
      </c>
      <c r="L1806">
        <v>1158.8800000000001</v>
      </c>
      <c r="M1806" t="s">
        <v>27</v>
      </c>
      <c r="N1806">
        <v>1</v>
      </c>
      <c r="O1806">
        <v>1254</v>
      </c>
      <c r="P1806">
        <v>1081</v>
      </c>
      <c r="Q1806">
        <v>0</v>
      </c>
      <c r="R1806">
        <v>1081</v>
      </c>
    </row>
    <row r="1807" spans="1:18" x14ac:dyDescent="0.3">
      <c r="A1807" s="5">
        <v>45968</v>
      </c>
      <c r="B1807" t="s">
        <v>1312</v>
      </c>
      <c r="C1807">
        <v>12</v>
      </c>
      <c r="D1807">
        <v>36</v>
      </c>
      <c r="E1807" s="1">
        <v>1.9993055555555554</v>
      </c>
      <c r="F1807" t="s">
        <v>1311</v>
      </c>
      <c r="G1807">
        <v>5</v>
      </c>
      <c r="H1807">
        <v>1081.1220000000001</v>
      </c>
      <c r="I1807">
        <v>0</v>
      </c>
      <c r="J1807">
        <v>1163.79</v>
      </c>
      <c r="K1807">
        <v>0</v>
      </c>
      <c r="L1807">
        <v>1158.8800000000001</v>
      </c>
      <c r="M1807" t="s">
        <v>27</v>
      </c>
      <c r="N1807">
        <v>1</v>
      </c>
      <c r="O1807">
        <v>1254</v>
      </c>
      <c r="P1807">
        <v>1081</v>
      </c>
      <c r="Q1807">
        <v>0</v>
      </c>
      <c r="R1807">
        <v>1081</v>
      </c>
    </row>
    <row r="1808" spans="1:18" x14ac:dyDescent="0.3">
      <c r="A1808" s="5">
        <v>45968</v>
      </c>
      <c r="B1808" t="s">
        <v>1313</v>
      </c>
      <c r="C1808">
        <v>5</v>
      </c>
      <c r="D1808">
        <v>36</v>
      </c>
      <c r="E1808" s="1">
        <v>1.9993055555555554</v>
      </c>
      <c r="F1808" t="s">
        <v>1311</v>
      </c>
      <c r="G1808">
        <v>5</v>
      </c>
      <c r="H1808">
        <v>1081.2478000000001</v>
      </c>
      <c r="I1808">
        <v>0</v>
      </c>
      <c r="J1808">
        <v>1163.79</v>
      </c>
      <c r="K1808">
        <v>0</v>
      </c>
      <c r="L1808">
        <v>1158.8800000000001</v>
      </c>
      <c r="M1808" t="s">
        <v>27</v>
      </c>
      <c r="N1808">
        <v>1</v>
      </c>
      <c r="O1808">
        <v>1254</v>
      </c>
      <c r="P1808">
        <v>1081</v>
      </c>
      <c r="Q1808">
        <v>0</v>
      </c>
      <c r="R1808">
        <v>1081</v>
      </c>
    </row>
    <row r="1809" spans="1:18" x14ac:dyDescent="0.3">
      <c r="A1809" s="5">
        <v>45968</v>
      </c>
      <c r="B1809" t="s">
        <v>1313</v>
      </c>
      <c r="C1809">
        <v>5</v>
      </c>
      <c r="D1809">
        <v>36</v>
      </c>
      <c r="E1809" s="1">
        <v>1.9993055555555554</v>
      </c>
      <c r="F1809" t="s">
        <v>1311</v>
      </c>
      <c r="G1809">
        <v>5</v>
      </c>
      <c r="H1809">
        <v>1081.2478000000001</v>
      </c>
      <c r="I1809">
        <v>0</v>
      </c>
      <c r="J1809">
        <v>1163.79</v>
      </c>
      <c r="K1809">
        <v>0</v>
      </c>
      <c r="L1809">
        <v>1158.8800000000001</v>
      </c>
      <c r="M1809" t="s">
        <v>27</v>
      </c>
      <c r="N1809">
        <v>1</v>
      </c>
      <c r="O1809">
        <v>1254</v>
      </c>
      <c r="P1809">
        <v>1081</v>
      </c>
      <c r="Q1809">
        <v>0</v>
      </c>
      <c r="R1809">
        <v>1081</v>
      </c>
    </row>
    <row r="1810" spans="1:18" x14ac:dyDescent="0.3">
      <c r="A1810" s="5">
        <v>45968</v>
      </c>
      <c r="B1810" t="s">
        <v>1313</v>
      </c>
      <c r="C1810">
        <v>5</v>
      </c>
      <c r="D1810">
        <v>36</v>
      </c>
      <c r="E1810" s="1">
        <v>1.9993055555555554</v>
      </c>
      <c r="F1810" t="s">
        <v>1311</v>
      </c>
      <c r="G1810">
        <v>5</v>
      </c>
      <c r="H1810">
        <v>1081.2478000000001</v>
      </c>
      <c r="I1810">
        <v>0</v>
      </c>
      <c r="J1810">
        <v>1163.79</v>
      </c>
      <c r="K1810">
        <v>0</v>
      </c>
      <c r="L1810">
        <v>1158.8800000000001</v>
      </c>
      <c r="M1810" t="s">
        <v>27</v>
      </c>
      <c r="N1810">
        <v>1</v>
      </c>
      <c r="O1810">
        <v>1254</v>
      </c>
      <c r="P1810">
        <v>1081</v>
      </c>
      <c r="Q1810">
        <v>0</v>
      </c>
      <c r="R1810">
        <v>1081</v>
      </c>
    </row>
    <row r="1811" spans="1:18" x14ac:dyDescent="0.3">
      <c r="A1811" s="5">
        <v>45968</v>
      </c>
      <c r="B1811" t="s">
        <v>2631</v>
      </c>
      <c r="C1811">
        <v>28</v>
      </c>
      <c r="D1811">
        <v>36</v>
      </c>
      <c r="E1811" s="1">
        <v>1.9993055555555554</v>
      </c>
      <c r="F1811" t="s">
        <v>2632</v>
      </c>
      <c r="G1811">
        <v>1</v>
      </c>
      <c r="H1811">
        <v>1080.7155</v>
      </c>
      <c r="I1811">
        <v>8.5</v>
      </c>
      <c r="J1811">
        <v>1163.79</v>
      </c>
      <c r="K1811">
        <v>6.6574267799006801</v>
      </c>
      <c r="L1811">
        <v>1219.83</v>
      </c>
      <c r="M1811" t="s">
        <v>27</v>
      </c>
      <c r="N1811">
        <v>1</v>
      </c>
      <c r="O1811">
        <v>1345</v>
      </c>
      <c r="P1811">
        <v>1173</v>
      </c>
      <c r="Q1811">
        <v>0</v>
      </c>
      <c r="R1811">
        <v>1173</v>
      </c>
    </row>
    <row r="1812" spans="1:18" x14ac:dyDescent="0.3">
      <c r="A1812" s="5">
        <v>45968</v>
      </c>
      <c r="B1812" t="s">
        <v>2633</v>
      </c>
      <c r="C1812">
        <v>33</v>
      </c>
      <c r="D1812">
        <v>36</v>
      </c>
      <c r="E1812" s="1">
        <v>1.9993055555555554</v>
      </c>
      <c r="F1812" t="s">
        <v>2634</v>
      </c>
      <c r="G1812">
        <v>1</v>
      </c>
      <c r="H1812">
        <v>1080.6256000000001</v>
      </c>
      <c r="I1812">
        <v>8.5</v>
      </c>
      <c r="J1812">
        <v>1163.79</v>
      </c>
      <c r="K1812">
        <v>6.6574267799006801</v>
      </c>
      <c r="L1812">
        <v>1219.83</v>
      </c>
      <c r="M1812" t="s">
        <v>27</v>
      </c>
      <c r="N1812">
        <v>1</v>
      </c>
      <c r="O1812">
        <v>1345</v>
      </c>
      <c r="P1812">
        <v>1172</v>
      </c>
      <c r="Q1812">
        <v>0</v>
      </c>
      <c r="R1812">
        <v>1172</v>
      </c>
    </row>
    <row r="1813" spans="1:18" x14ac:dyDescent="0.3">
      <c r="A1813" s="5">
        <v>45968</v>
      </c>
      <c r="B1813" t="s">
        <v>2635</v>
      </c>
      <c r="C1813">
        <v>34</v>
      </c>
      <c r="D1813">
        <v>36</v>
      </c>
      <c r="E1813" s="1">
        <v>1.9993055555555554</v>
      </c>
      <c r="F1813" t="s">
        <v>2636</v>
      </c>
      <c r="G1813">
        <v>1</v>
      </c>
      <c r="H1813">
        <v>1080.6078</v>
      </c>
      <c r="I1813">
        <v>8.5</v>
      </c>
      <c r="J1813">
        <v>1163.79</v>
      </c>
      <c r="K1813">
        <v>6.6574267799006801</v>
      </c>
      <c r="L1813">
        <v>1219.83</v>
      </c>
      <c r="M1813" t="s">
        <v>27</v>
      </c>
      <c r="N1813">
        <v>1</v>
      </c>
      <c r="O1813">
        <v>1345</v>
      </c>
      <c r="P1813">
        <v>1172</v>
      </c>
      <c r="Q1813">
        <v>0</v>
      </c>
      <c r="R1813">
        <v>1172</v>
      </c>
    </row>
    <row r="1814" spans="1:18" x14ac:dyDescent="0.3">
      <c r="A1814" s="5">
        <v>45968</v>
      </c>
      <c r="B1814" t="s">
        <v>2637</v>
      </c>
      <c r="C1814">
        <v>35</v>
      </c>
      <c r="D1814">
        <v>36</v>
      </c>
      <c r="E1814" s="1">
        <v>1.4583333333333333</v>
      </c>
      <c r="F1814" t="s">
        <v>2638</v>
      </c>
      <c r="G1814">
        <v>2</v>
      </c>
      <c r="H1814">
        <v>1080.8893</v>
      </c>
      <c r="I1814">
        <v>5</v>
      </c>
      <c r="J1814">
        <v>1163.79</v>
      </c>
      <c r="K1814">
        <v>3.9161333999415802</v>
      </c>
      <c r="L1814">
        <v>609.91</v>
      </c>
      <c r="M1814" t="s">
        <v>60</v>
      </c>
      <c r="N1814">
        <v>1</v>
      </c>
      <c r="O1814">
        <v>1308</v>
      </c>
      <c r="P1814">
        <v>1135</v>
      </c>
      <c r="Q1814">
        <v>0.5</v>
      </c>
      <c r="R1814">
        <v>567.5</v>
      </c>
    </row>
    <row r="1815" spans="1:18" x14ac:dyDescent="0.3">
      <c r="A1815" s="5">
        <v>45968</v>
      </c>
      <c r="B1815" t="s">
        <v>2639</v>
      </c>
      <c r="C1815">
        <v>19</v>
      </c>
      <c r="D1815">
        <v>36</v>
      </c>
      <c r="E1815" s="1">
        <v>1.9993055555555554</v>
      </c>
      <c r="F1815" t="s">
        <v>2640</v>
      </c>
      <c r="G1815">
        <v>3</v>
      </c>
      <c r="H1815">
        <v>1080.9957999999999</v>
      </c>
      <c r="I1815">
        <v>10</v>
      </c>
      <c r="J1815">
        <v>1163.79</v>
      </c>
      <c r="K1815">
        <v>7.8322667998831603</v>
      </c>
      <c r="L1815">
        <v>609.91</v>
      </c>
      <c r="M1815" t="s">
        <v>20</v>
      </c>
      <c r="N1815">
        <v>1</v>
      </c>
      <c r="O1815">
        <v>1362</v>
      </c>
      <c r="P1815">
        <v>1189</v>
      </c>
      <c r="Q1815">
        <v>0.5</v>
      </c>
      <c r="R1815">
        <v>594.5</v>
      </c>
    </row>
    <row r="1816" spans="1:18" x14ac:dyDescent="0.3">
      <c r="A1816" s="5">
        <v>45969</v>
      </c>
      <c r="B1816" t="s">
        <v>2641</v>
      </c>
      <c r="C1816">
        <v>14</v>
      </c>
      <c r="D1816">
        <v>36</v>
      </c>
      <c r="E1816" s="1">
        <v>1.0833333333333333</v>
      </c>
      <c r="F1816" t="s">
        <v>2642</v>
      </c>
      <c r="G1816">
        <v>3</v>
      </c>
      <c r="H1816">
        <v>1081.2439999999999</v>
      </c>
      <c r="I1816">
        <v>10</v>
      </c>
      <c r="J1816">
        <v>1163.79</v>
      </c>
      <c r="K1816">
        <v>7.8322667998831603</v>
      </c>
      <c r="L1816">
        <v>609.91</v>
      </c>
      <c r="M1816" t="s">
        <v>20</v>
      </c>
      <c r="N1816">
        <v>1</v>
      </c>
      <c r="O1816">
        <v>1362</v>
      </c>
      <c r="P1816">
        <v>1189</v>
      </c>
      <c r="Q1816">
        <v>0.5</v>
      </c>
      <c r="R1816">
        <v>594.5</v>
      </c>
    </row>
    <row r="1817" spans="1:18" x14ac:dyDescent="0.3">
      <c r="A1817" s="5">
        <v>45969</v>
      </c>
      <c r="B1817" t="s">
        <v>2643</v>
      </c>
      <c r="C1817">
        <v>15</v>
      </c>
      <c r="D1817">
        <v>36</v>
      </c>
      <c r="E1817" s="1">
        <v>1.0833333333333333</v>
      </c>
      <c r="F1817" t="s">
        <v>2644</v>
      </c>
      <c r="G1817">
        <v>4</v>
      </c>
      <c r="H1817">
        <v>1081.2257999999999</v>
      </c>
      <c r="I1817">
        <v>7</v>
      </c>
      <c r="J1817">
        <v>1163.79</v>
      </c>
      <c r="K1817">
        <v>5.4825867599182097</v>
      </c>
      <c r="L1817">
        <v>1219.83</v>
      </c>
      <c r="M1817" t="s">
        <v>27</v>
      </c>
      <c r="N1817">
        <v>1</v>
      </c>
      <c r="O1817">
        <v>1330</v>
      </c>
      <c r="P1817">
        <v>1157</v>
      </c>
      <c r="Q1817">
        <v>0</v>
      </c>
      <c r="R1817">
        <v>1157</v>
      </c>
    </row>
    <row r="1818" spans="1:18" x14ac:dyDescent="0.3">
      <c r="A1818" s="5">
        <v>45969</v>
      </c>
      <c r="B1818" t="s">
        <v>2645</v>
      </c>
      <c r="C1818">
        <v>12</v>
      </c>
      <c r="D1818">
        <v>36</v>
      </c>
      <c r="E1818" s="1">
        <v>1.0833333333333333</v>
      </c>
      <c r="F1818" t="s">
        <v>2646</v>
      </c>
      <c r="G1818">
        <v>4</v>
      </c>
      <c r="H1818">
        <v>1081.2799</v>
      </c>
      <c r="I1818">
        <v>7</v>
      </c>
      <c r="J1818">
        <v>1163.79</v>
      </c>
      <c r="K1818">
        <v>5.4825867599182097</v>
      </c>
      <c r="L1818">
        <v>1219.83</v>
      </c>
      <c r="M1818" t="s">
        <v>27</v>
      </c>
      <c r="N1818">
        <v>1</v>
      </c>
      <c r="O1818">
        <v>1330</v>
      </c>
      <c r="P1818">
        <v>1157</v>
      </c>
      <c r="Q1818">
        <v>0</v>
      </c>
      <c r="R1818">
        <v>1157</v>
      </c>
    </row>
    <row r="1819" spans="1:18" x14ac:dyDescent="0.3">
      <c r="A1819" s="5">
        <v>45969</v>
      </c>
      <c r="B1819" t="s">
        <v>2647</v>
      </c>
      <c r="C1819">
        <v>25</v>
      </c>
      <c r="D1819">
        <v>36</v>
      </c>
      <c r="E1819" s="1">
        <v>1.0833333333333333</v>
      </c>
      <c r="F1819" t="s">
        <v>2648</v>
      </c>
      <c r="G1819">
        <v>4</v>
      </c>
      <c r="H1819">
        <v>1080.9148</v>
      </c>
      <c r="I1819">
        <v>7</v>
      </c>
      <c r="J1819">
        <v>1163.79</v>
      </c>
      <c r="K1819">
        <v>5.4825867599182097</v>
      </c>
      <c r="L1819">
        <v>1219.83</v>
      </c>
      <c r="M1819" t="s">
        <v>27</v>
      </c>
      <c r="N1819">
        <v>1</v>
      </c>
      <c r="O1819">
        <v>1330</v>
      </c>
      <c r="P1819">
        <v>1157</v>
      </c>
      <c r="Q1819">
        <v>0</v>
      </c>
      <c r="R1819">
        <v>1157</v>
      </c>
    </row>
    <row r="1820" spans="1:18" x14ac:dyDescent="0.3">
      <c r="A1820" s="5">
        <v>45969</v>
      </c>
      <c r="B1820" t="s">
        <v>2649</v>
      </c>
      <c r="C1820">
        <v>2</v>
      </c>
      <c r="D1820">
        <v>36</v>
      </c>
      <c r="E1820" s="1">
        <v>1.0833333333333333</v>
      </c>
      <c r="F1820" t="s">
        <v>2650</v>
      </c>
      <c r="G1820">
        <v>1</v>
      </c>
      <c r="H1820">
        <v>1081.4598000000001</v>
      </c>
      <c r="I1820">
        <v>8.5</v>
      </c>
      <c r="J1820">
        <v>1163.79</v>
      </c>
      <c r="K1820">
        <v>6.6574267799006801</v>
      </c>
      <c r="L1820">
        <v>1219.83</v>
      </c>
      <c r="M1820" t="s">
        <v>27</v>
      </c>
      <c r="N1820">
        <v>1</v>
      </c>
      <c r="O1820">
        <v>1346</v>
      </c>
      <c r="P1820">
        <v>1173</v>
      </c>
      <c r="Q1820">
        <v>0</v>
      </c>
      <c r="R1820">
        <v>1173</v>
      </c>
    </row>
    <row r="1821" spans="1:18" x14ac:dyDescent="0.3">
      <c r="A1821" s="5">
        <v>45969</v>
      </c>
      <c r="B1821" t="s">
        <v>2651</v>
      </c>
      <c r="C1821">
        <v>11</v>
      </c>
      <c r="D1821">
        <v>36</v>
      </c>
      <c r="E1821" s="1">
        <v>1.0833333333333333</v>
      </c>
      <c r="F1821" t="s">
        <v>2652</v>
      </c>
      <c r="G1821">
        <v>4</v>
      </c>
      <c r="H1821">
        <v>1081.2977000000001</v>
      </c>
      <c r="I1821">
        <v>7</v>
      </c>
      <c r="J1821">
        <v>1163.79</v>
      </c>
      <c r="K1821">
        <v>5.4825867599182097</v>
      </c>
      <c r="L1821">
        <v>1219.83</v>
      </c>
      <c r="M1821" t="s">
        <v>27</v>
      </c>
      <c r="N1821">
        <v>1</v>
      </c>
      <c r="O1821">
        <v>1330</v>
      </c>
      <c r="P1821">
        <v>1157</v>
      </c>
      <c r="Q1821">
        <v>0</v>
      </c>
      <c r="R1821">
        <v>1157</v>
      </c>
    </row>
    <row r="1822" spans="1:18" x14ac:dyDescent="0.3">
      <c r="A1822" s="5">
        <v>45969</v>
      </c>
      <c r="B1822" t="s">
        <v>2653</v>
      </c>
      <c r="C1822">
        <v>20</v>
      </c>
      <c r="D1822">
        <v>36</v>
      </c>
      <c r="E1822" s="1">
        <v>1.0833333333333333</v>
      </c>
      <c r="F1822" t="s">
        <v>2654</v>
      </c>
      <c r="G1822">
        <v>4</v>
      </c>
      <c r="H1822">
        <v>1080.4392</v>
      </c>
      <c r="I1822">
        <v>7</v>
      </c>
      <c r="J1822">
        <v>1163.79</v>
      </c>
      <c r="K1822">
        <v>5.4825867599182097</v>
      </c>
      <c r="L1822">
        <v>1219.83</v>
      </c>
      <c r="M1822" t="s">
        <v>27</v>
      </c>
      <c r="N1822">
        <v>1</v>
      </c>
      <c r="O1822">
        <v>1329</v>
      </c>
      <c r="P1822">
        <v>1156</v>
      </c>
      <c r="Q1822">
        <v>0</v>
      </c>
      <c r="R1822">
        <v>1156</v>
      </c>
    </row>
    <row r="1823" spans="1:18" x14ac:dyDescent="0.3">
      <c r="A1823" s="5">
        <v>45969</v>
      </c>
      <c r="B1823" t="s">
        <v>2655</v>
      </c>
      <c r="C1823">
        <v>7</v>
      </c>
      <c r="D1823">
        <v>36</v>
      </c>
      <c r="E1823" s="1">
        <v>1.25</v>
      </c>
      <c r="F1823" t="s">
        <v>2656</v>
      </c>
      <c r="G1823">
        <v>3</v>
      </c>
      <c r="H1823">
        <v>1081.3668</v>
      </c>
      <c r="I1823">
        <v>10</v>
      </c>
      <c r="J1823">
        <v>1163.79</v>
      </c>
      <c r="K1823">
        <v>7.8322667998831603</v>
      </c>
      <c r="L1823">
        <v>609.91</v>
      </c>
      <c r="M1823" t="s">
        <v>20</v>
      </c>
      <c r="N1823">
        <v>1</v>
      </c>
      <c r="O1823">
        <v>1363</v>
      </c>
      <c r="P1823">
        <v>1190</v>
      </c>
      <c r="Q1823">
        <v>0.5</v>
      </c>
      <c r="R1823">
        <v>595</v>
      </c>
    </row>
    <row r="1824" spans="1:18" x14ac:dyDescent="0.3">
      <c r="A1824" s="5">
        <v>45969</v>
      </c>
      <c r="B1824" t="s">
        <v>2657</v>
      </c>
      <c r="C1824">
        <v>10</v>
      </c>
      <c r="D1824">
        <v>36</v>
      </c>
      <c r="E1824" s="1">
        <v>1.0833333333333333</v>
      </c>
      <c r="F1824" t="s">
        <v>2658</v>
      </c>
      <c r="G1824">
        <v>0</v>
      </c>
      <c r="H1824">
        <v>1081.3281999999999</v>
      </c>
      <c r="I1824">
        <v>2.5</v>
      </c>
      <c r="J1824">
        <v>1163.79</v>
      </c>
      <c r="K1824">
        <v>1.9580666999707901</v>
      </c>
      <c r="L1824">
        <v>1158.8800000000001</v>
      </c>
      <c r="M1824" t="s">
        <v>27</v>
      </c>
      <c r="N1824">
        <v>1</v>
      </c>
      <c r="O1824">
        <v>1281</v>
      </c>
      <c r="P1824">
        <v>1108</v>
      </c>
      <c r="Q1824">
        <v>0</v>
      </c>
      <c r="R1824">
        <v>1108</v>
      </c>
    </row>
    <row r="1825" spans="1:18" x14ac:dyDescent="0.3">
      <c r="A1825" s="5">
        <v>45969</v>
      </c>
      <c r="B1825" t="s">
        <v>2659</v>
      </c>
      <c r="C1825">
        <v>4</v>
      </c>
      <c r="D1825">
        <v>36</v>
      </c>
      <c r="E1825" s="1">
        <v>1.4583333333333333</v>
      </c>
      <c r="F1825" t="s">
        <v>2660</v>
      </c>
      <c r="G1825">
        <v>0</v>
      </c>
      <c r="H1825">
        <v>1081.3557000000001</v>
      </c>
      <c r="I1825">
        <v>2.5</v>
      </c>
      <c r="J1825">
        <v>1163.79</v>
      </c>
      <c r="K1825">
        <v>1.9580666999707901</v>
      </c>
      <c r="L1825">
        <v>1158.8800000000001</v>
      </c>
      <c r="M1825" t="s">
        <v>27</v>
      </c>
      <c r="N1825">
        <v>1</v>
      </c>
      <c r="O1825">
        <v>1281</v>
      </c>
      <c r="P1825">
        <v>1108</v>
      </c>
      <c r="Q1825">
        <v>0</v>
      </c>
      <c r="R1825">
        <v>1108</v>
      </c>
    </row>
    <row r="1826" spans="1:18" x14ac:dyDescent="0.3">
      <c r="A1826" s="5">
        <v>45969</v>
      </c>
      <c r="B1826" t="s">
        <v>2661</v>
      </c>
      <c r="C1826">
        <v>18</v>
      </c>
      <c r="D1826">
        <v>36</v>
      </c>
      <c r="E1826" s="1">
        <v>1.9993055555555554</v>
      </c>
      <c r="F1826" t="s">
        <v>2662</v>
      </c>
      <c r="G1826">
        <v>5</v>
      </c>
      <c r="H1826">
        <v>1080.9531999999999</v>
      </c>
      <c r="I1826">
        <v>0</v>
      </c>
      <c r="J1826">
        <v>1163.79</v>
      </c>
      <c r="K1826">
        <v>0</v>
      </c>
      <c r="L1826">
        <v>1158.8800000000001</v>
      </c>
      <c r="M1826" t="s">
        <v>27</v>
      </c>
      <c r="N1826">
        <v>1</v>
      </c>
      <c r="O1826">
        <v>1254</v>
      </c>
      <c r="P1826">
        <v>1081</v>
      </c>
      <c r="Q1826">
        <v>0</v>
      </c>
      <c r="R1826">
        <v>1081</v>
      </c>
    </row>
    <row r="1827" spans="1:18" x14ac:dyDescent="0.3">
      <c r="A1827" s="5">
        <v>45969</v>
      </c>
      <c r="B1827" t="s">
        <v>2663</v>
      </c>
      <c r="C1827">
        <v>19</v>
      </c>
      <c r="D1827">
        <v>36</v>
      </c>
      <c r="E1827" s="1">
        <v>1.25</v>
      </c>
      <c r="F1827" t="s">
        <v>2664</v>
      </c>
      <c r="G1827">
        <v>3</v>
      </c>
      <c r="H1827">
        <v>1079.1196</v>
      </c>
      <c r="I1827">
        <v>10</v>
      </c>
      <c r="J1827">
        <v>1163.79</v>
      </c>
      <c r="K1827">
        <v>7.8322667998831603</v>
      </c>
      <c r="L1827">
        <v>609.91</v>
      </c>
      <c r="M1827" t="s">
        <v>77</v>
      </c>
      <c r="N1827">
        <v>1</v>
      </c>
      <c r="O1827">
        <v>1360</v>
      </c>
      <c r="P1827">
        <v>1187</v>
      </c>
      <c r="Q1827">
        <v>0.5</v>
      </c>
      <c r="R1827">
        <v>593.5</v>
      </c>
    </row>
    <row r="1828" spans="1:18" x14ac:dyDescent="0.3">
      <c r="A1828" s="5">
        <v>45969</v>
      </c>
      <c r="B1828" t="s">
        <v>2663</v>
      </c>
      <c r="C1828">
        <v>19</v>
      </c>
      <c r="D1828">
        <v>36</v>
      </c>
      <c r="E1828" s="1">
        <v>1.25</v>
      </c>
      <c r="F1828" t="s">
        <v>2664</v>
      </c>
      <c r="G1828">
        <v>3</v>
      </c>
      <c r="H1828">
        <v>1079.1196</v>
      </c>
      <c r="I1828">
        <v>10</v>
      </c>
      <c r="J1828">
        <v>1163.79</v>
      </c>
      <c r="K1828">
        <v>7.8322667998831603</v>
      </c>
      <c r="L1828">
        <v>609.91</v>
      </c>
      <c r="M1828" t="s">
        <v>77</v>
      </c>
      <c r="N1828">
        <v>1</v>
      </c>
      <c r="O1828">
        <v>1360</v>
      </c>
      <c r="P1828">
        <v>1187</v>
      </c>
      <c r="Q1828">
        <v>0.5</v>
      </c>
      <c r="R1828">
        <v>593.5</v>
      </c>
    </row>
    <row r="1829" spans="1:18" x14ac:dyDescent="0.3">
      <c r="A1829" s="5">
        <v>45969</v>
      </c>
      <c r="B1829" t="s">
        <v>2665</v>
      </c>
      <c r="C1829">
        <v>20</v>
      </c>
      <c r="D1829">
        <v>36</v>
      </c>
      <c r="E1829" s="1">
        <v>1.25</v>
      </c>
      <c r="F1829" t="s">
        <v>2664</v>
      </c>
      <c r="G1829">
        <v>3</v>
      </c>
      <c r="H1829">
        <v>1079.1017999999999</v>
      </c>
      <c r="I1829">
        <v>10</v>
      </c>
      <c r="J1829">
        <v>1163.79</v>
      </c>
      <c r="K1829">
        <v>7.8322667998831603</v>
      </c>
      <c r="L1829">
        <v>609.91</v>
      </c>
      <c r="M1829" t="s">
        <v>77</v>
      </c>
      <c r="N1829">
        <v>1</v>
      </c>
      <c r="O1829">
        <v>1360</v>
      </c>
      <c r="P1829">
        <v>1187</v>
      </c>
      <c r="Q1829">
        <v>0.5</v>
      </c>
      <c r="R1829">
        <v>593.5</v>
      </c>
    </row>
    <row r="1830" spans="1:18" x14ac:dyDescent="0.3">
      <c r="A1830" s="5">
        <v>45969</v>
      </c>
      <c r="B1830" t="s">
        <v>2665</v>
      </c>
      <c r="C1830">
        <v>20</v>
      </c>
      <c r="D1830">
        <v>36</v>
      </c>
      <c r="E1830" s="1">
        <v>1.25</v>
      </c>
      <c r="F1830" t="s">
        <v>2664</v>
      </c>
      <c r="G1830">
        <v>3</v>
      </c>
      <c r="H1830">
        <v>1079.1017999999999</v>
      </c>
      <c r="I1830">
        <v>10</v>
      </c>
      <c r="J1830">
        <v>1163.79</v>
      </c>
      <c r="K1830">
        <v>7.8322667998831603</v>
      </c>
      <c r="L1830">
        <v>609.91</v>
      </c>
      <c r="M1830" t="s">
        <v>77</v>
      </c>
      <c r="N1830">
        <v>1</v>
      </c>
      <c r="O1830">
        <v>1360</v>
      </c>
      <c r="P1830">
        <v>1187</v>
      </c>
      <c r="Q1830">
        <v>0.5</v>
      </c>
      <c r="R1830">
        <v>593.5</v>
      </c>
    </row>
    <row r="1831" spans="1:18" x14ac:dyDescent="0.3">
      <c r="A1831" s="5">
        <v>45969</v>
      </c>
      <c r="B1831" t="s">
        <v>2666</v>
      </c>
      <c r="C1831">
        <v>1</v>
      </c>
      <c r="D1831">
        <v>36</v>
      </c>
      <c r="E1831" s="1">
        <v>1.9993055555555554</v>
      </c>
      <c r="F1831" t="s">
        <v>2667</v>
      </c>
      <c r="G1831">
        <v>2</v>
      </c>
      <c r="H1831">
        <v>1081.4606000000001</v>
      </c>
      <c r="I1831">
        <v>5</v>
      </c>
      <c r="J1831">
        <v>1163.79</v>
      </c>
      <c r="K1831">
        <v>3.9161333999415802</v>
      </c>
      <c r="L1831">
        <v>609.91</v>
      </c>
      <c r="M1831" t="s">
        <v>60</v>
      </c>
      <c r="N1831">
        <v>1</v>
      </c>
      <c r="O1831">
        <v>1309</v>
      </c>
      <c r="P1831">
        <v>1136</v>
      </c>
      <c r="Q1831">
        <v>0.5</v>
      </c>
      <c r="R1831">
        <v>568</v>
      </c>
    </row>
    <row r="1832" spans="1:18" x14ac:dyDescent="0.3">
      <c r="A1832" s="5">
        <v>45969</v>
      </c>
      <c r="B1832" t="s">
        <v>2668</v>
      </c>
      <c r="C1832">
        <v>13</v>
      </c>
      <c r="D1832">
        <v>36</v>
      </c>
      <c r="E1832" s="1">
        <v>1.25</v>
      </c>
      <c r="F1832" t="s">
        <v>2669</v>
      </c>
      <c r="G1832">
        <v>1</v>
      </c>
      <c r="H1832">
        <v>1081.2560000000001</v>
      </c>
      <c r="I1832">
        <v>8.5</v>
      </c>
      <c r="J1832">
        <v>1163.79</v>
      </c>
      <c r="K1832">
        <v>6.6574267799006801</v>
      </c>
      <c r="L1832">
        <v>1219.83</v>
      </c>
      <c r="M1832" t="s">
        <v>27</v>
      </c>
      <c r="N1832">
        <v>1</v>
      </c>
      <c r="O1832">
        <v>1346</v>
      </c>
      <c r="P1832">
        <v>1173</v>
      </c>
      <c r="Q1832">
        <v>0</v>
      </c>
      <c r="R1832">
        <v>1173</v>
      </c>
    </row>
    <row r="1833" spans="1:18" x14ac:dyDescent="0.3">
      <c r="A1833" s="5">
        <v>45969</v>
      </c>
      <c r="B1833" t="s">
        <v>2670</v>
      </c>
      <c r="C1833">
        <v>30</v>
      </c>
      <c r="D1833">
        <v>36</v>
      </c>
      <c r="E1833" s="1">
        <v>1.4583333333333333</v>
      </c>
      <c r="F1833" t="s">
        <v>2671</v>
      </c>
      <c r="G1833">
        <v>1</v>
      </c>
      <c r="H1833">
        <v>1080.8289</v>
      </c>
      <c r="I1833">
        <v>8.5</v>
      </c>
      <c r="J1833">
        <v>1163.79</v>
      </c>
      <c r="K1833">
        <v>6.6574267799006801</v>
      </c>
      <c r="L1833">
        <v>1219.83</v>
      </c>
      <c r="M1833" t="s">
        <v>27</v>
      </c>
      <c r="N1833">
        <v>1</v>
      </c>
      <c r="O1833">
        <v>1346</v>
      </c>
      <c r="P1833">
        <v>1173</v>
      </c>
      <c r="Q1833">
        <v>0</v>
      </c>
      <c r="R1833">
        <v>1173</v>
      </c>
    </row>
    <row r="1834" spans="1:18" x14ac:dyDescent="0.3">
      <c r="A1834" s="5">
        <v>45969</v>
      </c>
      <c r="B1834" t="s">
        <v>2672</v>
      </c>
      <c r="C1834">
        <v>31</v>
      </c>
      <c r="D1834">
        <v>36</v>
      </c>
      <c r="E1834" s="1">
        <v>1.4583333333333333</v>
      </c>
      <c r="F1834" t="s">
        <v>2673</v>
      </c>
      <c r="G1834">
        <v>1</v>
      </c>
      <c r="H1834">
        <v>1080.8108</v>
      </c>
      <c r="I1834">
        <v>8.5</v>
      </c>
      <c r="J1834">
        <v>1163.79</v>
      </c>
      <c r="K1834">
        <v>6.6574267799006801</v>
      </c>
      <c r="L1834">
        <v>1219.83</v>
      </c>
      <c r="M1834" t="s">
        <v>27</v>
      </c>
      <c r="N1834">
        <v>1</v>
      </c>
      <c r="O1834">
        <v>1346</v>
      </c>
      <c r="P1834">
        <v>1173</v>
      </c>
      <c r="Q1834">
        <v>0</v>
      </c>
      <c r="R1834">
        <v>1173</v>
      </c>
    </row>
    <row r="1835" spans="1:18" x14ac:dyDescent="0.3">
      <c r="A1835" s="5">
        <v>45969</v>
      </c>
      <c r="B1835" t="s">
        <v>2674</v>
      </c>
      <c r="C1835">
        <v>32</v>
      </c>
      <c r="D1835">
        <v>36</v>
      </c>
      <c r="E1835" s="1">
        <v>1.4583333333333333</v>
      </c>
      <c r="F1835" t="s">
        <v>2675</v>
      </c>
      <c r="G1835">
        <v>1</v>
      </c>
      <c r="H1835">
        <v>1080.7926</v>
      </c>
      <c r="I1835">
        <v>8.5</v>
      </c>
      <c r="J1835">
        <v>1163.79</v>
      </c>
      <c r="K1835">
        <v>6.6574267799006801</v>
      </c>
      <c r="L1835">
        <v>1219.83</v>
      </c>
      <c r="M1835" t="s">
        <v>27</v>
      </c>
      <c r="N1835">
        <v>1</v>
      </c>
      <c r="O1835">
        <v>1346</v>
      </c>
      <c r="P1835">
        <v>1173</v>
      </c>
      <c r="Q1835">
        <v>0</v>
      </c>
      <c r="R1835">
        <v>1173</v>
      </c>
    </row>
    <row r="1836" spans="1:18" x14ac:dyDescent="0.3">
      <c r="A1836" s="5">
        <v>45969</v>
      </c>
      <c r="B1836" t="s">
        <v>2676</v>
      </c>
      <c r="C1836">
        <v>33</v>
      </c>
      <c r="D1836">
        <v>36</v>
      </c>
      <c r="E1836" s="1">
        <v>1.4583333333333333</v>
      </c>
      <c r="F1836" t="s">
        <v>2677</v>
      </c>
      <c r="G1836">
        <v>1</v>
      </c>
      <c r="H1836">
        <v>1080.7748999999999</v>
      </c>
      <c r="I1836">
        <v>8.5</v>
      </c>
      <c r="J1836">
        <v>1163.79</v>
      </c>
      <c r="K1836">
        <v>6.6574267799006801</v>
      </c>
      <c r="L1836">
        <v>1219.83</v>
      </c>
      <c r="M1836" t="s">
        <v>27</v>
      </c>
      <c r="N1836">
        <v>1</v>
      </c>
      <c r="O1836">
        <v>1346</v>
      </c>
      <c r="P1836">
        <v>1173</v>
      </c>
      <c r="Q1836">
        <v>0</v>
      </c>
      <c r="R1836">
        <v>1173</v>
      </c>
    </row>
    <row r="1837" spans="1:18" x14ac:dyDescent="0.3">
      <c r="A1837" s="5">
        <v>45969</v>
      </c>
      <c r="B1837" t="s">
        <v>2678</v>
      </c>
      <c r="C1837">
        <v>34</v>
      </c>
      <c r="D1837">
        <v>36</v>
      </c>
      <c r="E1837" s="1">
        <v>1.4583333333333333</v>
      </c>
      <c r="F1837" t="s">
        <v>2679</v>
      </c>
      <c r="G1837">
        <v>1</v>
      </c>
      <c r="H1837">
        <v>1080.7568000000001</v>
      </c>
      <c r="I1837">
        <v>8.5</v>
      </c>
      <c r="J1837">
        <v>1163.79</v>
      </c>
      <c r="K1837">
        <v>6.6574267799006801</v>
      </c>
      <c r="L1837">
        <v>1219.83</v>
      </c>
      <c r="M1837" t="s">
        <v>27</v>
      </c>
      <c r="N1837">
        <v>1</v>
      </c>
      <c r="O1837">
        <v>1346</v>
      </c>
      <c r="P1837">
        <v>1173</v>
      </c>
      <c r="Q1837">
        <v>0</v>
      </c>
      <c r="R1837">
        <v>1173</v>
      </c>
    </row>
    <row r="1838" spans="1:18" x14ac:dyDescent="0.3">
      <c r="A1838" s="5">
        <v>45969</v>
      </c>
      <c r="B1838" t="s">
        <v>2680</v>
      </c>
      <c r="C1838">
        <v>35</v>
      </c>
      <c r="D1838">
        <v>36</v>
      </c>
      <c r="E1838" s="1">
        <v>1.4583333333333333</v>
      </c>
      <c r="F1838" t="s">
        <v>2681</v>
      </c>
      <c r="G1838">
        <v>1</v>
      </c>
      <c r="H1838">
        <v>1080.7388000000001</v>
      </c>
      <c r="I1838">
        <v>8.5</v>
      </c>
      <c r="J1838">
        <v>1163.79</v>
      </c>
      <c r="K1838">
        <v>6.6574267799006801</v>
      </c>
      <c r="L1838">
        <v>1219.83</v>
      </c>
      <c r="M1838" t="s">
        <v>27</v>
      </c>
      <c r="N1838">
        <v>1</v>
      </c>
      <c r="O1838">
        <v>1346</v>
      </c>
      <c r="P1838">
        <v>1173</v>
      </c>
      <c r="Q1838">
        <v>0</v>
      </c>
      <c r="R1838">
        <v>1173</v>
      </c>
    </row>
    <row r="1839" spans="1:18" x14ac:dyDescent="0.3">
      <c r="A1839" s="5">
        <v>45969</v>
      </c>
      <c r="B1839" t="s">
        <v>2682</v>
      </c>
      <c r="C1839">
        <v>18</v>
      </c>
      <c r="D1839">
        <v>36</v>
      </c>
      <c r="E1839" s="1">
        <v>1.4583333333333333</v>
      </c>
      <c r="F1839" t="s">
        <v>2683</v>
      </c>
      <c r="G1839">
        <v>4</v>
      </c>
      <c r="H1839">
        <v>1081.2185999999999</v>
      </c>
      <c r="I1839">
        <v>7</v>
      </c>
      <c r="J1839">
        <v>1163.79</v>
      </c>
      <c r="K1839">
        <v>5.4825867599182097</v>
      </c>
      <c r="L1839">
        <v>1202.5899999999999</v>
      </c>
      <c r="M1839" t="s">
        <v>27</v>
      </c>
      <c r="N1839">
        <v>1</v>
      </c>
      <c r="O1839">
        <v>1330</v>
      </c>
      <c r="P1839">
        <v>1157</v>
      </c>
      <c r="Q1839">
        <v>0</v>
      </c>
      <c r="R1839">
        <v>1157</v>
      </c>
    </row>
    <row r="1840" spans="1:18" x14ac:dyDescent="0.3">
      <c r="A1840" s="5">
        <v>45969</v>
      </c>
      <c r="B1840" t="s">
        <v>2684</v>
      </c>
      <c r="C1840">
        <v>30</v>
      </c>
      <c r="D1840">
        <v>36</v>
      </c>
      <c r="E1840" s="1">
        <v>1.0833333333333333</v>
      </c>
      <c r="F1840" t="s">
        <v>2685</v>
      </c>
      <c r="G1840">
        <v>2</v>
      </c>
      <c r="H1840">
        <v>1081.0355999999999</v>
      </c>
      <c r="I1840">
        <v>5</v>
      </c>
      <c r="J1840">
        <v>1163.79</v>
      </c>
      <c r="K1840">
        <v>3.9161333999415802</v>
      </c>
      <c r="L1840">
        <v>601.29</v>
      </c>
      <c r="M1840" t="s">
        <v>60</v>
      </c>
      <c r="N1840">
        <v>1</v>
      </c>
      <c r="O1840">
        <v>1308</v>
      </c>
      <c r="P1840">
        <v>1135</v>
      </c>
      <c r="Q1840">
        <v>0.5</v>
      </c>
      <c r="R1840">
        <v>567.5</v>
      </c>
    </row>
    <row r="1841" spans="1:18" x14ac:dyDescent="0.3">
      <c r="A1841" s="5">
        <v>45969</v>
      </c>
      <c r="B1841" t="s">
        <v>2686</v>
      </c>
      <c r="C1841">
        <v>31</v>
      </c>
      <c r="D1841">
        <v>36</v>
      </c>
      <c r="E1841" s="1">
        <v>1.0833333333333333</v>
      </c>
      <c r="F1841" t="s">
        <v>2687</v>
      </c>
      <c r="G1841">
        <v>3</v>
      </c>
      <c r="H1841">
        <v>1081.0177000000001</v>
      </c>
      <c r="I1841">
        <v>10</v>
      </c>
      <c r="J1841">
        <v>1163.79</v>
      </c>
      <c r="K1841">
        <v>7.8322667998831603</v>
      </c>
      <c r="L1841">
        <v>609.91</v>
      </c>
      <c r="M1841" t="s">
        <v>20</v>
      </c>
      <c r="N1841">
        <v>1</v>
      </c>
      <c r="O1841">
        <v>1362</v>
      </c>
      <c r="P1841">
        <v>1189</v>
      </c>
      <c r="Q1841">
        <v>0.5</v>
      </c>
      <c r="R1841">
        <v>594.5</v>
      </c>
    </row>
    <row r="1842" spans="1:18" x14ac:dyDescent="0.3">
      <c r="A1842" s="5">
        <v>45969</v>
      </c>
      <c r="B1842" t="s">
        <v>2688</v>
      </c>
      <c r="C1842">
        <v>33</v>
      </c>
      <c r="D1842">
        <v>36</v>
      </c>
      <c r="E1842" s="1">
        <v>1.0833333333333333</v>
      </c>
      <c r="F1842" t="s">
        <v>2689</v>
      </c>
      <c r="G1842">
        <v>3</v>
      </c>
      <c r="H1842">
        <v>1080.9817</v>
      </c>
      <c r="I1842">
        <v>10</v>
      </c>
      <c r="J1842">
        <v>1163.79</v>
      </c>
      <c r="K1842">
        <v>7.8322667998831603</v>
      </c>
      <c r="L1842">
        <v>609.91</v>
      </c>
      <c r="M1842" t="s">
        <v>20</v>
      </c>
      <c r="N1842">
        <v>1</v>
      </c>
      <c r="O1842">
        <v>1362</v>
      </c>
      <c r="P1842">
        <v>1189</v>
      </c>
      <c r="Q1842">
        <v>0.5</v>
      </c>
      <c r="R1842">
        <v>594.5</v>
      </c>
    </row>
    <row r="1843" spans="1:18" x14ac:dyDescent="0.3">
      <c r="A1843" s="5">
        <v>45969</v>
      </c>
      <c r="B1843" t="s">
        <v>2690</v>
      </c>
      <c r="C1843">
        <v>34</v>
      </c>
      <c r="D1843">
        <v>36</v>
      </c>
      <c r="E1843" s="1">
        <v>1.0833333333333333</v>
      </c>
      <c r="F1843" t="s">
        <v>2691</v>
      </c>
      <c r="G1843">
        <v>3</v>
      </c>
      <c r="H1843">
        <v>1080.9639</v>
      </c>
      <c r="I1843">
        <v>10</v>
      </c>
      <c r="J1843">
        <v>1163.79</v>
      </c>
      <c r="K1843">
        <v>7.8322667998831603</v>
      </c>
      <c r="L1843">
        <v>601.29</v>
      </c>
      <c r="M1843" t="s">
        <v>20</v>
      </c>
      <c r="N1843">
        <v>1</v>
      </c>
      <c r="O1843">
        <v>1362</v>
      </c>
      <c r="P1843">
        <v>1189</v>
      </c>
      <c r="Q1843">
        <v>0.5</v>
      </c>
      <c r="R1843">
        <v>594.5</v>
      </c>
    </row>
    <row r="1844" spans="1:18" x14ac:dyDescent="0.3">
      <c r="A1844" s="5">
        <v>45969</v>
      </c>
      <c r="B1844" t="s">
        <v>2692</v>
      </c>
      <c r="C1844">
        <v>9</v>
      </c>
      <c r="D1844">
        <v>36</v>
      </c>
      <c r="E1844" s="1">
        <v>1.4583333333333333</v>
      </c>
      <c r="F1844" t="s">
        <v>2693</v>
      </c>
      <c r="G1844">
        <v>4</v>
      </c>
      <c r="H1844">
        <v>1081.482</v>
      </c>
      <c r="I1844">
        <v>7</v>
      </c>
      <c r="J1844">
        <v>1163.79</v>
      </c>
      <c r="K1844">
        <v>5.4825867599182097</v>
      </c>
      <c r="L1844">
        <v>1158.8800000000001</v>
      </c>
      <c r="M1844" t="s">
        <v>27</v>
      </c>
      <c r="N1844">
        <v>1</v>
      </c>
      <c r="O1844">
        <v>1330</v>
      </c>
      <c r="P1844">
        <v>1157</v>
      </c>
      <c r="Q1844">
        <v>0</v>
      </c>
      <c r="R1844">
        <v>1157</v>
      </c>
    </row>
    <row r="1845" spans="1:18" x14ac:dyDescent="0.3">
      <c r="A1845" s="5">
        <v>45969</v>
      </c>
      <c r="B1845" t="s">
        <v>2692</v>
      </c>
      <c r="C1845">
        <v>9</v>
      </c>
      <c r="D1845">
        <v>36</v>
      </c>
      <c r="E1845" s="1">
        <v>1.4583333333333333</v>
      </c>
      <c r="F1845" t="s">
        <v>2693</v>
      </c>
      <c r="G1845">
        <v>4</v>
      </c>
      <c r="H1845">
        <v>1081.482</v>
      </c>
      <c r="I1845">
        <v>7</v>
      </c>
      <c r="J1845">
        <v>1163.79</v>
      </c>
      <c r="K1845">
        <v>5.4825867599182097</v>
      </c>
      <c r="L1845">
        <v>1158.8800000000001</v>
      </c>
      <c r="M1845" t="s">
        <v>27</v>
      </c>
      <c r="N1845">
        <v>1</v>
      </c>
      <c r="O1845">
        <v>1330</v>
      </c>
      <c r="P1845">
        <v>1157</v>
      </c>
      <c r="Q1845">
        <v>0</v>
      </c>
      <c r="R1845">
        <v>1157</v>
      </c>
    </row>
    <row r="1846" spans="1:18" x14ac:dyDescent="0.3">
      <c r="A1846" s="5">
        <v>45969</v>
      </c>
      <c r="B1846" t="s">
        <v>2694</v>
      </c>
      <c r="C1846">
        <v>8</v>
      </c>
      <c r="D1846">
        <v>36</v>
      </c>
      <c r="E1846" s="1">
        <v>1.4583333333333333</v>
      </c>
      <c r="F1846" t="s">
        <v>2693</v>
      </c>
      <c r="G1846">
        <v>4</v>
      </c>
      <c r="H1846">
        <v>1081.5</v>
      </c>
      <c r="I1846">
        <v>7</v>
      </c>
      <c r="J1846">
        <v>1163.79</v>
      </c>
      <c r="K1846">
        <v>5.4825867599182097</v>
      </c>
      <c r="L1846">
        <v>1158.8800000000001</v>
      </c>
      <c r="M1846" t="s">
        <v>27</v>
      </c>
      <c r="N1846">
        <v>1</v>
      </c>
      <c r="O1846">
        <v>1330</v>
      </c>
      <c r="P1846">
        <v>1157</v>
      </c>
      <c r="Q1846">
        <v>0</v>
      </c>
      <c r="R1846">
        <v>1157</v>
      </c>
    </row>
    <row r="1847" spans="1:18" x14ac:dyDescent="0.3">
      <c r="A1847" s="5">
        <v>45969</v>
      </c>
      <c r="B1847" t="s">
        <v>2694</v>
      </c>
      <c r="C1847">
        <v>8</v>
      </c>
      <c r="D1847">
        <v>36</v>
      </c>
      <c r="E1847" s="1">
        <v>1.4583333333333333</v>
      </c>
      <c r="F1847" t="s">
        <v>2693</v>
      </c>
      <c r="G1847">
        <v>4</v>
      </c>
      <c r="H1847">
        <v>1081.5</v>
      </c>
      <c r="I1847">
        <v>7</v>
      </c>
      <c r="J1847">
        <v>1163.79</v>
      </c>
      <c r="K1847">
        <v>5.4825867599182097</v>
      </c>
      <c r="L1847">
        <v>1158.8800000000001</v>
      </c>
      <c r="M1847" t="s">
        <v>27</v>
      </c>
      <c r="N1847">
        <v>1</v>
      </c>
      <c r="O1847">
        <v>1330</v>
      </c>
      <c r="P1847">
        <v>1157</v>
      </c>
      <c r="Q1847">
        <v>0</v>
      </c>
      <c r="R1847">
        <v>1157</v>
      </c>
    </row>
    <row r="1848" spans="1:18" x14ac:dyDescent="0.3">
      <c r="A1848" s="5">
        <v>45969</v>
      </c>
      <c r="B1848" t="s">
        <v>2695</v>
      </c>
      <c r="C1848">
        <v>5</v>
      </c>
      <c r="D1848">
        <v>36</v>
      </c>
      <c r="E1848" s="1">
        <v>1.4583333333333333</v>
      </c>
      <c r="F1848" t="s">
        <v>2696</v>
      </c>
      <c r="G1848">
        <v>1</v>
      </c>
      <c r="H1848">
        <v>1081.3955000000001</v>
      </c>
      <c r="I1848">
        <v>8.5</v>
      </c>
      <c r="J1848">
        <v>1163.79</v>
      </c>
      <c r="K1848">
        <v>6.6574267799006801</v>
      </c>
      <c r="L1848">
        <v>1219.83</v>
      </c>
      <c r="M1848" t="s">
        <v>27</v>
      </c>
      <c r="N1848">
        <v>1</v>
      </c>
      <c r="O1848">
        <v>1346</v>
      </c>
      <c r="P1848">
        <v>1173</v>
      </c>
      <c r="Q1848">
        <v>0</v>
      </c>
      <c r="R1848">
        <v>1173</v>
      </c>
    </row>
    <row r="1849" spans="1:18" x14ac:dyDescent="0.3">
      <c r="A1849" s="5">
        <v>45969</v>
      </c>
      <c r="B1849" t="s">
        <v>2697</v>
      </c>
      <c r="C1849">
        <v>6</v>
      </c>
      <c r="D1849">
        <v>36</v>
      </c>
      <c r="E1849" s="1">
        <v>1.4583333333333333</v>
      </c>
      <c r="F1849" t="s">
        <v>2698</v>
      </c>
      <c r="G1849">
        <v>1</v>
      </c>
      <c r="H1849">
        <v>1081.3774000000001</v>
      </c>
      <c r="I1849">
        <v>8.5</v>
      </c>
      <c r="J1849">
        <v>1163.79</v>
      </c>
      <c r="K1849">
        <v>6.6574267799006801</v>
      </c>
      <c r="L1849">
        <v>1082.33</v>
      </c>
      <c r="M1849" t="s">
        <v>27</v>
      </c>
      <c r="N1849">
        <v>1</v>
      </c>
      <c r="O1849">
        <v>1346</v>
      </c>
      <c r="P1849">
        <v>1173</v>
      </c>
      <c r="Q1849">
        <v>0</v>
      </c>
      <c r="R1849">
        <v>1173</v>
      </c>
    </row>
    <row r="1850" spans="1:18" x14ac:dyDescent="0.3">
      <c r="A1850" s="5">
        <v>45969</v>
      </c>
      <c r="B1850" t="s">
        <v>2699</v>
      </c>
      <c r="C1850">
        <v>4</v>
      </c>
      <c r="D1850">
        <v>36</v>
      </c>
      <c r="E1850" s="1">
        <v>1.9791666666666665</v>
      </c>
      <c r="F1850" t="s">
        <v>2700</v>
      </c>
      <c r="G1850">
        <v>0</v>
      </c>
      <c r="H1850">
        <v>1081.1217999999999</v>
      </c>
      <c r="I1850">
        <v>2.5</v>
      </c>
      <c r="J1850">
        <v>1163.79</v>
      </c>
      <c r="K1850">
        <v>1.9580666999707901</v>
      </c>
      <c r="L1850">
        <v>1158.8800000000001</v>
      </c>
      <c r="M1850" t="s">
        <v>27</v>
      </c>
      <c r="N1850">
        <v>1</v>
      </c>
      <c r="O1850">
        <v>1281</v>
      </c>
      <c r="P1850">
        <v>1108</v>
      </c>
      <c r="Q1850">
        <v>0</v>
      </c>
      <c r="R1850">
        <v>1108</v>
      </c>
    </row>
    <row r="1851" spans="1:18" x14ac:dyDescent="0.3">
      <c r="A1851" s="5">
        <v>45969</v>
      </c>
      <c r="B1851" t="s">
        <v>2701</v>
      </c>
      <c r="C1851">
        <v>8</v>
      </c>
      <c r="D1851">
        <v>36</v>
      </c>
      <c r="E1851" s="1">
        <v>1.4583333333333333</v>
      </c>
      <c r="F1851" t="s">
        <v>2702</v>
      </c>
      <c r="G1851">
        <v>5</v>
      </c>
      <c r="H1851">
        <v>1081.3416</v>
      </c>
      <c r="I1851">
        <v>0</v>
      </c>
      <c r="J1851">
        <v>1163.79</v>
      </c>
      <c r="K1851">
        <v>0</v>
      </c>
      <c r="L1851">
        <v>1158.8800000000001</v>
      </c>
      <c r="M1851" t="s">
        <v>27</v>
      </c>
      <c r="N1851">
        <v>1</v>
      </c>
      <c r="O1851">
        <v>1254</v>
      </c>
      <c r="P1851">
        <v>1081</v>
      </c>
      <c r="Q1851">
        <v>0</v>
      </c>
      <c r="R1851">
        <v>1081</v>
      </c>
    </row>
    <row r="1852" spans="1:18" x14ac:dyDescent="0.3">
      <c r="A1852" s="5">
        <v>45969</v>
      </c>
      <c r="B1852" t="s">
        <v>2703</v>
      </c>
      <c r="C1852">
        <v>9</v>
      </c>
      <c r="D1852">
        <v>36</v>
      </c>
      <c r="E1852" s="1">
        <v>1.4583333333333333</v>
      </c>
      <c r="F1852" t="s">
        <v>2702</v>
      </c>
      <c r="G1852">
        <v>5</v>
      </c>
      <c r="H1852">
        <v>1081.3235999999999</v>
      </c>
      <c r="I1852">
        <v>0</v>
      </c>
      <c r="J1852">
        <v>1163.79</v>
      </c>
      <c r="K1852">
        <v>0</v>
      </c>
      <c r="L1852">
        <v>1158.8800000000001</v>
      </c>
      <c r="M1852" t="s">
        <v>27</v>
      </c>
      <c r="N1852">
        <v>1</v>
      </c>
      <c r="O1852">
        <v>1254</v>
      </c>
      <c r="P1852">
        <v>1081</v>
      </c>
      <c r="Q1852">
        <v>0</v>
      </c>
      <c r="R1852">
        <v>1081</v>
      </c>
    </row>
    <row r="1853" spans="1:18" x14ac:dyDescent="0.3">
      <c r="A1853" s="5">
        <v>45969</v>
      </c>
      <c r="B1853" t="s">
        <v>2704</v>
      </c>
      <c r="C1853">
        <v>18</v>
      </c>
      <c r="D1853">
        <v>36</v>
      </c>
      <c r="E1853" s="1">
        <v>1.9791666666666665</v>
      </c>
      <c r="F1853" t="s">
        <v>2705</v>
      </c>
      <c r="G1853">
        <v>0</v>
      </c>
      <c r="H1853">
        <v>1081.0027</v>
      </c>
      <c r="I1853">
        <v>2.5</v>
      </c>
      <c r="J1853">
        <v>1163.79</v>
      </c>
      <c r="K1853">
        <v>1.9580666999707901</v>
      </c>
      <c r="L1853">
        <v>1158.8800000000001</v>
      </c>
      <c r="M1853" t="s">
        <v>27</v>
      </c>
      <c r="N1853">
        <v>1</v>
      </c>
      <c r="O1853">
        <v>1281</v>
      </c>
      <c r="P1853">
        <v>1108</v>
      </c>
      <c r="Q1853">
        <v>0</v>
      </c>
      <c r="R1853">
        <v>1108</v>
      </c>
    </row>
    <row r="1854" spans="1:18" x14ac:dyDescent="0.3">
      <c r="A1854" s="5">
        <v>45969</v>
      </c>
      <c r="B1854" t="s">
        <v>2706</v>
      </c>
      <c r="C1854">
        <v>13</v>
      </c>
      <c r="D1854">
        <v>36</v>
      </c>
      <c r="E1854" s="1">
        <v>1.4583333333333333</v>
      </c>
      <c r="F1854" t="s">
        <v>2707</v>
      </c>
      <c r="G1854">
        <v>1</v>
      </c>
      <c r="H1854">
        <v>1081.2511</v>
      </c>
      <c r="I1854">
        <v>8.5</v>
      </c>
      <c r="J1854">
        <v>1163.79</v>
      </c>
      <c r="K1854">
        <v>6.6574267799006801</v>
      </c>
      <c r="L1854">
        <v>1219.83</v>
      </c>
      <c r="M1854" t="s">
        <v>27</v>
      </c>
      <c r="N1854">
        <v>1</v>
      </c>
      <c r="O1854">
        <v>1346</v>
      </c>
      <c r="P1854">
        <v>1173</v>
      </c>
      <c r="Q1854">
        <v>0</v>
      </c>
      <c r="R1854">
        <v>1173</v>
      </c>
    </row>
    <row r="1855" spans="1:18" x14ac:dyDescent="0.3">
      <c r="A1855" s="5">
        <v>45969</v>
      </c>
      <c r="B1855" t="s">
        <v>2708</v>
      </c>
      <c r="C1855">
        <v>10</v>
      </c>
      <c r="D1855">
        <v>36</v>
      </c>
      <c r="E1855" s="1">
        <v>1.25</v>
      </c>
      <c r="F1855" t="s">
        <v>2709</v>
      </c>
      <c r="G1855">
        <v>0</v>
      </c>
      <c r="H1855">
        <v>1081.3742999999999</v>
      </c>
      <c r="I1855">
        <v>2.5</v>
      </c>
      <c r="J1855">
        <v>1163.79</v>
      </c>
      <c r="K1855">
        <v>1.9580666999707901</v>
      </c>
      <c r="L1855">
        <v>1158.8800000000001</v>
      </c>
      <c r="M1855" t="s">
        <v>27</v>
      </c>
      <c r="N1855">
        <v>1</v>
      </c>
      <c r="O1855">
        <v>1281</v>
      </c>
      <c r="P1855">
        <v>1108</v>
      </c>
      <c r="Q1855">
        <v>0</v>
      </c>
      <c r="R1855">
        <v>1108</v>
      </c>
    </row>
    <row r="1856" spans="1:18" x14ac:dyDescent="0.3">
      <c r="A1856" s="5">
        <v>45969</v>
      </c>
      <c r="B1856" t="s">
        <v>2710</v>
      </c>
      <c r="C1856">
        <v>4</v>
      </c>
      <c r="D1856">
        <v>36</v>
      </c>
      <c r="E1856" s="1">
        <v>1.25</v>
      </c>
      <c r="F1856" t="s">
        <v>2711</v>
      </c>
      <c r="G1856">
        <v>2</v>
      </c>
      <c r="H1856">
        <v>1081.4268999999999</v>
      </c>
      <c r="I1856">
        <v>5</v>
      </c>
      <c r="J1856">
        <v>1163.79</v>
      </c>
      <c r="K1856">
        <v>3.9161333999415802</v>
      </c>
      <c r="L1856">
        <v>609.91</v>
      </c>
      <c r="M1856" t="s">
        <v>60</v>
      </c>
      <c r="N1856">
        <v>1</v>
      </c>
      <c r="O1856">
        <v>1309</v>
      </c>
      <c r="P1856">
        <v>1135</v>
      </c>
      <c r="Q1856">
        <v>0.5</v>
      </c>
      <c r="R1856">
        <v>567.5</v>
      </c>
    </row>
    <row r="1857" spans="1:18" x14ac:dyDescent="0.3">
      <c r="A1857" s="5">
        <v>45969</v>
      </c>
      <c r="B1857" t="s">
        <v>2712</v>
      </c>
      <c r="C1857">
        <v>36</v>
      </c>
      <c r="D1857">
        <v>36</v>
      </c>
      <c r="E1857" s="1">
        <v>1.9652777777777777</v>
      </c>
      <c r="F1857" t="s">
        <v>2713</v>
      </c>
      <c r="G1857">
        <v>0</v>
      </c>
      <c r="H1857">
        <v>1080.5447999999999</v>
      </c>
      <c r="I1857">
        <v>2.5</v>
      </c>
      <c r="J1857">
        <v>1163.79</v>
      </c>
      <c r="K1857">
        <v>1.9580666999707901</v>
      </c>
      <c r="L1857">
        <v>1158.8800000000001</v>
      </c>
      <c r="M1857" t="s">
        <v>27</v>
      </c>
      <c r="N1857">
        <v>1</v>
      </c>
      <c r="O1857">
        <v>1280</v>
      </c>
      <c r="P1857">
        <v>1108</v>
      </c>
      <c r="Q1857">
        <v>0</v>
      </c>
      <c r="R1857">
        <v>1108</v>
      </c>
    </row>
    <row r="1858" spans="1:18" x14ac:dyDescent="0.3">
      <c r="A1858" s="5">
        <v>45969</v>
      </c>
      <c r="B1858" t="s">
        <v>2714</v>
      </c>
      <c r="C1858">
        <v>1</v>
      </c>
      <c r="D1858">
        <v>36</v>
      </c>
      <c r="E1858" s="1">
        <v>1.9993055555555554</v>
      </c>
      <c r="F1858" t="s">
        <v>2715</v>
      </c>
      <c r="G1858">
        <v>5</v>
      </c>
      <c r="H1858">
        <v>1081.2492999999999</v>
      </c>
      <c r="I1858">
        <v>0</v>
      </c>
      <c r="J1858">
        <v>1163.79</v>
      </c>
      <c r="K1858">
        <v>0</v>
      </c>
      <c r="L1858">
        <v>1158.8800000000001</v>
      </c>
      <c r="M1858" t="s">
        <v>27</v>
      </c>
      <c r="N1858">
        <v>1</v>
      </c>
      <c r="O1858">
        <v>1254</v>
      </c>
      <c r="P1858">
        <v>1081</v>
      </c>
      <c r="Q1858">
        <v>0</v>
      </c>
      <c r="R1858">
        <v>1081</v>
      </c>
    </row>
    <row r="1859" spans="1:18" x14ac:dyDescent="0.3">
      <c r="A1859" s="5">
        <v>45969</v>
      </c>
      <c r="B1859" t="s">
        <v>2716</v>
      </c>
      <c r="C1859">
        <v>23</v>
      </c>
      <c r="D1859">
        <v>36</v>
      </c>
      <c r="E1859" s="1">
        <v>1.9993055555555554</v>
      </c>
      <c r="F1859" t="s">
        <v>2717</v>
      </c>
      <c r="G1859">
        <v>5</v>
      </c>
      <c r="H1859">
        <v>1080.7206000000001</v>
      </c>
      <c r="I1859">
        <v>0</v>
      </c>
      <c r="J1859">
        <v>1163.79</v>
      </c>
      <c r="K1859">
        <v>0</v>
      </c>
      <c r="L1859">
        <v>1158.8800000000001</v>
      </c>
      <c r="M1859" t="s">
        <v>27</v>
      </c>
      <c r="N1859">
        <v>1</v>
      </c>
      <c r="O1859">
        <v>1254</v>
      </c>
      <c r="P1859">
        <v>1081</v>
      </c>
      <c r="Q1859">
        <v>0</v>
      </c>
      <c r="R1859">
        <v>1081</v>
      </c>
    </row>
    <row r="1860" spans="1:18" x14ac:dyDescent="0.3">
      <c r="A1860" s="5">
        <v>45969</v>
      </c>
      <c r="B1860" t="s">
        <v>2716</v>
      </c>
      <c r="C1860">
        <v>23</v>
      </c>
      <c r="D1860">
        <v>36</v>
      </c>
      <c r="E1860" s="1">
        <v>1.9993055555555554</v>
      </c>
      <c r="F1860" t="s">
        <v>2717</v>
      </c>
      <c r="G1860">
        <v>5</v>
      </c>
      <c r="H1860">
        <v>1080.7206000000001</v>
      </c>
      <c r="I1860">
        <v>0</v>
      </c>
      <c r="J1860">
        <v>1163.79</v>
      </c>
      <c r="K1860">
        <v>0</v>
      </c>
      <c r="L1860">
        <v>1158.8800000000001</v>
      </c>
      <c r="M1860" t="s">
        <v>27</v>
      </c>
      <c r="N1860">
        <v>1</v>
      </c>
      <c r="O1860">
        <v>1254</v>
      </c>
      <c r="P1860">
        <v>1081</v>
      </c>
      <c r="Q1860">
        <v>0</v>
      </c>
      <c r="R1860">
        <v>1081</v>
      </c>
    </row>
    <row r="1861" spans="1:18" x14ac:dyDescent="0.3">
      <c r="A1861" s="5">
        <v>45969</v>
      </c>
      <c r="B1861" t="s">
        <v>2718</v>
      </c>
      <c r="C1861">
        <v>22</v>
      </c>
      <c r="D1861">
        <v>36</v>
      </c>
      <c r="E1861" s="1">
        <v>1.9993055555555554</v>
      </c>
      <c r="F1861" t="s">
        <v>2717</v>
      </c>
      <c r="G1861">
        <v>5</v>
      </c>
      <c r="H1861">
        <v>1080.7384</v>
      </c>
      <c r="I1861">
        <v>0</v>
      </c>
      <c r="J1861">
        <v>1163.79</v>
      </c>
      <c r="K1861">
        <v>0</v>
      </c>
      <c r="L1861">
        <v>1158.8800000000001</v>
      </c>
      <c r="M1861" t="s">
        <v>27</v>
      </c>
      <c r="N1861">
        <v>1</v>
      </c>
      <c r="O1861">
        <v>1254</v>
      </c>
      <c r="P1861">
        <v>1081</v>
      </c>
      <c r="Q1861">
        <v>0</v>
      </c>
      <c r="R1861">
        <v>1081</v>
      </c>
    </row>
    <row r="1862" spans="1:18" x14ac:dyDescent="0.3">
      <c r="A1862" s="5">
        <v>45969</v>
      </c>
      <c r="B1862" t="s">
        <v>2718</v>
      </c>
      <c r="C1862">
        <v>22</v>
      </c>
      <c r="D1862">
        <v>36</v>
      </c>
      <c r="E1862" s="1">
        <v>1.9993055555555554</v>
      </c>
      <c r="F1862" t="s">
        <v>2717</v>
      </c>
      <c r="G1862">
        <v>5</v>
      </c>
      <c r="H1862">
        <v>1080.7384</v>
      </c>
      <c r="I1862">
        <v>0</v>
      </c>
      <c r="J1862">
        <v>1163.79</v>
      </c>
      <c r="K1862">
        <v>0</v>
      </c>
      <c r="L1862">
        <v>1158.8800000000001</v>
      </c>
      <c r="M1862" t="s">
        <v>27</v>
      </c>
      <c r="N1862">
        <v>1</v>
      </c>
      <c r="O1862">
        <v>1254</v>
      </c>
      <c r="P1862">
        <v>1081</v>
      </c>
      <c r="Q1862">
        <v>0</v>
      </c>
      <c r="R1862">
        <v>1081</v>
      </c>
    </row>
    <row r="1863" spans="1:18" x14ac:dyDescent="0.3">
      <c r="A1863" s="5">
        <v>45969</v>
      </c>
      <c r="B1863" t="s">
        <v>2719</v>
      </c>
      <c r="C1863">
        <v>27</v>
      </c>
      <c r="D1863">
        <v>36</v>
      </c>
      <c r="E1863" s="1">
        <v>1.4583333333333333</v>
      </c>
      <c r="F1863" t="s">
        <v>2720</v>
      </c>
      <c r="G1863">
        <v>0</v>
      </c>
      <c r="H1863">
        <v>1080.9313</v>
      </c>
      <c r="I1863">
        <v>2.5</v>
      </c>
      <c r="J1863">
        <v>1163.79</v>
      </c>
      <c r="K1863">
        <v>1.9580666999707901</v>
      </c>
      <c r="L1863">
        <v>1158.8800000000001</v>
      </c>
      <c r="M1863" t="s">
        <v>27</v>
      </c>
      <c r="N1863">
        <v>1</v>
      </c>
      <c r="O1863">
        <v>1281</v>
      </c>
      <c r="P1863">
        <v>1108</v>
      </c>
      <c r="Q1863">
        <v>0</v>
      </c>
      <c r="R1863">
        <v>1108</v>
      </c>
    </row>
    <row r="1864" spans="1:18" x14ac:dyDescent="0.3">
      <c r="A1864" s="5">
        <v>45969</v>
      </c>
      <c r="B1864" t="s">
        <v>370</v>
      </c>
      <c r="C1864">
        <v>4</v>
      </c>
      <c r="D1864">
        <v>36</v>
      </c>
      <c r="E1864" s="1">
        <v>1.9993055555555554</v>
      </c>
      <c r="F1864" t="s">
        <v>371</v>
      </c>
      <c r="G1864">
        <v>5</v>
      </c>
      <c r="H1864">
        <v>1081.0613000000001</v>
      </c>
      <c r="I1864">
        <v>0</v>
      </c>
      <c r="J1864">
        <v>1163.79</v>
      </c>
      <c r="K1864">
        <v>0</v>
      </c>
      <c r="L1864">
        <v>1158.8800000000001</v>
      </c>
      <c r="M1864" t="s">
        <v>27</v>
      </c>
      <c r="N1864">
        <v>1</v>
      </c>
      <c r="O1864">
        <v>1254</v>
      </c>
      <c r="P1864">
        <v>1081</v>
      </c>
      <c r="Q1864">
        <v>0</v>
      </c>
      <c r="R1864">
        <v>1081</v>
      </c>
    </row>
    <row r="1865" spans="1:18" x14ac:dyDescent="0.3">
      <c r="A1865" s="5">
        <v>45969</v>
      </c>
      <c r="B1865" t="s">
        <v>2721</v>
      </c>
      <c r="C1865">
        <v>29</v>
      </c>
      <c r="D1865">
        <v>36</v>
      </c>
      <c r="E1865" s="1">
        <v>1.4583333333333333</v>
      </c>
      <c r="F1865" t="s">
        <v>2722</v>
      </c>
      <c r="G1865">
        <v>0</v>
      </c>
      <c r="H1865">
        <v>1080.8952999999999</v>
      </c>
      <c r="I1865">
        <v>2.5</v>
      </c>
      <c r="J1865">
        <v>1163.79</v>
      </c>
      <c r="K1865">
        <v>1.9580666999707901</v>
      </c>
      <c r="L1865">
        <v>1158.8800000000001</v>
      </c>
      <c r="M1865" t="s">
        <v>27</v>
      </c>
      <c r="N1865">
        <v>1</v>
      </c>
      <c r="O1865">
        <v>1281</v>
      </c>
      <c r="P1865">
        <v>1108</v>
      </c>
      <c r="Q1865">
        <v>0</v>
      </c>
      <c r="R1865">
        <v>1108</v>
      </c>
    </row>
    <row r="1866" spans="1:18" x14ac:dyDescent="0.3">
      <c r="A1866" s="5">
        <v>45969</v>
      </c>
      <c r="B1866" t="s">
        <v>2723</v>
      </c>
      <c r="C1866">
        <v>3</v>
      </c>
      <c r="D1866">
        <v>36</v>
      </c>
      <c r="E1866" s="1">
        <v>1.9993055555555554</v>
      </c>
      <c r="F1866" t="s">
        <v>2724</v>
      </c>
      <c r="G1866">
        <v>5</v>
      </c>
      <c r="H1866">
        <v>1081.2118</v>
      </c>
      <c r="I1866">
        <v>0</v>
      </c>
      <c r="J1866">
        <v>1163.79</v>
      </c>
      <c r="K1866">
        <v>0</v>
      </c>
      <c r="L1866">
        <v>1158.8800000000001</v>
      </c>
      <c r="M1866" t="s">
        <v>27</v>
      </c>
      <c r="N1866">
        <v>1</v>
      </c>
      <c r="O1866">
        <v>1254</v>
      </c>
      <c r="P1866">
        <v>1081</v>
      </c>
      <c r="Q1866">
        <v>0</v>
      </c>
      <c r="R1866">
        <v>1081</v>
      </c>
    </row>
    <row r="1867" spans="1:18" x14ac:dyDescent="0.3">
      <c r="A1867" s="5">
        <v>45969</v>
      </c>
      <c r="B1867" t="s">
        <v>2725</v>
      </c>
      <c r="C1867">
        <v>35</v>
      </c>
      <c r="D1867">
        <v>36</v>
      </c>
      <c r="E1867" s="1">
        <v>1.9652777777777777</v>
      </c>
      <c r="F1867" t="s">
        <v>2726</v>
      </c>
      <c r="G1867">
        <v>4</v>
      </c>
      <c r="H1867">
        <v>1080.5599</v>
      </c>
      <c r="I1867">
        <v>7</v>
      </c>
      <c r="J1867">
        <v>1163.79</v>
      </c>
      <c r="K1867">
        <v>5.4825867599182097</v>
      </c>
      <c r="L1867">
        <v>1158.8800000000001</v>
      </c>
      <c r="M1867" t="s">
        <v>27</v>
      </c>
      <c r="N1867">
        <v>1</v>
      </c>
      <c r="O1867">
        <v>1329</v>
      </c>
      <c r="P1867">
        <v>1156</v>
      </c>
      <c r="Q1867">
        <v>0</v>
      </c>
      <c r="R1867">
        <v>1156</v>
      </c>
    </row>
    <row r="1868" spans="1:18" x14ac:dyDescent="0.3">
      <c r="A1868" s="5">
        <v>45969</v>
      </c>
      <c r="B1868" t="s">
        <v>2727</v>
      </c>
      <c r="C1868">
        <v>16</v>
      </c>
      <c r="D1868">
        <v>36</v>
      </c>
      <c r="E1868" s="1">
        <v>1.0833333333333333</v>
      </c>
      <c r="F1868" t="s">
        <v>2728</v>
      </c>
      <c r="G1868">
        <v>0</v>
      </c>
      <c r="H1868">
        <v>1081.2653</v>
      </c>
      <c r="I1868">
        <v>2.5</v>
      </c>
      <c r="J1868">
        <v>1163.79</v>
      </c>
      <c r="K1868">
        <v>1.9580666999707901</v>
      </c>
      <c r="L1868">
        <v>1158.8800000000001</v>
      </c>
      <c r="M1868" t="s">
        <v>27</v>
      </c>
      <c r="N1868">
        <v>1</v>
      </c>
      <c r="O1868">
        <v>1281</v>
      </c>
      <c r="P1868">
        <v>1108</v>
      </c>
      <c r="Q1868">
        <v>0</v>
      </c>
      <c r="R1868">
        <v>1108</v>
      </c>
    </row>
    <row r="1869" spans="1:18" x14ac:dyDescent="0.3">
      <c r="A1869" s="5">
        <v>45969</v>
      </c>
      <c r="B1869" t="s">
        <v>2729</v>
      </c>
      <c r="C1869">
        <v>13</v>
      </c>
      <c r="D1869">
        <v>36</v>
      </c>
      <c r="E1869" s="1">
        <v>1.9791666666666665</v>
      </c>
      <c r="F1869" t="s">
        <v>2730</v>
      </c>
      <c r="G1869">
        <v>5</v>
      </c>
      <c r="H1869">
        <v>1081.0302999999999</v>
      </c>
      <c r="I1869">
        <v>0</v>
      </c>
      <c r="J1869">
        <v>1163.79</v>
      </c>
      <c r="K1869">
        <v>0</v>
      </c>
      <c r="L1869">
        <v>1158.8800000000001</v>
      </c>
      <c r="M1869" t="s">
        <v>27</v>
      </c>
      <c r="N1869">
        <v>1</v>
      </c>
      <c r="O1869">
        <v>1254</v>
      </c>
      <c r="P1869">
        <v>1081</v>
      </c>
      <c r="Q1869">
        <v>0</v>
      </c>
      <c r="R1869">
        <v>1081</v>
      </c>
    </row>
    <row r="1870" spans="1:18" x14ac:dyDescent="0.3">
      <c r="A1870" s="5">
        <v>45969</v>
      </c>
      <c r="B1870" t="s">
        <v>2731</v>
      </c>
      <c r="C1870">
        <v>9</v>
      </c>
      <c r="D1870">
        <v>36</v>
      </c>
      <c r="E1870" s="1">
        <v>1.9652777777777777</v>
      </c>
      <c r="F1870" t="s">
        <v>2732</v>
      </c>
      <c r="G1870">
        <v>5</v>
      </c>
      <c r="H1870">
        <v>1081.1024</v>
      </c>
      <c r="I1870">
        <v>0</v>
      </c>
      <c r="J1870">
        <v>1163.79</v>
      </c>
      <c r="K1870">
        <v>0</v>
      </c>
      <c r="L1870">
        <v>1158.8800000000001</v>
      </c>
      <c r="M1870" t="s">
        <v>27</v>
      </c>
      <c r="N1870">
        <v>1</v>
      </c>
      <c r="O1870">
        <v>1254</v>
      </c>
      <c r="P1870">
        <v>1081</v>
      </c>
      <c r="Q1870">
        <v>0</v>
      </c>
      <c r="R1870">
        <v>1081</v>
      </c>
    </row>
    <row r="1871" spans="1:18" x14ac:dyDescent="0.3">
      <c r="A1871" s="5">
        <v>45969</v>
      </c>
      <c r="B1871" t="s">
        <v>2733</v>
      </c>
      <c r="C1871">
        <v>8</v>
      </c>
      <c r="D1871">
        <v>36</v>
      </c>
      <c r="E1871" s="1">
        <v>1.9652777777777777</v>
      </c>
      <c r="F1871" t="s">
        <v>2732</v>
      </c>
      <c r="G1871">
        <v>5</v>
      </c>
      <c r="H1871">
        <v>1081.1205</v>
      </c>
      <c r="I1871">
        <v>0</v>
      </c>
      <c r="J1871">
        <v>1163.79</v>
      </c>
      <c r="K1871">
        <v>0</v>
      </c>
      <c r="L1871">
        <v>1158.8800000000001</v>
      </c>
      <c r="M1871" t="s">
        <v>27</v>
      </c>
      <c r="N1871">
        <v>1</v>
      </c>
      <c r="O1871">
        <v>1254</v>
      </c>
      <c r="P1871">
        <v>1081</v>
      </c>
      <c r="Q1871">
        <v>0</v>
      </c>
      <c r="R1871">
        <v>1081</v>
      </c>
    </row>
    <row r="1872" spans="1:18" x14ac:dyDescent="0.3">
      <c r="A1872" s="5">
        <v>45969</v>
      </c>
      <c r="B1872" t="s">
        <v>2734</v>
      </c>
      <c r="C1872">
        <v>36</v>
      </c>
      <c r="D1872">
        <v>36</v>
      </c>
      <c r="E1872" s="1">
        <v>1.9652777777777777</v>
      </c>
      <c r="F1872" t="s">
        <v>2735</v>
      </c>
      <c r="G1872">
        <v>3</v>
      </c>
      <c r="H1872">
        <v>1080.4947999999999</v>
      </c>
      <c r="I1872">
        <v>10</v>
      </c>
      <c r="J1872">
        <v>1163.79</v>
      </c>
      <c r="K1872">
        <v>7.8322667998831603</v>
      </c>
      <c r="L1872">
        <v>609.91</v>
      </c>
      <c r="M1872" t="s">
        <v>20</v>
      </c>
      <c r="N1872">
        <v>1</v>
      </c>
      <c r="O1872">
        <v>1361</v>
      </c>
      <c r="P1872">
        <v>1189</v>
      </c>
      <c r="Q1872">
        <v>0.5</v>
      </c>
      <c r="R1872">
        <v>594.5</v>
      </c>
    </row>
    <row r="1873" spans="1:18" x14ac:dyDescent="0.3">
      <c r="A1873" s="5">
        <v>45969</v>
      </c>
      <c r="B1873" t="s">
        <v>2736</v>
      </c>
      <c r="C1873">
        <v>17</v>
      </c>
      <c r="D1873">
        <v>36</v>
      </c>
      <c r="E1873" s="1">
        <v>1.25</v>
      </c>
      <c r="F1873" t="s">
        <v>2737</v>
      </c>
      <c r="G1873">
        <v>2</v>
      </c>
      <c r="H1873">
        <v>1079.2944</v>
      </c>
      <c r="I1873">
        <v>5</v>
      </c>
      <c r="J1873">
        <v>1163.79</v>
      </c>
      <c r="K1873">
        <v>3.9161333999415802</v>
      </c>
      <c r="L1873">
        <v>609.91</v>
      </c>
      <c r="M1873" t="s">
        <v>60</v>
      </c>
      <c r="N1873">
        <v>1</v>
      </c>
      <c r="O1873">
        <v>1306</v>
      </c>
      <c r="P1873">
        <v>1133</v>
      </c>
      <c r="Q1873">
        <v>0.5</v>
      </c>
      <c r="R1873">
        <v>566.5</v>
      </c>
    </row>
    <row r="1874" spans="1:18" x14ac:dyDescent="0.3">
      <c r="A1874" s="5">
        <v>45969</v>
      </c>
      <c r="B1874" t="s">
        <v>2738</v>
      </c>
      <c r="C1874">
        <v>32</v>
      </c>
      <c r="D1874">
        <v>36</v>
      </c>
      <c r="E1874" s="1">
        <v>1.9791666666666665</v>
      </c>
      <c r="F1874" t="s">
        <v>2739</v>
      </c>
      <c r="G1874">
        <v>2</v>
      </c>
      <c r="H1874">
        <v>1080.6943000000001</v>
      </c>
      <c r="I1874">
        <v>5</v>
      </c>
      <c r="J1874">
        <v>1163.79</v>
      </c>
      <c r="K1874">
        <v>3.9161333999415802</v>
      </c>
      <c r="L1874">
        <v>609.91</v>
      </c>
      <c r="M1874" t="s">
        <v>60</v>
      </c>
      <c r="N1874">
        <v>1</v>
      </c>
      <c r="O1874">
        <v>1308</v>
      </c>
      <c r="P1874">
        <v>1135</v>
      </c>
      <c r="Q1874">
        <v>0.5</v>
      </c>
      <c r="R1874">
        <v>567.5</v>
      </c>
    </row>
    <row r="1875" spans="1:18" x14ac:dyDescent="0.3">
      <c r="A1875" s="5">
        <v>45969</v>
      </c>
      <c r="B1875" t="s">
        <v>2740</v>
      </c>
      <c r="C1875">
        <v>28</v>
      </c>
      <c r="D1875">
        <v>36</v>
      </c>
      <c r="E1875" s="1">
        <v>1.9652777777777777</v>
      </c>
      <c r="F1875" t="s">
        <v>2741</v>
      </c>
      <c r="G1875">
        <v>5</v>
      </c>
      <c r="H1875">
        <v>1080.6276</v>
      </c>
      <c r="I1875">
        <v>0</v>
      </c>
      <c r="J1875">
        <v>1163.79</v>
      </c>
      <c r="K1875">
        <v>0</v>
      </c>
      <c r="L1875">
        <v>1158.8800000000001</v>
      </c>
      <c r="M1875" t="s">
        <v>27</v>
      </c>
      <c r="N1875">
        <v>1</v>
      </c>
      <c r="O1875">
        <v>1254</v>
      </c>
      <c r="P1875">
        <v>1081</v>
      </c>
      <c r="Q1875">
        <v>0</v>
      </c>
      <c r="R1875">
        <v>1081</v>
      </c>
    </row>
    <row r="1876" spans="1:18" x14ac:dyDescent="0.3">
      <c r="A1876" s="5">
        <v>45969</v>
      </c>
      <c r="B1876" t="s">
        <v>2742</v>
      </c>
      <c r="C1876">
        <v>23</v>
      </c>
      <c r="D1876">
        <v>36</v>
      </c>
      <c r="E1876" s="1">
        <v>1.9791666666666665</v>
      </c>
      <c r="F1876" t="s">
        <v>2743</v>
      </c>
      <c r="G1876">
        <v>5</v>
      </c>
      <c r="H1876">
        <v>1080.7732000000001</v>
      </c>
      <c r="I1876">
        <v>0</v>
      </c>
      <c r="J1876">
        <v>1163.79</v>
      </c>
      <c r="K1876">
        <v>0</v>
      </c>
      <c r="L1876">
        <v>1158.8800000000001</v>
      </c>
      <c r="M1876" t="s">
        <v>27</v>
      </c>
      <c r="N1876">
        <v>1</v>
      </c>
      <c r="O1876">
        <v>1254</v>
      </c>
      <c r="P1876">
        <v>1081</v>
      </c>
      <c r="Q1876">
        <v>0</v>
      </c>
      <c r="R1876">
        <v>1081</v>
      </c>
    </row>
    <row r="1877" spans="1:18" x14ac:dyDescent="0.3">
      <c r="A1877" s="5">
        <v>45969</v>
      </c>
      <c r="B1877" t="s">
        <v>2744</v>
      </c>
      <c r="C1877">
        <v>13</v>
      </c>
      <c r="D1877">
        <v>36</v>
      </c>
      <c r="E1877" s="1">
        <v>1.25</v>
      </c>
      <c r="F1877" t="s">
        <v>2745</v>
      </c>
      <c r="G1877">
        <v>0</v>
      </c>
      <c r="H1877">
        <v>1081.3150000000001</v>
      </c>
      <c r="I1877">
        <v>2.5</v>
      </c>
      <c r="J1877">
        <v>1163.79</v>
      </c>
      <c r="K1877">
        <v>1.9580666999707901</v>
      </c>
      <c r="L1877">
        <v>1158.8800000000001</v>
      </c>
      <c r="M1877" t="s">
        <v>27</v>
      </c>
      <c r="N1877">
        <v>1</v>
      </c>
      <c r="O1877">
        <v>1281</v>
      </c>
      <c r="P1877">
        <v>1108</v>
      </c>
      <c r="Q1877">
        <v>0</v>
      </c>
      <c r="R1877">
        <v>1108</v>
      </c>
    </row>
    <row r="1878" spans="1:18" x14ac:dyDescent="0.3">
      <c r="A1878" s="5">
        <v>45969</v>
      </c>
      <c r="B1878" t="s">
        <v>2746</v>
      </c>
      <c r="C1878">
        <v>32</v>
      </c>
      <c r="D1878">
        <v>36</v>
      </c>
      <c r="E1878" s="1">
        <v>1.25</v>
      </c>
      <c r="F1878" t="s">
        <v>2747</v>
      </c>
      <c r="G1878">
        <v>0</v>
      </c>
      <c r="H1878">
        <v>1080.9355</v>
      </c>
      <c r="I1878">
        <v>2.5</v>
      </c>
      <c r="J1878">
        <v>1163.79</v>
      </c>
      <c r="K1878">
        <v>1.9580666999707901</v>
      </c>
      <c r="L1878">
        <v>601.29</v>
      </c>
      <c r="M1878" t="s">
        <v>60</v>
      </c>
      <c r="N1878">
        <v>1</v>
      </c>
      <c r="O1878">
        <v>1281</v>
      </c>
      <c r="P1878">
        <v>1108</v>
      </c>
      <c r="Q1878">
        <v>0.5</v>
      </c>
      <c r="R1878">
        <v>554</v>
      </c>
    </row>
    <row r="1879" spans="1:18" x14ac:dyDescent="0.3">
      <c r="A1879" s="5">
        <v>45969</v>
      </c>
      <c r="B1879" t="s">
        <v>2748</v>
      </c>
      <c r="C1879">
        <v>12</v>
      </c>
      <c r="D1879">
        <v>36</v>
      </c>
      <c r="E1879" s="1">
        <v>1.9993055555555554</v>
      </c>
      <c r="F1879" t="s">
        <v>2749</v>
      </c>
      <c r="G1879">
        <v>5</v>
      </c>
      <c r="H1879">
        <v>1081.0465999999999</v>
      </c>
      <c r="I1879">
        <v>0</v>
      </c>
      <c r="J1879">
        <v>1163.79</v>
      </c>
      <c r="K1879">
        <v>0</v>
      </c>
      <c r="L1879">
        <v>1158.8800000000001</v>
      </c>
      <c r="M1879" t="s">
        <v>27</v>
      </c>
      <c r="N1879">
        <v>1</v>
      </c>
      <c r="O1879">
        <v>1254</v>
      </c>
      <c r="P1879">
        <v>1081</v>
      </c>
      <c r="Q1879">
        <v>0</v>
      </c>
      <c r="R1879">
        <v>1081</v>
      </c>
    </row>
    <row r="1880" spans="1:18" x14ac:dyDescent="0.3">
      <c r="A1880" s="5">
        <v>45969</v>
      </c>
      <c r="B1880" t="s">
        <v>2750</v>
      </c>
      <c r="C1880">
        <v>29</v>
      </c>
      <c r="D1880">
        <v>36</v>
      </c>
      <c r="E1880" s="1">
        <v>1.0833333333333333</v>
      </c>
      <c r="F1880" t="s">
        <v>2751</v>
      </c>
      <c r="G1880">
        <v>0</v>
      </c>
      <c r="H1880">
        <v>1080.8966</v>
      </c>
      <c r="I1880">
        <v>2.5</v>
      </c>
      <c r="J1880">
        <v>1163.79</v>
      </c>
      <c r="K1880">
        <v>1.9580666999707901</v>
      </c>
      <c r="L1880">
        <v>1158.8800000000001</v>
      </c>
      <c r="M1880" t="s">
        <v>27</v>
      </c>
      <c r="N1880">
        <v>1</v>
      </c>
      <c r="O1880">
        <v>1281</v>
      </c>
      <c r="P1880">
        <v>1108</v>
      </c>
      <c r="Q1880">
        <v>0</v>
      </c>
      <c r="R1880">
        <v>1108</v>
      </c>
    </row>
    <row r="1881" spans="1:18" x14ac:dyDescent="0.3">
      <c r="A1881" s="5">
        <v>45969</v>
      </c>
      <c r="B1881" t="s">
        <v>2752</v>
      </c>
      <c r="C1881">
        <v>36</v>
      </c>
      <c r="D1881">
        <v>36</v>
      </c>
      <c r="E1881" s="1">
        <v>1.9652777777777777</v>
      </c>
      <c r="F1881" t="s">
        <v>2753</v>
      </c>
      <c r="G1881">
        <v>0</v>
      </c>
      <c r="H1881">
        <v>1080.7003999999999</v>
      </c>
      <c r="I1881">
        <v>2.5</v>
      </c>
      <c r="J1881">
        <v>1163.79</v>
      </c>
      <c r="K1881">
        <v>1.9580666999707901</v>
      </c>
      <c r="L1881">
        <v>1158.8800000000001</v>
      </c>
      <c r="M1881" t="s">
        <v>27</v>
      </c>
      <c r="N1881">
        <v>1</v>
      </c>
      <c r="O1881">
        <v>1281</v>
      </c>
      <c r="P1881">
        <v>1108</v>
      </c>
      <c r="Q1881">
        <v>0</v>
      </c>
      <c r="R1881">
        <v>1108</v>
      </c>
    </row>
    <row r="1882" spans="1:18" x14ac:dyDescent="0.3">
      <c r="A1882" s="5">
        <v>45969</v>
      </c>
      <c r="B1882" t="s">
        <v>2754</v>
      </c>
      <c r="C1882">
        <v>4</v>
      </c>
      <c r="D1882">
        <v>36</v>
      </c>
      <c r="E1882" s="1">
        <v>1.25</v>
      </c>
      <c r="F1882" t="s">
        <v>2755</v>
      </c>
      <c r="G1882">
        <v>0</v>
      </c>
      <c r="H1882">
        <v>1081.3433</v>
      </c>
      <c r="I1882">
        <v>2.5</v>
      </c>
      <c r="J1882">
        <v>1163.79</v>
      </c>
      <c r="K1882">
        <v>1.9580666999707901</v>
      </c>
      <c r="L1882">
        <v>1158.8800000000001</v>
      </c>
      <c r="M1882" t="s">
        <v>27</v>
      </c>
      <c r="N1882">
        <v>1</v>
      </c>
      <c r="O1882">
        <v>1281</v>
      </c>
      <c r="P1882">
        <v>1108</v>
      </c>
      <c r="Q1882">
        <v>0</v>
      </c>
      <c r="R1882">
        <v>1108</v>
      </c>
    </row>
    <row r="1883" spans="1:18" x14ac:dyDescent="0.3">
      <c r="A1883" s="5">
        <v>45969</v>
      </c>
      <c r="B1883" t="s">
        <v>2756</v>
      </c>
      <c r="C1883">
        <v>18</v>
      </c>
      <c r="D1883">
        <v>36</v>
      </c>
      <c r="E1883" s="1">
        <v>1.9993055555555554</v>
      </c>
      <c r="F1883" t="s">
        <v>2757</v>
      </c>
      <c r="G1883">
        <v>0</v>
      </c>
      <c r="H1883">
        <v>1080.9948999999999</v>
      </c>
      <c r="I1883">
        <v>2.5</v>
      </c>
      <c r="J1883">
        <v>1163.79</v>
      </c>
      <c r="K1883">
        <v>1.9580666999707901</v>
      </c>
      <c r="L1883">
        <v>1097.8399999999999</v>
      </c>
      <c r="M1883" t="s">
        <v>27</v>
      </c>
      <c r="N1883">
        <v>1</v>
      </c>
      <c r="O1883">
        <v>1281</v>
      </c>
      <c r="P1883">
        <v>1108</v>
      </c>
      <c r="Q1883">
        <v>0</v>
      </c>
      <c r="R1883">
        <v>1108</v>
      </c>
    </row>
    <row r="1884" spans="1:18" x14ac:dyDescent="0.3">
      <c r="A1884" s="5">
        <v>45969</v>
      </c>
      <c r="B1884" t="s">
        <v>393</v>
      </c>
      <c r="C1884">
        <v>13</v>
      </c>
      <c r="D1884">
        <v>36</v>
      </c>
      <c r="E1884" s="1">
        <v>1.0833333333333333</v>
      </c>
      <c r="F1884" t="s">
        <v>394</v>
      </c>
      <c r="G1884">
        <v>0</v>
      </c>
      <c r="H1884">
        <v>1081.4768999999999</v>
      </c>
      <c r="I1884">
        <v>2.5</v>
      </c>
      <c r="J1884">
        <v>1163.79</v>
      </c>
      <c r="K1884">
        <v>1.9580666999707901</v>
      </c>
      <c r="L1884">
        <v>1158.8800000000001</v>
      </c>
      <c r="M1884" t="s">
        <v>27</v>
      </c>
      <c r="N1884">
        <v>1</v>
      </c>
      <c r="O1884">
        <v>1282</v>
      </c>
      <c r="P1884">
        <v>1109</v>
      </c>
      <c r="Q1884">
        <v>0</v>
      </c>
      <c r="R1884">
        <v>1109</v>
      </c>
    </row>
    <row r="1885" spans="1:18" x14ac:dyDescent="0.3">
      <c r="A1885" s="5">
        <v>45969</v>
      </c>
      <c r="B1885" t="s">
        <v>2758</v>
      </c>
      <c r="C1885">
        <v>28</v>
      </c>
      <c r="D1885">
        <v>36</v>
      </c>
      <c r="E1885" s="1">
        <v>1.0833333333333333</v>
      </c>
      <c r="F1885" t="s">
        <v>2759</v>
      </c>
      <c r="G1885">
        <v>4</v>
      </c>
      <c r="H1885">
        <v>1081.0621000000001</v>
      </c>
      <c r="I1885">
        <v>7</v>
      </c>
      <c r="J1885">
        <v>1163.79</v>
      </c>
      <c r="K1885">
        <v>5.4825867599182097</v>
      </c>
      <c r="L1885">
        <v>1097.8399999999999</v>
      </c>
      <c r="M1885" t="s">
        <v>27</v>
      </c>
      <c r="N1885">
        <v>1</v>
      </c>
      <c r="O1885">
        <v>1330</v>
      </c>
      <c r="P1885">
        <v>1157</v>
      </c>
      <c r="Q1885">
        <v>0</v>
      </c>
      <c r="R1885">
        <v>1157</v>
      </c>
    </row>
    <row r="1886" spans="1:18" x14ac:dyDescent="0.3">
      <c r="A1886" s="5">
        <v>45969</v>
      </c>
      <c r="B1886" t="s">
        <v>2760</v>
      </c>
      <c r="C1886">
        <v>29</v>
      </c>
      <c r="D1886">
        <v>36</v>
      </c>
      <c r="E1886" s="1">
        <v>1.0833333333333333</v>
      </c>
      <c r="F1886" t="s">
        <v>2761</v>
      </c>
      <c r="G1886">
        <v>4</v>
      </c>
      <c r="H1886">
        <v>1081.0442</v>
      </c>
      <c r="I1886">
        <v>7</v>
      </c>
      <c r="J1886">
        <v>1163.79</v>
      </c>
      <c r="K1886">
        <v>5.4825867599182097</v>
      </c>
      <c r="L1886">
        <v>1097.8399999999999</v>
      </c>
      <c r="M1886" t="s">
        <v>27</v>
      </c>
      <c r="N1886">
        <v>1</v>
      </c>
      <c r="O1886">
        <v>1330</v>
      </c>
      <c r="P1886">
        <v>1157</v>
      </c>
      <c r="Q1886">
        <v>0</v>
      </c>
      <c r="R1886">
        <v>1157</v>
      </c>
    </row>
    <row r="1887" spans="1:18" x14ac:dyDescent="0.3">
      <c r="A1887" s="5">
        <v>45969</v>
      </c>
      <c r="B1887" t="s">
        <v>2762</v>
      </c>
      <c r="C1887">
        <v>30</v>
      </c>
      <c r="D1887">
        <v>36</v>
      </c>
      <c r="E1887" s="1">
        <v>1.9791666666666665</v>
      </c>
      <c r="F1887" t="s">
        <v>2763</v>
      </c>
      <c r="G1887">
        <v>1</v>
      </c>
      <c r="H1887">
        <v>1080.5891999999999</v>
      </c>
      <c r="I1887">
        <v>8.5</v>
      </c>
      <c r="J1887">
        <v>1163.79</v>
      </c>
      <c r="K1887">
        <v>6.6574267799006801</v>
      </c>
      <c r="L1887">
        <v>1219.83</v>
      </c>
      <c r="M1887" t="s">
        <v>27</v>
      </c>
      <c r="N1887">
        <v>1</v>
      </c>
      <c r="O1887">
        <v>1345</v>
      </c>
      <c r="P1887">
        <v>1172</v>
      </c>
      <c r="Q1887">
        <v>0</v>
      </c>
      <c r="R1887">
        <v>1172</v>
      </c>
    </row>
    <row r="1888" spans="1:18" x14ac:dyDescent="0.3">
      <c r="A1888" s="5">
        <v>45969</v>
      </c>
      <c r="B1888" t="s">
        <v>2764</v>
      </c>
      <c r="C1888">
        <v>31</v>
      </c>
      <c r="D1888">
        <v>36</v>
      </c>
      <c r="E1888" s="1">
        <v>1.9791666666666665</v>
      </c>
      <c r="F1888" t="s">
        <v>2765</v>
      </c>
      <c r="G1888">
        <v>1</v>
      </c>
      <c r="H1888">
        <v>1080.5712000000001</v>
      </c>
      <c r="I1888">
        <v>8.5</v>
      </c>
      <c r="J1888">
        <v>1163.79</v>
      </c>
      <c r="K1888">
        <v>6.6574267799006801</v>
      </c>
      <c r="L1888">
        <v>1219.83</v>
      </c>
      <c r="M1888" t="s">
        <v>27</v>
      </c>
      <c r="N1888">
        <v>1</v>
      </c>
      <c r="O1888">
        <v>1345</v>
      </c>
      <c r="P1888">
        <v>1172</v>
      </c>
      <c r="Q1888">
        <v>0</v>
      </c>
      <c r="R1888">
        <v>1172</v>
      </c>
    </row>
    <row r="1889" spans="1:18" x14ac:dyDescent="0.3">
      <c r="A1889" s="5">
        <v>45969</v>
      </c>
      <c r="B1889" t="s">
        <v>2766</v>
      </c>
      <c r="C1889">
        <v>5</v>
      </c>
      <c r="D1889">
        <v>36</v>
      </c>
      <c r="E1889" s="1">
        <v>1.9652777777777777</v>
      </c>
      <c r="F1889" t="s">
        <v>2767</v>
      </c>
      <c r="G1889">
        <v>5</v>
      </c>
      <c r="H1889">
        <v>1081.1709000000001</v>
      </c>
      <c r="I1889">
        <v>0</v>
      </c>
      <c r="J1889">
        <v>1163.79</v>
      </c>
      <c r="K1889">
        <v>0</v>
      </c>
      <c r="L1889">
        <v>1158.8800000000001</v>
      </c>
      <c r="M1889" t="s">
        <v>27</v>
      </c>
      <c r="N1889">
        <v>1</v>
      </c>
      <c r="O1889">
        <v>1254</v>
      </c>
      <c r="P1889">
        <v>1081</v>
      </c>
      <c r="Q1889">
        <v>0</v>
      </c>
      <c r="R1889">
        <v>1081</v>
      </c>
    </row>
    <row r="1890" spans="1:18" x14ac:dyDescent="0.3">
      <c r="A1890" s="5">
        <v>45969</v>
      </c>
      <c r="B1890" t="s">
        <v>2768</v>
      </c>
      <c r="C1890">
        <v>21</v>
      </c>
      <c r="D1890">
        <v>36</v>
      </c>
      <c r="E1890" s="1">
        <v>1.9791666666666665</v>
      </c>
      <c r="F1890" t="s">
        <v>2769</v>
      </c>
      <c r="G1890">
        <v>0</v>
      </c>
      <c r="H1890">
        <v>1080.9393</v>
      </c>
      <c r="I1890">
        <v>2.5</v>
      </c>
      <c r="J1890">
        <v>1163.79</v>
      </c>
      <c r="K1890">
        <v>1.9580666999707901</v>
      </c>
      <c r="L1890">
        <v>1158.8800000000001</v>
      </c>
      <c r="M1890" t="s">
        <v>27</v>
      </c>
      <c r="N1890">
        <v>1</v>
      </c>
      <c r="O1890">
        <v>1281</v>
      </c>
      <c r="P1890">
        <v>1108</v>
      </c>
      <c r="Q1890">
        <v>0</v>
      </c>
      <c r="R1890">
        <v>1108</v>
      </c>
    </row>
    <row r="1891" spans="1:18" x14ac:dyDescent="0.3">
      <c r="A1891" s="5">
        <v>45969</v>
      </c>
      <c r="B1891" t="s">
        <v>2770</v>
      </c>
      <c r="C1891">
        <v>22</v>
      </c>
      <c r="D1891">
        <v>36</v>
      </c>
      <c r="E1891" s="1">
        <v>1.9652777777777777</v>
      </c>
      <c r="F1891" t="s">
        <v>2771</v>
      </c>
      <c r="G1891">
        <v>5</v>
      </c>
      <c r="H1891">
        <v>1080.7888</v>
      </c>
      <c r="I1891">
        <v>0</v>
      </c>
      <c r="J1891">
        <v>1163.79</v>
      </c>
      <c r="K1891">
        <v>0</v>
      </c>
      <c r="L1891">
        <v>1158.8800000000001</v>
      </c>
      <c r="M1891" t="s">
        <v>27</v>
      </c>
      <c r="N1891">
        <v>1</v>
      </c>
      <c r="O1891">
        <v>1254</v>
      </c>
      <c r="P1891">
        <v>1081</v>
      </c>
      <c r="Q1891">
        <v>0</v>
      </c>
      <c r="R1891">
        <v>1081</v>
      </c>
    </row>
    <row r="1892" spans="1:18" x14ac:dyDescent="0.3">
      <c r="A1892" s="5">
        <v>45969</v>
      </c>
      <c r="B1892" t="s">
        <v>2772</v>
      </c>
      <c r="C1892">
        <v>5</v>
      </c>
      <c r="D1892">
        <v>36</v>
      </c>
      <c r="E1892" s="1">
        <v>1.4583333333333333</v>
      </c>
      <c r="F1892" t="s">
        <v>2773</v>
      </c>
      <c r="G1892">
        <v>0</v>
      </c>
      <c r="H1892">
        <v>1081.5486000000001</v>
      </c>
      <c r="I1892">
        <v>2.5</v>
      </c>
      <c r="J1892">
        <v>1163.79</v>
      </c>
      <c r="K1892">
        <v>1.9580666999707901</v>
      </c>
      <c r="L1892">
        <v>1158.8800000000001</v>
      </c>
      <c r="M1892" t="s">
        <v>27</v>
      </c>
      <c r="N1892">
        <v>1</v>
      </c>
      <c r="O1892">
        <v>1282</v>
      </c>
      <c r="P1892">
        <v>1109</v>
      </c>
      <c r="Q1892">
        <v>0</v>
      </c>
      <c r="R1892">
        <v>1109</v>
      </c>
    </row>
    <row r="1893" spans="1:18" x14ac:dyDescent="0.3">
      <c r="A1893" s="5">
        <v>45969</v>
      </c>
      <c r="B1893" t="s">
        <v>2772</v>
      </c>
      <c r="C1893">
        <v>5</v>
      </c>
      <c r="D1893">
        <v>36</v>
      </c>
      <c r="E1893" s="1">
        <v>1.4583333333333333</v>
      </c>
      <c r="F1893" t="s">
        <v>2773</v>
      </c>
      <c r="G1893">
        <v>0</v>
      </c>
      <c r="H1893">
        <v>1081.5486000000001</v>
      </c>
      <c r="I1893">
        <v>2.5</v>
      </c>
      <c r="J1893">
        <v>1163.79</v>
      </c>
      <c r="K1893">
        <v>1.9580666999707901</v>
      </c>
      <c r="L1893">
        <v>1158.8800000000001</v>
      </c>
      <c r="M1893" t="s">
        <v>27</v>
      </c>
      <c r="N1893">
        <v>1</v>
      </c>
      <c r="O1893">
        <v>1282</v>
      </c>
      <c r="P1893">
        <v>1109</v>
      </c>
      <c r="Q1893">
        <v>0</v>
      </c>
      <c r="R1893">
        <v>1109</v>
      </c>
    </row>
    <row r="1894" spans="1:18" x14ac:dyDescent="0.3">
      <c r="A1894" s="5">
        <v>45969</v>
      </c>
      <c r="B1894" t="s">
        <v>2772</v>
      </c>
      <c r="C1894">
        <v>5</v>
      </c>
      <c r="D1894">
        <v>36</v>
      </c>
      <c r="E1894" s="1">
        <v>1.4583333333333333</v>
      </c>
      <c r="F1894" t="s">
        <v>2773</v>
      </c>
      <c r="G1894">
        <v>0</v>
      </c>
      <c r="H1894">
        <v>1081.5486000000001</v>
      </c>
      <c r="I1894">
        <v>2.5</v>
      </c>
      <c r="J1894">
        <v>1163.79</v>
      </c>
      <c r="K1894">
        <v>1.9580666999707901</v>
      </c>
      <c r="L1894">
        <v>1158.8800000000001</v>
      </c>
      <c r="M1894" t="s">
        <v>27</v>
      </c>
      <c r="N1894">
        <v>1</v>
      </c>
      <c r="O1894">
        <v>1282</v>
      </c>
      <c r="P1894">
        <v>1109</v>
      </c>
      <c r="Q1894">
        <v>0</v>
      </c>
      <c r="R1894">
        <v>1109</v>
      </c>
    </row>
    <row r="1895" spans="1:18" x14ac:dyDescent="0.3">
      <c r="A1895" s="5">
        <v>45969</v>
      </c>
      <c r="B1895" t="s">
        <v>2774</v>
      </c>
      <c r="C1895">
        <v>4</v>
      </c>
      <c r="D1895">
        <v>36</v>
      </c>
      <c r="E1895" s="1">
        <v>1.4583333333333333</v>
      </c>
      <c r="F1895" t="s">
        <v>2773</v>
      </c>
      <c r="G1895">
        <v>0</v>
      </c>
      <c r="H1895">
        <v>1081.4340999999999</v>
      </c>
      <c r="I1895">
        <v>2.5</v>
      </c>
      <c r="J1895">
        <v>1163.79</v>
      </c>
      <c r="K1895">
        <v>1.9580666999707901</v>
      </c>
      <c r="L1895">
        <v>1158.8800000000001</v>
      </c>
      <c r="M1895" t="s">
        <v>27</v>
      </c>
      <c r="N1895">
        <v>1</v>
      </c>
      <c r="O1895">
        <v>1281</v>
      </c>
      <c r="P1895">
        <v>1108</v>
      </c>
      <c r="Q1895">
        <v>0</v>
      </c>
      <c r="R1895">
        <v>1108</v>
      </c>
    </row>
    <row r="1896" spans="1:18" x14ac:dyDescent="0.3">
      <c r="A1896" s="5">
        <v>45969</v>
      </c>
      <c r="B1896" t="s">
        <v>2774</v>
      </c>
      <c r="C1896">
        <v>4</v>
      </c>
      <c r="D1896">
        <v>36</v>
      </c>
      <c r="E1896" s="1">
        <v>1.4583333333333333</v>
      </c>
      <c r="F1896" t="s">
        <v>2773</v>
      </c>
      <c r="G1896">
        <v>0</v>
      </c>
      <c r="H1896">
        <v>1081.4340999999999</v>
      </c>
      <c r="I1896">
        <v>2.5</v>
      </c>
      <c r="J1896">
        <v>1163.79</v>
      </c>
      <c r="K1896">
        <v>1.9580666999707901</v>
      </c>
      <c r="L1896">
        <v>1158.8800000000001</v>
      </c>
      <c r="M1896" t="s">
        <v>27</v>
      </c>
      <c r="N1896">
        <v>1</v>
      </c>
      <c r="O1896">
        <v>1281</v>
      </c>
      <c r="P1896">
        <v>1108</v>
      </c>
      <c r="Q1896">
        <v>0</v>
      </c>
      <c r="R1896">
        <v>1108</v>
      </c>
    </row>
    <row r="1897" spans="1:18" x14ac:dyDescent="0.3">
      <c r="A1897" s="5">
        <v>45969</v>
      </c>
      <c r="B1897" t="s">
        <v>2774</v>
      </c>
      <c r="C1897">
        <v>4</v>
      </c>
      <c r="D1897">
        <v>36</v>
      </c>
      <c r="E1897" s="1">
        <v>1.4583333333333333</v>
      </c>
      <c r="F1897" t="s">
        <v>2773</v>
      </c>
      <c r="G1897">
        <v>0</v>
      </c>
      <c r="H1897">
        <v>1081.4340999999999</v>
      </c>
      <c r="I1897">
        <v>2.5</v>
      </c>
      <c r="J1897">
        <v>1163.79</v>
      </c>
      <c r="K1897">
        <v>1.9580666999707901</v>
      </c>
      <c r="L1897">
        <v>1158.8800000000001</v>
      </c>
      <c r="M1897" t="s">
        <v>27</v>
      </c>
      <c r="N1897">
        <v>1</v>
      </c>
      <c r="O1897">
        <v>1281</v>
      </c>
      <c r="P1897">
        <v>1108</v>
      </c>
      <c r="Q1897">
        <v>0</v>
      </c>
      <c r="R1897">
        <v>1108</v>
      </c>
    </row>
    <row r="1898" spans="1:18" x14ac:dyDescent="0.3">
      <c r="A1898" s="5">
        <v>45969</v>
      </c>
      <c r="B1898" t="s">
        <v>2775</v>
      </c>
      <c r="C1898">
        <v>6</v>
      </c>
      <c r="D1898">
        <v>36</v>
      </c>
      <c r="E1898" s="1">
        <v>1.4583333333333333</v>
      </c>
      <c r="F1898" t="s">
        <v>2773</v>
      </c>
      <c r="G1898">
        <v>0</v>
      </c>
      <c r="H1898">
        <v>1081.5305000000001</v>
      </c>
      <c r="I1898">
        <v>2.5</v>
      </c>
      <c r="J1898">
        <v>1163.79</v>
      </c>
      <c r="K1898">
        <v>1.9580666999707901</v>
      </c>
      <c r="L1898">
        <v>1158.8800000000001</v>
      </c>
      <c r="M1898" t="s">
        <v>27</v>
      </c>
      <c r="N1898">
        <v>1</v>
      </c>
      <c r="O1898">
        <v>1282</v>
      </c>
      <c r="P1898">
        <v>1109</v>
      </c>
      <c r="Q1898">
        <v>0</v>
      </c>
      <c r="R1898">
        <v>1109</v>
      </c>
    </row>
    <row r="1899" spans="1:18" x14ac:dyDescent="0.3">
      <c r="A1899" s="5">
        <v>45969</v>
      </c>
      <c r="B1899" t="s">
        <v>2775</v>
      </c>
      <c r="C1899">
        <v>6</v>
      </c>
      <c r="D1899">
        <v>36</v>
      </c>
      <c r="E1899" s="1">
        <v>1.4583333333333333</v>
      </c>
      <c r="F1899" t="s">
        <v>2773</v>
      </c>
      <c r="G1899">
        <v>0</v>
      </c>
      <c r="H1899">
        <v>1081.5305000000001</v>
      </c>
      <c r="I1899">
        <v>2.5</v>
      </c>
      <c r="J1899">
        <v>1163.79</v>
      </c>
      <c r="K1899">
        <v>1.9580666999707901</v>
      </c>
      <c r="L1899">
        <v>1158.8800000000001</v>
      </c>
      <c r="M1899" t="s">
        <v>27</v>
      </c>
      <c r="N1899">
        <v>1</v>
      </c>
      <c r="O1899">
        <v>1282</v>
      </c>
      <c r="P1899">
        <v>1109</v>
      </c>
      <c r="Q1899">
        <v>0</v>
      </c>
      <c r="R1899">
        <v>1109</v>
      </c>
    </row>
    <row r="1900" spans="1:18" x14ac:dyDescent="0.3">
      <c r="A1900" s="5">
        <v>45969</v>
      </c>
      <c r="B1900" t="s">
        <v>2775</v>
      </c>
      <c r="C1900">
        <v>6</v>
      </c>
      <c r="D1900">
        <v>36</v>
      </c>
      <c r="E1900" s="1">
        <v>1.4583333333333333</v>
      </c>
      <c r="F1900" t="s">
        <v>2773</v>
      </c>
      <c r="G1900">
        <v>0</v>
      </c>
      <c r="H1900">
        <v>1081.5305000000001</v>
      </c>
      <c r="I1900">
        <v>2.5</v>
      </c>
      <c r="J1900">
        <v>1163.79</v>
      </c>
      <c r="K1900">
        <v>1.9580666999707901</v>
      </c>
      <c r="L1900">
        <v>1158.8800000000001</v>
      </c>
      <c r="M1900" t="s">
        <v>27</v>
      </c>
      <c r="N1900">
        <v>1</v>
      </c>
      <c r="O1900">
        <v>1282</v>
      </c>
      <c r="P1900">
        <v>1109</v>
      </c>
      <c r="Q1900">
        <v>0</v>
      </c>
      <c r="R1900">
        <v>1109</v>
      </c>
    </row>
    <row r="1901" spans="1:18" x14ac:dyDescent="0.3">
      <c r="A1901" s="5">
        <v>45969</v>
      </c>
      <c r="B1901" t="s">
        <v>2776</v>
      </c>
      <c r="C1901">
        <v>6</v>
      </c>
      <c r="D1901">
        <v>36</v>
      </c>
      <c r="E1901" s="1">
        <v>1.9993055555555554</v>
      </c>
      <c r="F1901" t="s">
        <v>2777</v>
      </c>
      <c r="G1901">
        <v>5</v>
      </c>
      <c r="H1901">
        <v>1081.1523</v>
      </c>
      <c r="I1901">
        <v>0</v>
      </c>
      <c r="J1901">
        <v>1163.79</v>
      </c>
      <c r="K1901">
        <v>0</v>
      </c>
      <c r="L1901">
        <v>1158.8800000000001</v>
      </c>
      <c r="M1901" t="s">
        <v>27</v>
      </c>
      <c r="N1901">
        <v>1</v>
      </c>
      <c r="O1901">
        <v>1254</v>
      </c>
      <c r="P1901">
        <v>1081</v>
      </c>
      <c r="Q1901">
        <v>0</v>
      </c>
      <c r="R1901">
        <v>1081</v>
      </c>
    </row>
    <row r="1902" spans="1:18" x14ac:dyDescent="0.3">
      <c r="A1902" s="5">
        <v>45969</v>
      </c>
      <c r="B1902" t="s">
        <v>2778</v>
      </c>
      <c r="C1902">
        <v>12</v>
      </c>
      <c r="D1902">
        <v>36</v>
      </c>
      <c r="E1902" s="1">
        <v>1.9652777777777777</v>
      </c>
      <c r="F1902" t="s">
        <v>2779</v>
      </c>
      <c r="G1902">
        <v>3</v>
      </c>
      <c r="H1902">
        <v>1081.0427</v>
      </c>
      <c r="I1902">
        <v>10</v>
      </c>
      <c r="J1902">
        <v>1163.79</v>
      </c>
      <c r="K1902">
        <v>7.8322667998831603</v>
      </c>
      <c r="L1902">
        <v>609.91</v>
      </c>
      <c r="M1902" t="s">
        <v>20</v>
      </c>
      <c r="N1902">
        <v>1</v>
      </c>
      <c r="O1902">
        <v>1362</v>
      </c>
      <c r="P1902">
        <v>1189</v>
      </c>
      <c r="Q1902">
        <v>0.5</v>
      </c>
      <c r="R1902">
        <v>594.5</v>
      </c>
    </row>
    <row r="1903" spans="1:18" x14ac:dyDescent="0.3">
      <c r="A1903" s="5">
        <v>45969</v>
      </c>
      <c r="B1903" t="s">
        <v>2780</v>
      </c>
      <c r="C1903">
        <v>36</v>
      </c>
      <c r="D1903">
        <v>36</v>
      </c>
      <c r="E1903" s="1">
        <v>1.0833333333333333</v>
      </c>
      <c r="F1903" t="s">
        <v>2781</v>
      </c>
      <c r="G1903">
        <v>0</v>
      </c>
      <c r="H1903">
        <v>1080.7686000000001</v>
      </c>
      <c r="I1903">
        <v>2.5</v>
      </c>
      <c r="J1903">
        <v>1163.79</v>
      </c>
      <c r="K1903">
        <v>1.9580666999707901</v>
      </c>
      <c r="L1903">
        <v>1158.8800000000001</v>
      </c>
      <c r="M1903" t="s">
        <v>27</v>
      </c>
      <c r="N1903">
        <v>1</v>
      </c>
      <c r="O1903">
        <v>1281</v>
      </c>
      <c r="P1903">
        <v>1108</v>
      </c>
      <c r="Q1903">
        <v>0</v>
      </c>
      <c r="R1903">
        <v>1108</v>
      </c>
    </row>
    <row r="1904" spans="1:18" x14ac:dyDescent="0.3">
      <c r="A1904" s="5">
        <v>45969</v>
      </c>
      <c r="B1904" t="s">
        <v>2782</v>
      </c>
      <c r="C1904">
        <v>33</v>
      </c>
      <c r="D1904">
        <v>36</v>
      </c>
      <c r="E1904" s="1">
        <v>1.9791666666666665</v>
      </c>
      <c r="F1904" t="s">
        <v>2783</v>
      </c>
      <c r="G1904">
        <v>3</v>
      </c>
      <c r="H1904">
        <v>1080.5463999999999</v>
      </c>
      <c r="I1904">
        <v>10</v>
      </c>
      <c r="J1904">
        <v>1163.79</v>
      </c>
      <c r="K1904">
        <v>7.8322667998831603</v>
      </c>
      <c r="L1904">
        <v>609.91</v>
      </c>
      <c r="M1904" t="s">
        <v>20</v>
      </c>
      <c r="N1904">
        <v>1</v>
      </c>
      <c r="O1904">
        <v>1361</v>
      </c>
      <c r="P1904">
        <v>1189</v>
      </c>
      <c r="Q1904">
        <v>0.5</v>
      </c>
      <c r="R1904">
        <v>594.5</v>
      </c>
    </row>
    <row r="1905" spans="1:18" x14ac:dyDescent="0.3">
      <c r="A1905" s="5">
        <v>45969</v>
      </c>
      <c r="B1905" t="s">
        <v>2784</v>
      </c>
      <c r="C1905">
        <v>34</v>
      </c>
      <c r="D1905">
        <v>36</v>
      </c>
      <c r="E1905" s="1">
        <v>1.9791666666666665</v>
      </c>
      <c r="F1905" t="s">
        <v>2785</v>
      </c>
      <c r="G1905">
        <v>3</v>
      </c>
      <c r="H1905">
        <v>1080.5282999999999</v>
      </c>
      <c r="I1905">
        <v>10</v>
      </c>
      <c r="J1905">
        <v>1163.79</v>
      </c>
      <c r="K1905">
        <v>7.8322667998831603</v>
      </c>
      <c r="L1905">
        <v>609.91</v>
      </c>
      <c r="M1905" t="s">
        <v>20</v>
      </c>
      <c r="N1905">
        <v>1</v>
      </c>
      <c r="O1905">
        <v>1361</v>
      </c>
      <c r="P1905">
        <v>1189</v>
      </c>
      <c r="Q1905">
        <v>0.5</v>
      </c>
      <c r="R1905">
        <v>594.5</v>
      </c>
    </row>
    <row r="1906" spans="1:18" x14ac:dyDescent="0.3">
      <c r="A1906" s="5">
        <v>45969</v>
      </c>
      <c r="B1906" t="s">
        <v>2786</v>
      </c>
      <c r="C1906">
        <v>1</v>
      </c>
      <c r="D1906">
        <v>36</v>
      </c>
      <c r="E1906" s="1">
        <v>1.9791666666666665</v>
      </c>
      <c r="F1906" t="s">
        <v>2787</v>
      </c>
      <c r="G1906">
        <v>1</v>
      </c>
      <c r="H1906">
        <v>1081.2406000000001</v>
      </c>
      <c r="I1906">
        <v>8.5</v>
      </c>
      <c r="J1906">
        <v>1163.79</v>
      </c>
      <c r="K1906">
        <v>6.6574267799006801</v>
      </c>
      <c r="L1906">
        <v>1219.83</v>
      </c>
      <c r="M1906" t="s">
        <v>27</v>
      </c>
      <c r="N1906">
        <v>1</v>
      </c>
      <c r="O1906">
        <v>1346</v>
      </c>
      <c r="P1906">
        <v>1173</v>
      </c>
      <c r="Q1906">
        <v>0</v>
      </c>
      <c r="R1906">
        <v>1173</v>
      </c>
    </row>
    <row r="1907" spans="1:18" x14ac:dyDescent="0.3">
      <c r="A1907" s="5">
        <v>45969</v>
      </c>
      <c r="B1907" t="s">
        <v>2788</v>
      </c>
      <c r="C1907">
        <v>16</v>
      </c>
      <c r="D1907">
        <v>36</v>
      </c>
      <c r="E1907" s="1">
        <v>1.9791666666666665</v>
      </c>
      <c r="F1907" t="s">
        <v>2789</v>
      </c>
      <c r="G1907">
        <v>1</v>
      </c>
      <c r="H1907">
        <v>1080.9707000000001</v>
      </c>
      <c r="I1907">
        <v>8.5</v>
      </c>
      <c r="J1907">
        <v>1163.79</v>
      </c>
      <c r="K1907">
        <v>6.6574267799006801</v>
      </c>
      <c r="L1907">
        <v>1219.83</v>
      </c>
      <c r="M1907" t="s">
        <v>27</v>
      </c>
      <c r="N1907">
        <v>1</v>
      </c>
      <c r="O1907">
        <v>1346</v>
      </c>
      <c r="P1907">
        <v>1173</v>
      </c>
      <c r="Q1907">
        <v>0</v>
      </c>
      <c r="R1907">
        <v>1173</v>
      </c>
    </row>
    <row r="1908" spans="1:18" x14ac:dyDescent="0.3">
      <c r="A1908" s="5">
        <v>45969</v>
      </c>
      <c r="B1908" t="s">
        <v>2790</v>
      </c>
      <c r="C1908">
        <v>17</v>
      </c>
      <c r="D1908">
        <v>36</v>
      </c>
      <c r="E1908" s="1">
        <v>1.9791666666666665</v>
      </c>
      <c r="F1908" t="s">
        <v>2791</v>
      </c>
      <c r="G1908">
        <v>1</v>
      </c>
      <c r="H1908">
        <v>1080.9528</v>
      </c>
      <c r="I1908">
        <v>8.5</v>
      </c>
      <c r="J1908">
        <v>1163.79</v>
      </c>
      <c r="K1908">
        <v>6.6574267799006801</v>
      </c>
      <c r="L1908">
        <v>1219.83</v>
      </c>
      <c r="M1908" t="s">
        <v>27</v>
      </c>
      <c r="N1908">
        <v>1</v>
      </c>
      <c r="O1908">
        <v>1346</v>
      </c>
      <c r="P1908">
        <v>1173</v>
      </c>
      <c r="Q1908">
        <v>0</v>
      </c>
      <c r="R1908">
        <v>1173</v>
      </c>
    </row>
    <row r="1909" spans="1:18" x14ac:dyDescent="0.3">
      <c r="A1909" s="5">
        <v>45969</v>
      </c>
      <c r="B1909" t="s">
        <v>2792</v>
      </c>
      <c r="C1909">
        <v>18</v>
      </c>
      <c r="D1909">
        <v>36</v>
      </c>
      <c r="E1909" s="1">
        <v>1.9791666666666665</v>
      </c>
      <c r="F1909" t="s">
        <v>2793</v>
      </c>
      <c r="G1909">
        <v>1</v>
      </c>
      <c r="H1909">
        <v>1080.9348</v>
      </c>
      <c r="I1909">
        <v>8.5</v>
      </c>
      <c r="J1909">
        <v>1163.79</v>
      </c>
      <c r="K1909">
        <v>6.6574267799006801</v>
      </c>
      <c r="L1909">
        <v>1219.83</v>
      </c>
      <c r="M1909" t="s">
        <v>27</v>
      </c>
      <c r="N1909">
        <v>1</v>
      </c>
      <c r="O1909">
        <v>1346</v>
      </c>
      <c r="P1909">
        <v>1173</v>
      </c>
      <c r="Q1909">
        <v>0</v>
      </c>
      <c r="R1909">
        <v>1173</v>
      </c>
    </row>
    <row r="1910" spans="1:18" x14ac:dyDescent="0.3">
      <c r="A1910" s="5">
        <v>45969</v>
      </c>
      <c r="B1910" t="s">
        <v>2794</v>
      </c>
      <c r="C1910">
        <v>17</v>
      </c>
      <c r="D1910">
        <v>36</v>
      </c>
      <c r="E1910" s="1">
        <v>1.9791666666666665</v>
      </c>
      <c r="F1910" t="s">
        <v>2795</v>
      </c>
      <c r="G1910">
        <v>5</v>
      </c>
      <c r="H1910">
        <v>1081.0103999999999</v>
      </c>
      <c r="I1910">
        <v>0</v>
      </c>
      <c r="J1910">
        <v>1163.79</v>
      </c>
      <c r="K1910">
        <v>0</v>
      </c>
      <c r="L1910">
        <v>1158.8800000000001</v>
      </c>
      <c r="M1910" t="s">
        <v>27</v>
      </c>
      <c r="N1910">
        <v>1</v>
      </c>
      <c r="O1910">
        <v>1254</v>
      </c>
      <c r="P1910">
        <v>1081</v>
      </c>
      <c r="Q1910">
        <v>0</v>
      </c>
      <c r="R1910">
        <v>1081</v>
      </c>
    </row>
    <row r="1911" spans="1:18" x14ac:dyDescent="0.3">
      <c r="A1911" s="5">
        <v>45969</v>
      </c>
      <c r="B1911" t="s">
        <v>1644</v>
      </c>
      <c r="C1911">
        <v>14</v>
      </c>
      <c r="D1911">
        <v>36</v>
      </c>
      <c r="E1911" s="1">
        <v>1.9652777777777777</v>
      </c>
      <c r="F1911" t="s">
        <v>1645</v>
      </c>
      <c r="G1911">
        <v>1</v>
      </c>
      <c r="H1911">
        <v>1081.0062</v>
      </c>
      <c r="I1911">
        <v>8.5</v>
      </c>
      <c r="J1911">
        <v>1163.79</v>
      </c>
      <c r="K1911">
        <v>6.6574267799006801</v>
      </c>
      <c r="L1911">
        <v>1097.8399999999999</v>
      </c>
      <c r="M1911" t="s">
        <v>27</v>
      </c>
      <c r="N1911">
        <v>1</v>
      </c>
      <c r="O1911">
        <v>1346</v>
      </c>
      <c r="P1911">
        <v>1173</v>
      </c>
      <c r="Q1911">
        <v>0</v>
      </c>
      <c r="R1911">
        <v>1173</v>
      </c>
    </row>
    <row r="1912" spans="1:18" x14ac:dyDescent="0.3">
      <c r="A1912" s="5">
        <v>45969</v>
      </c>
      <c r="B1912" t="s">
        <v>2796</v>
      </c>
      <c r="C1912">
        <v>3</v>
      </c>
      <c r="D1912">
        <v>36</v>
      </c>
      <c r="E1912" s="1">
        <v>1.9791666666666665</v>
      </c>
      <c r="F1912" t="s">
        <v>2797</v>
      </c>
      <c r="G1912">
        <v>0</v>
      </c>
      <c r="H1912">
        <v>1081.2620999999999</v>
      </c>
      <c r="I1912">
        <v>2.5</v>
      </c>
      <c r="J1912">
        <v>1163.79</v>
      </c>
      <c r="K1912">
        <v>1.9580666999707901</v>
      </c>
      <c r="L1912">
        <v>1158.8800000000001</v>
      </c>
      <c r="M1912" t="s">
        <v>27</v>
      </c>
      <c r="N1912">
        <v>1</v>
      </c>
      <c r="O1912">
        <v>1281</v>
      </c>
      <c r="P1912">
        <v>1108</v>
      </c>
      <c r="Q1912">
        <v>0</v>
      </c>
      <c r="R1912">
        <v>1108</v>
      </c>
    </row>
    <row r="1913" spans="1:18" x14ac:dyDescent="0.3">
      <c r="A1913" s="5">
        <v>45969</v>
      </c>
      <c r="B1913" t="s">
        <v>2798</v>
      </c>
      <c r="C1913">
        <v>2</v>
      </c>
      <c r="D1913">
        <v>36</v>
      </c>
      <c r="E1913" s="1">
        <v>1.9791666666666665</v>
      </c>
      <c r="F1913" t="s">
        <v>2799</v>
      </c>
      <c r="G1913">
        <v>0</v>
      </c>
      <c r="H1913">
        <v>1081.2799</v>
      </c>
      <c r="I1913">
        <v>2.5</v>
      </c>
      <c r="J1913">
        <v>1163.79</v>
      </c>
      <c r="K1913">
        <v>1.9580666999707901</v>
      </c>
      <c r="L1913">
        <v>1158.8800000000001</v>
      </c>
      <c r="M1913" t="s">
        <v>27</v>
      </c>
      <c r="N1913">
        <v>1</v>
      </c>
      <c r="O1913">
        <v>1281</v>
      </c>
      <c r="P1913">
        <v>1108</v>
      </c>
      <c r="Q1913">
        <v>0</v>
      </c>
      <c r="R1913">
        <v>1108</v>
      </c>
    </row>
    <row r="1914" spans="1:18" x14ac:dyDescent="0.3">
      <c r="A1914" s="5">
        <v>45969</v>
      </c>
      <c r="B1914" t="s">
        <v>2800</v>
      </c>
      <c r="C1914">
        <v>4</v>
      </c>
      <c r="D1914">
        <v>36</v>
      </c>
      <c r="E1914" s="1">
        <v>1.9791666666666665</v>
      </c>
      <c r="F1914" t="s">
        <v>2801</v>
      </c>
      <c r="G1914">
        <v>1</v>
      </c>
      <c r="H1914">
        <v>1081.0676000000001</v>
      </c>
      <c r="I1914">
        <v>8.5</v>
      </c>
      <c r="J1914">
        <v>1163.79</v>
      </c>
      <c r="K1914">
        <v>6.6574267799006801</v>
      </c>
      <c r="L1914">
        <v>1219.83</v>
      </c>
      <c r="M1914" t="s">
        <v>27</v>
      </c>
      <c r="N1914">
        <v>1</v>
      </c>
      <c r="O1914">
        <v>1346</v>
      </c>
      <c r="P1914">
        <v>1173</v>
      </c>
      <c r="Q1914">
        <v>0</v>
      </c>
      <c r="R1914">
        <v>1173</v>
      </c>
    </row>
    <row r="1915" spans="1:18" x14ac:dyDescent="0.3">
      <c r="A1915" s="5">
        <v>45969</v>
      </c>
      <c r="B1915" t="s">
        <v>2802</v>
      </c>
      <c r="C1915">
        <v>24</v>
      </c>
      <c r="D1915">
        <v>36</v>
      </c>
      <c r="E1915" s="1">
        <v>1.9791666666666665</v>
      </c>
      <c r="F1915" t="s">
        <v>2803</v>
      </c>
      <c r="G1915">
        <v>1</v>
      </c>
      <c r="H1915">
        <v>1080.7074</v>
      </c>
      <c r="I1915">
        <v>8.5</v>
      </c>
      <c r="J1915">
        <v>1163.79</v>
      </c>
      <c r="K1915">
        <v>6.6574267799006801</v>
      </c>
      <c r="L1915">
        <v>1219.83</v>
      </c>
      <c r="M1915" t="s">
        <v>27</v>
      </c>
      <c r="N1915">
        <v>1</v>
      </c>
      <c r="O1915">
        <v>1345</v>
      </c>
      <c r="P1915">
        <v>1173</v>
      </c>
      <c r="Q1915">
        <v>0</v>
      </c>
      <c r="R1915">
        <v>1173</v>
      </c>
    </row>
    <row r="1916" spans="1:18" x14ac:dyDescent="0.3">
      <c r="A1916" s="5">
        <v>45969</v>
      </c>
      <c r="B1916" t="s">
        <v>2804</v>
      </c>
      <c r="C1916">
        <v>28</v>
      </c>
      <c r="D1916">
        <v>36</v>
      </c>
      <c r="E1916" s="1">
        <v>1.9652777777777777</v>
      </c>
      <c r="F1916" t="s">
        <v>2805</v>
      </c>
      <c r="G1916">
        <v>0</v>
      </c>
      <c r="H1916">
        <v>1080.6793</v>
      </c>
      <c r="I1916">
        <v>2.5</v>
      </c>
      <c r="J1916">
        <v>1163.79</v>
      </c>
      <c r="K1916">
        <v>1.9580666999707901</v>
      </c>
      <c r="L1916">
        <v>1158.8800000000001</v>
      </c>
      <c r="M1916" t="s">
        <v>27</v>
      </c>
      <c r="N1916">
        <v>1</v>
      </c>
      <c r="O1916">
        <v>1281</v>
      </c>
      <c r="P1916">
        <v>1108</v>
      </c>
      <c r="Q1916">
        <v>0</v>
      </c>
      <c r="R1916">
        <v>1108</v>
      </c>
    </row>
    <row r="1917" spans="1:18" x14ac:dyDescent="0.3">
      <c r="A1917" s="5">
        <v>45969</v>
      </c>
      <c r="B1917" t="s">
        <v>2804</v>
      </c>
      <c r="C1917">
        <v>28</v>
      </c>
      <c r="D1917">
        <v>36</v>
      </c>
      <c r="E1917" s="1">
        <v>1.9652777777777777</v>
      </c>
      <c r="F1917" t="s">
        <v>2805</v>
      </c>
      <c r="G1917">
        <v>0</v>
      </c>
      <c r="H1917">
        <v>1080.6793</v>
      </c>
      <c r="I1917">
        <v>2.5</v>
      </c>
      <c r="J1917">
        <v>1163.79</v>
      </c>
      <c r="K1917">
        <v>1.9580666999707901</v>
      </c>
      <c r="L1917">
        <v>1158.8800000000001</v>
      </c>
      <c r="M1917" t="s">
        <v>27</v>
      </c>
      <c r="N1917">
        <v>1</v>
      </c>
      <c r="O1917">
        <v>1281</v>
      </c>
      <c r="P1917">
        <v>1108</v>
      </c>
      <c r="Q1917">
        <v>0</v>
      </c>
      <c r="R1917">
        <v>1108</v>
      </c>
    </row>
    <row r="1918" spans="1:18" x14ac:dyDescent="0.3">
      <c r="A1918" s="5">
        <v>45969</v>
      </c>
      <c r="B1918" t="s">
        <v>2806</v>
      </c>
      <c r="C1918">
        <v>29</v>
      </c>
      <c r="D1918">
        <v>36</v>
      </c>
      <c r="E1918" s="1">
        <v>1.9652777777777777</v>
      </c>
      <c r="F1918" t="s">
        <v>2805</v>
      </c>
      <c r="G1918">
        <v>0</v>
      </c>
      <c r="H1918">
        <v>1080.6614999999999</v>
      </c>
      <c r="I1918">
        <v>2.5</v>
      </c>
      <c r="J1918">
        <v>1163.79</v>
      </c>
      <c r="K1918">
        <v>1.9580666999707901</v>
      </c>
      <c r="L1918">
        <v>1158.8800000000001</v>
      </c>
      <c r="M1918" t="s">
        <v>27</v>
      </c>
      <c r="N1918">
        <v>1</v>
      </c>
      <c r="O1918">
        <v>1281</v>
      </c>
      <c r="P1918">
        <v>1108</v>
      </c>
      <c r="Q1918">
        <v>0</v>
      </c>
      <c r="R1918">
        <v>1108</v>
      </c>
    </row>
    <row r="1919" spans="1:18" x14ac:dyDescent="0.3">
      <c r="A1919" s="5">
        <v>45969</v>
      </c>
      <c r="B1919" t="s">
        <v>2806</v>
      </c>
      <c r="C1919">
        <v>29</v>
      </c>
      <c r="D1919">
        <v>36</v>
      </c>
      <c r="E1919" s="1">
        <v>1.9652777777777777</v>
      </c>
      <c r="F1919" t="s">
        <v>2805</v>
      </c>
      <c r="G1919">
        <v>0</v>
      </c>
      <c r="H1919">
        <v>1080.6614999999999</v>
      </c>
      <c r="I1919">
        <v>2.5</v>
      </c>
      <c r="J1919">
        <v>1163.79</v>
      </c>
      <c r="K1919">
        <v>1.9580666999707901</v>
      </c>
      <c r="L1919">
        <v>1158.8800000000001</v>
      </c>
      <c r="M1919" t="s">
        <v>27</v>
      </c>
      <c r="N1919">
        <v>1</v>
      </c>
      <c r="O1919">
        <v>1281</v>
      </c>
      <c r="P1919">
        <v>1108</v>
      </c>
      <c r="Q1919">
        <v>0</v>
      </c>
      <c r="R1919">
        <v>1108</v>
      </c>
    </row>
    <row r="1920" spans="1:18" x14ac:dyDescent="0.3">
      <c r="A1920" s="5">
        <v>45969</v>
      </c>
      <c r="B1920" t="s">
        <v>2807</v>
      </c>
      <c r="C1920">
        <v>2</v>
      </c>
      <c r="D1920">
        <v>36</v>
      </c>
      <c r="E1920" s="1">
        <v>1.9791666666666665</v>
      </c>
      <c r="F1920" t="s">
        <v>2808</v>
      </c>
      <c r="G1920">
        <v>1</v>
      </c>
      <c r="H1920">
        <v>1081.2229</v>
      </c>
      <c r="I1920">
        <v>8.5</v>
      </c>
      <c r="J1920">
        <v>1163.79</v>
      </c>
      <c r="K1920">
        <v>6.6574267799006801</v>
      </c>
      <c r="L1920">
        <v>1219.83</v>
      </c>
      <c r="M1920" t="s">
        <v>27</v>
      </c>
      <c r="N1920">
        <v>1</v>
      </c>
      <c r="O1920">
        <v>1346</v>
      </c>
      <c r="P1920">
        <v>1173</v>
      </c>
      <c r="Q1920">
        <v>0</v>
      </c>
      <c r="R1920">
        <v>1173</v>
      </c>
    </row>
    <row r="1921" spans="1:18" x14ac:dyDescent="0.3">
      <c r="A1921" s="5">
        <v>45969</v>
      </c>
      <c r="B1921" t="s">
        <v>2809</v>
      </c>
      <c r="C1921">
        <v>3</v>
      </c>
      <c r="D1921">
        <v>36</v>
      </c>
      <c r="E1921" s="1">
        <v>1.9791666666666665</v>
      </c>
      <c r="F1921" t="s">
        <v>2810</v>
      </c>
      <c r="G1921">
        <v>1</v>
      </c>
      <c r="H1921">
        <v>1081.2047</v>
      </c>
      <c r="I1921">
        <v>8.5</v>
      </c>
      <c r="J1921">
        <v>1163.79</v>
      </c>
      <c r="K1921">
        <v>6.6574267799006801</v>
      </c>
      <c r="L1921">
        <v>1219.83</v>
      </c>
      <c r="M1921" t="s">
        <v>27</v>
      </c>
      <c r="N1921">
        <v>1</v>
      </c>
      <c r="O1921">
        <v>1346</v>
      </c>
      <c r="P1921">
        <v>1173</v>
      </c>
      <c r="Q1921">
        <v>0</v>
      </c>
      <c r="R1921">
        <v>1173</v>
      </c>
    </row>
    <row r="1922" spans="1:18" x14ac:dyDescent="0.3">
      <c r="A1922" s="5">
        <v>45969</v>
      </c>
      <c r="B1922" t="s">
        <v>2811</v>
      </c>
      <c r="C1922">
        <v>35</v>
      </c>
      <c r="D1922">
        <v>36</v>
      </c>
      <c r="E1922" s="1">
        <v>1.9993055555555554</v>
      </c>
      <c r="F1922" t="s">
        <v>2812</v>
      </c>
      <c r="G1922">
        <v>3</v>
      </c>
      <c r="H1922">
        <v>1080.4971</v>
      </c>
      <c r="I1922">
        <v>10</v>
      </c>
      <c r="J1922">
        <v>1163.79</v>
      </c>
      <c r="K1922">
        <v>7.8322667998831603</v>
      </c>
      <c r="L1922">
        <v>609.91</v>
      </c>
      <c r="M1922" t="s">
        <v>20</v>
      </c>
      <c r="N1922">
        <v>1</v>
      </c>
      <c r="O1922">
        <v>1361</v>
      </c>
      <c r="P1922">
        <v>1189</v>
      </c>
      <c r="Q1922">
        <v>0.5</v>
      </c>
      <c r="R1922">
        <v>594.5</v>
      </c>
    </row>
    <row r="1923" spans="1:18" x14ac:dyDescent="0.3">
      <c r="A1923" s="5">
        <v>45969</v>
      </c>
      <c r="B1923" t="s">
        <v>2813</v>
      </c>
      <c r="C1923">
        <v>15</v>
      </c>
      <c r="D1923">
        <v>36</v>
      </c>
      <c r="E1923" s="1">
        <v>1.9993055555555554</v>
      </c>
      <c r="F1923" t="s">
        <v>2814</v>
      </c>
      <c r="G1923">
        <v>0</v>
      </c>
      <c r="H1923">
        <v>1081.0454</v>
      </c>
      <c r="I1923">
        <v>2.5</v>
      </c>
      <c r="J1923">
        <v>1163.79</v>
      </c>
      <c r="K1923">
        <v>1.9580666999707901</v>
      </c>
      <c r="L1923">
        <v>1158.8800000000001</v>
      </c>
      <c r="M1923" t="s">
        <v>27</v>
      </c>
      <c r="N1923">
        <v>1</v>
      </c>
      <c r="O1923">
        <v>1281</v>
      </c>
      <c r="P1923">
        <v>1108</v>
      </c>
      <c r="Q1923">
        <v>0</v>
      </c>
      <c r="R1923">
        <v>1108</v>
      </c>
    </row>
    <row r="1924" spans="1:18" x14ac:dyDescent="0.3">
      <c r="A1924" s="5">
        <v>45970</v>
      </c>
      <c r="B1924" t="s">
        <v>2815</v>
      </c>
      <c r="C1924">
        <v>25</v>
      </c>
      <c r="D1924">
        <v>36</v>
      </c>
      <c r="E1924" s="1">
        <v>1.9993055555555554</v>
      </c>
      <c r="F1924" t="s">
        <v>2816</v>
      </c>
      <c r="G1924">
        <v>1</v>
      </c>
      <c r="H1924">
        <v>1080.6887999999999</v>
      </c>
      <c r="I1924">
        <v>8.5</v>
      </c>
      <c r="J1924">
        <v>1163.79</v>
      </c>
      <c r="K1924">
        <v>6.6574267799006801</v>
      </c>
      <c r="L1924">
        <v>1219.83</v>
      </c>
      <c r="M1924" t="s">
        <v>27</v>
      </c>
      <c r="N1924">
        <v>1</v>
      </c>
      <c r="O1924">
        <v>1345</v>
      </c>
      <c r="P1924">
        <v>1173</v>
      </c>
      <c r="Q1924">
        <v>0</v>
      </c>
      <c r="R1924">
        <v>1173</v>
      </c>
    </row>
    <row r="1925" spans="1:18" x14ac:dyDescent="0.3">
      <c r="A1925" s="5">
        <v>45970</v>
      </c>
      <c r="B1925" t="s">
        <v>2817</v>
      </c>
      <c r="C1925">
        <v>26</v>
      </c>
      <c r="D1925">
        <v>36</v>
      </c>
      <c r="E1925" s="1">
        <v>1.9993055555555554</v>
      </c>
      <c r="F1925" t="s">
        <v>2818</v>
      </c>
      <c r="G1925">
        <v>1</v>
      </c>
      <c r="H1925">
        <v>1080.6709000000001</v>
      </c>
      <c r="I1925">
        <v>8.5</v>
      </c>
      <c r="J1925">
        <v>1163.79</v>
      </c>
      <c r="K1925">
        <v>6.6574267799006801</v>
      </c>
      <c r="L1925">
        <v>1219.83</v>
      </c>
      <c r="M1925" t="s">
        <v>27</v>
      </c>
      <c r="N1925">
        <v>1</v>
      </c>
      <c r="O1925">
        <v>1345</v>
      </c>
      <c r="P1925">
        <v>1173</v>
      </c>
      <c r="Q1925">
        <v>0</v>
      </c>
      <c r="R1925">
        <v>1173</v>
      </c>
    </row>
    <row r="1926" spans="1:18" x14ac:dyDescent="0.3">
      <c r="A1926" s="5">
        <v>45970</v>
      </c>
      <c r="B1926" t="s">
        <v>2819</v>
      </c>
      <c r="C1926">
        <v>1</v>
      </c>
      <c r="D1926">
        <v>36</v>
      </c>
      <c r="E1926" s="1">
        <v>1.0833333333333333</v>
      </c>
      <c r="F1926" t="s">
        <v>2820</v>
      </c>
      <c r="G1926">
        <v>4</v>
      </c>
      <c r="H1926">
        <v>1081.5154</v>
      </c>
      <c r="I1926">
        <v>7</v>
      </c>
      <c r="J1926">
        <v>1163.79</v>
      </c>
      <c r="K1926">
        <v>5.4825867599182097</v>
      </c>
      <c r="L1926">
        <v>1219.83</v>
      </c>
      <c r="M1926" t="s">
        <v>27</v>
      </c>
      <c r="N1926">
        <v>1</v>
      </c>
      <c r="O1926">
        <v>1330</v>
      </c>
      <c r="P1926">
        <v>1157</v>
      </c>
      <c r="Q1926">
        <v>0</v>
      </c>
      <c r="R1926">
        <v>1157</v>
      </c>
    </row>
    <row r="1927" spans="1:18" x14ac:dyDescent="0.3">
      <c r="A1927" s="5">
        <v>45970</v>
      </c>
      <c r="B1927" t="s">
        <v>2821</v>
      </c>
      <c r="C1927">
        <v>11</v>
      </c>
      <c r="D1927">
        <v>36</v>
      </c>
      <c r="E1927" s="1">
        <v>1.0833333333333333</v>
      </c>
      <c r="F1927" t="s">
        <v>2822</v>
      </c>
      <c r="G1927">
        <v>4</v>
      </c>
      <c r="H1927">
        <v>1081.3356000000001</v>
      </c>
      <c r="I1927">
        <v>7</v>
      </c>
      <c r="J1927">
        <v>1163.79</v>
      </c>
      <c r="K1927">
        <v>5.4825867599182097</v>
      </c>
      <c r="L1927">
        <v>1219.83</v>
      </c>
      <c r="M1927" t="s">
        <v>27</v>
      </c>
      <c r="N1927">
        <v>1</v>
      </c>
      <c r="O1927">
        <v>1330</v>
      </c>
      <c r="P1927">
        <v>1157</v>
      </c>
      <c r="Q1927">
        <v>0</v>
      </c>
      <c r="R1927">
        <v>1157</v>
      </c>
    </row>
    <row r="1928" spans="1:18" x14ac:dyDescent="0.3">
      <c r="A1928" s="5">
        <v>45970</v>
      </c>
      <c r="B1928" t="s">
        <v>2823</v>
      </c>
      <c r="C1928">
        <v>21</v>
      </c>
      <c r="D1928">
        <v>36</v>
      </c>
      <c r="E1928" s="1">
        <v>1.0833333333333333</v>
      </c>
      <c r="F1928" t="s">
        <v>2824</v>
      </c>
      <c r="G1928">
        <v>4</v>
      </c>
      <c r="H1928">
        <v>1081.1548</v>
      </c>
      <c r="I1928">
        <v>7</v>
      </c>
      <c r="J1928">
        <v>1163.79</v>
      </c>
      <c r="K1928">
        <v>5.4825867599182097</v>
      </c>
      <c r="L1928">
        <v>1219.83</v>
      </c>
      <c r="M1928" t="s">
        <v>27</v>
      </c>
      <c r="N1928">
        <v>1</v>
      </c>
      <c r="O1928">
        <v>1330</v>
      </c>
      <c r="P1928">
        <v>1157</v>
      </c>
      <c r="Q1928">
        <v>0</v>
      </c>
      <c r="R1928">
        <v>1157</v>
      </c>
    </row>
    <row r="1929" spans="1:18" x14ac:dyDescent="0.3">
      <c r="A1929" s="5">
        <v>45970</v>
      </c>
      <c r="B1929" t="s">
        <v>2825</v>
      </c>
      <c r="C1929">
        <v>22</v>
      </c>
      <c r="D1929">
        <v>36</v>
      </c>
      <c r="E1929" s="1">
        <v>1.0833333333333333</v>
      </c>
      <c r="F1929" t="s">
        <v>2826</v>
      </c>
      <c r="G1929">
        <v>1</v>
      </c>
      <c r="H1929">
        <v>1081.0045</v>
      </c>
      <c r="I1929">
        <v>8.5</v>
      </c>
      <c r="J1929">
        <v>1163.79</v>
      </c>
      <c r="K1929">
        <v>6.6574267799006801</v>
      </c>
      <c r="L1929">
        <v>1219.83</v>
      </c>
      <c r="M1929" t="s">
        <v>27</v>
      </c>
      <c r="N1929">
        <v>1</v>
      </c>
      <c r="O1929">
        <v>1346</v>
      </c>
      <c r="P1929">
        <v>1173</v>
      </c>
      <c r="Q1929">
        <v>0</v>
      </c>
      <c r="R1929">
        <v>1173</v>
      </c>
    </row>
    <row r="1930" spans="1:18" x14ac:dyDescent="0.3">
      <c r="A1930" s="5">
        <v>45970</v>
      </c>
      <c r="B1930" t="s">
        <v>2827</v>
      </c>
      <c r="C1930">
        <v>13</v>
      </c>
      <c r="D1930">
        <v>36</v>
      </c>
      <c r="E1930" s="1">
        <v>1.0833333333333333</v>
      </c>
      <c r="F1930" t="s">
        <v>2828</v>
      </c>
      <c r="G1930">
        <v>4</v>
      </c>
      <c r="H1930">
        <v>1081.2987000000001</v>
      </c>
      <c r="I1930">
        <v>7</v>
      </c>
      <c r="J1930">
        <v>1163.79</v>
      </c>
      <c r="K1930">
        <v>5.4825867599182097</v>
      </c>
      <c r="L1930">
        <v>1219.83</v>
      </c>
      <c r="M1930" t="s">
        <v>27</v>
      </c>
      <c r="N1930">
        <v>1</v>
      </c>
      <c r="O1930">
        <v>1330</v>
      </c>
      <c r="P1930">
        <v>1157</v>
      </c>
      <c r="Q1930">
        <v>0</v>
      </c>
      <c r="R1930">
        <v>1157</v>
      </c>
    </row>
    <row r="1931" spans="1:18" x14ac:dyDescent="0.3">
      <c r="A1931" s="5">
        <v>45970</v>
      </c>
      <c r="B1931" t="s">
        <v>2829</v>
      </c>
      <c r="C1931">
        <v>14</v>
      </c>
      <c r="D1931">
        <v>36</v>
      </c>
      <c r="E1931" s="1">
        <v>1.0833333333333333</v>
      </c>
      <c r="F1931" t="s">
        <v>2830</v>
      </c>
      <c r="G1931">
        <v>4</v>
      </c>
      <c r="H1931">
        <v>1081.2808</v>
      </c>
      <c r="I1931">
        <v>7</v>
      </c>
      <c r="J1931">
        <v>1163.79</v>
      </c>
      <c r="K1931">
        <v>5.4825867599182097</v>
      </c>
      <c r="L1931">
        <v>1219.83</v>
      </c>
      <c r="M1931" t="s">
        <v>27</v>
      </c>
      <c r="N1931">
        <v>1</v>
      </c>
      <c r="O1931">
        <v>1330</v>
      </c>
      <c r="P1931">
        <v>1157</v>
      </c>
      <c r="Q1931">
        <v>0</v>
      </c>
      <c r="R1931">
        <v>1157</v>
      </c>
    </row>
    <row r="1932" spans="1:18" x14ac:dyDescent="0.3">
      <c r="A1932" s="5">
        <v>45970</v>
      </c>
      <c r="B1932" t="s">
        <v>2831</v>
      </c>
      <c r="C1932">
        <v>15</v>
      </c>
      <c r="D1932">
        <v>36</v>
      </c>
      <c r="E1932" s="1">
        <v>1.0833333333333333</v>
      </c>
      <c r="F1932" t="s">
        <v>2832</v>
      </c>
      <c r="G1932">
        <v>4</v>
      </c>
      <c r="H1932">
        <v>1081.2628</v>
      </c>
      <c r="I1932">
        <v>7</v>
      </c>
      <c r="J1932">
        <v>1163.79</v>
      </c>
      <c r="K1932">
        <v>5.4825867599182097</v>
      </c>
      <c r="L1932">
        <v>1219.83</v>
      </c>
      <c r="M1932" t="s">
        <v>27</v>
      </c>
      <c r="N1932">
        <v>1</v>
      </c>
      <c r="O1932">
        <v>1330</v>
      </c>
      <c r="P1932">
        <v>1157</v>
      </c>
      <c r="Q1932">
        <v>0</v>
      </c>
      <c r="R1932">
        <v>1157</v>
      </c>
    </row>
    <row r="1933" spans="1:18" x14ac:dyDescent="0.3">
      <c r="A1933" s="5">
        <v>45970</v>
      </c>
      <c r="B1933" t="s">
        <v>2833</v>
      </c>
      <c r="C1933">
        <v>17</v>
      </c>
      <c r="D1933">
        <v>36</v>
      </c>
      <c r="E1933" s="1">
        <v>1.0833333333333333</v>
      </c>
      <c r="F1933" t="s">
        <v>2834</v>
      </c>
      <c r="G1933">
        <v>4</v>
      </c>
      <c r="H1933">
        <v>1081.2267999999999</v>
      </c>
      <c r="I1933">
        <v>7</v>
      </c>
      <c r="J1933">
        <v>1163.79</v>
      </c>
      <c r="K1933">
        <v>5.4825867599182097</v>
      </c>
      <c r="L1933">
        <v>1219.83</v>
      </c>
      <c r="M1933" t="s">
        <v>27</v>
      </c>
      <c r="N1933">
        <v>1</v>
      </c>
      <c r="O1933">
        <v>1330</v>
      </c>
      <c r="P1933">
        <v>1157</v>
      </c>
      <c r="Q1933">
        <v>0</v>
      </c>
      <c r="R1933">
        <v>1157</v>
      </c>
    </row>
    <row r="1934" spans="1:18" x14ac:dyDescent="0.3">
      <c r="A1934" s="5">
        <v>45970</v>
      </c>
      <c r="B1934" t="s">
        <v>2780</v>
      </c>
      <c r="C1934">
        <v>24</v>
      </c>
      <c r="D1934">
        <v>36</v>
      </c>
      <c r="E1934" s="1">
        <v>1.25</v>
      </c>
      <c r="F1934" t="s">
        <v>2781</v>
      </c>
      <c r="G1934">
        <v>0</v>
      </c>
      <c r="H1934">
        <v>1080.9799</v>
      </c>
      <c r="I1934">
        <v>2.5</v>
      </c>
      <c r="J1934">
        <v>1163.79</v>
      </c>
      <c r="K1934">
        <v>1.9580666999707901</v>
      </c>
      <c r="L1934">
        <v>1158.8800000000001</v>
      </c>
      <c r="M1934" t="s">
        <v>27</v>
      </c>
      <c r="N1934">
        <v>1</v>
      </c>
      <c r="O1934">
        <v>1281</v>
      </c>
      <c r="P1934">
        <v>1108</v>
      </c>
      <c r="Q1934">
        <v>0</v>
      </c>
      <c r="R1934">
        <v>1108</v>
      </c>
    </row>
    <row r="1935" spans="1:18" x14ac:dyDescent="0.3">
      <c r="A1935" s="5">
        <v>45970</v>
      </c>
      <c r="B1935" t="s">
        <v>2835</v>
      </c>
      <c r="C1935">
        <v>18</v>
      </c>
      <c r="D1935">
        <v>36</v>
      </c>
      <c r="E1935" s="1">
        <v>1.0833333333333333</v>
      </c>
      <c r="F1935" t="s">
        <v>2836</v>
      </c>
      <c r="G1935">
        <v>0</v>
      </c>
      <c r="H1935">
        <v>1081.222</v>
      </c>
      <c r="I1935">
        <v>2.5</v>
      </c>
      <c r="J1935">
        <v>1163.79</v>
      </c>
      <c r="K1935">
        <v>1.9580666999707901</v>
      </c>
      <c r="L1935">
        <v>1158.8800000000001</v>
      </c>
      <c r="M1935" t="s">
        <v>27</v>
      </c>
      <c r="N1935">
        <v>1</v>
      </c>
      <c r="O1935">
        <v>1281</v>
      </c>
      <c r="P1935">
        <v>1108</v>
      </c>
      <c r="Q1935">
        <v>0</v>
      </c>
      <c r="R1935">
        <v>1108</v>
      </c>
    </row>
    <row r="1936" spans="1:18" x14ac:dyDescent="0.3">
      <c r="A1936" s="5">
        <v>45970</v>
      </c>
      <c r="B1936" t="s">
        <v>2837</v>
      </c>
      <c r="C1936">
        <v>4</v>
      </c>
      <c r="D1936">
        <v>36</v>
      </c>
      <c r="E1936" s="1">
        <v>1.0833333333333333</v>
      </c>
      <c r="F1936" t="s">
        <v>2838</v>
      </c>
      <c r="G1936">
        <v>2</v>
      </c>
      <c r="H1936">
        <v>1081.3413</v>
      </c>
      <c r="I1936">
        <v>5</v>
      </c>
      <c r="J1936">
        <v>1163.79</v>
      </c>
      <c r="K1936">
        <v>3.9161333999415802</v>
      </c>
      <c r="L1936">
        <v>609.91</v>
      </c>
      <c r="M1936" t="s">
        <v>60</v>
      </c>
      <c r="N1936">
        <v>1</v>
      </c>
      <c r="O1936">
        <v>1308</v>
      </c>
      <c r="P1936">
        <v>1135</v>
      </c>
      <c r="Q1936">
        <v>0.5</v>
      </c>
      <c r="R1936">
        <v>567.5</v>
      </c>
    </row>
    <row r="1937" spans="1:18" x14ac:dyDescent="0.3">
      <c r="A1937" s="5">
        <v>45970</v>
      </c>
      <c r="B1937" t="s">
        <v>2839</v>
      </c>
      <c r="C1937">
        <v>24</v>
      </c>
      <c r="D1937">
        <v>36</v>
      </c>
      <c r="E1937" s="1">
        <v>1.9791666666666665</v>
      </c>
      <c r="F1937" t="s">
        <v>2840</v>
      </c>
      <c r="G1937">
        <v>5</v>
      </c>
      <c r="H1937">
        <v>1080.7503999999999</v>
      </c>
      <c r="I1937">
        <v>0</v>
      </c>
      <c r="J1937">
        <v>1163.79</v>
      </c>
      <c r="K1937">
        <v>0</v>
      </c>
      <c r="L1937">
        <v>1158.8800000000001</v>
      </c>
      <c r="M1937" t="s">
        <v>27</v>
      </c>
      <c r="N1937">
        <v>1</v>
      </c>
      <c r="O1937">
        <v>1254</v>
      </c>
      <c r="P1937">
        <v>1081</v>
      </c>
      <c r="Q1937">
        <v>0</v>
      </c>
      <c r="R1937">
        <v>1081</v>
      </c>
    </row>
    <row r="1938" spans="1:18" x14ac:dyDescent="0.3">
      <c r="A1938" s="5">
        <v>45970</v>
      </c>
      <c r="B1938" t="s">
        <v>2841</v>
      </c>
      <c r="C1938">
        <v>27</v>
      </c>
      <c r="D1938">
        <v>36</v>
      </c>
      <c r="E1938" s="1">
        <v>1.0833333333333333</v>
      </c>
      <c r="F1938" t="s">
        <v>2842</v>
      </c>
      <c r="G1938">
        <v>5</v>
      </c>
      <c r="H1938">
        <v>1080.9278999999999</v>
      </c>
      <c r="I1938">
        <v>0</v>
      </c>
      <c r="J1938">
        <v>1163.79</v>
      </c>
      <c r="K1938">
        <v>0</v>
      </c>
      <c r="L1938">
        <v>1158.8800000000001</v>
      </c>
      <c r="M1938" t="s">
        <v>27</v>
      </c>
      <c r="N1938">
        <v>1</v>
      </c>
      <c r="O1938">
        <v>1254</v>
      </c>
      <c r="P1938">
        <v>1081</v>
      </c>
      <c r="Q1938">
        <v>0</v>
      </c>
      <c r="R1938">
        <v>1081</v>
      </c>
    </row>
    <row r="1939" spans="1:18" x14ac:dyDescent="0.3">
      <c r="A1939" s="5">
        <v>45970</v>
      </c>
      <c r="B1939" t="s">
        <v>2843</v>
      </c>
      <c r="C1939">
        <v>26</v>
      </c>
      <c r="D1939">
        <v>36</v>
      </c>
      <c r="E1939" s="1">
        <v>1.25</v>
      </c>
      <c r="F1939" t="s">
        <v>2844</v>
      </c>
      <c r="G1939">
        <v>1</v>
      </c>
      <c r="H1939">
        <v>1080.9348</v>
      </c>
      <c r="I1939">
        <v>8.5</v>
      </c>
      <c r="J1939">
        <v>1163.79</v>
      </c>
      <c r="K1939">
        <v>6.6574267799006801</v>
      </c>
      <c r="L1939">
        <v>1219.83</v>
      </c>
      <c r="M1939" t="s">
        <v>27</v>
      </c>
      <c r="N1939">
        <v>1</v>
      </c>
      <c r="O1939">
        <v>1346</v>
      </c>
      <c r="P1939">
        <v>1173</v>
      </c>
      <c r="Q1939">
        <v>0</v>
      </c>
      <c r="R1939">
        <v>1173</v>
      </c>
    </row>
    <row r="1940" spans="1:18" x14ac:dyDescent="0.3">
      <c r="A1940" s="5">
        <v>45970</v>
      </c>
      <c r="B1940" t="s">
        <v>2845</v>
      </c>
      <c r="C1940">
        <v>5</v>
      </c>
      <c r="D1940">
        <v>36</v>
      </c>
      <c r="E1940" s="1">
        <v>1.25</v>
      </c>
      <c r="F1940" t="s">
        <v>2846</v>
      </c>
      <c r="G1940">
        <v>1</v>
      </c>
      <c r="H1940">
        <v>1081.44</v>
      </c>
      <c r="I1940">
        <v>8.5</v>
      </c>
      <c r="J1940">
        <v>1163.79</v>
      </c>
      <c r="K1940">
        <v>6.6574267799006801</v>
      </c>
      <c r="L1940">
        <v>1097.8399999999999</v>
      </c>
      <c r="M1940" t="s">
        <v>27</v>
      </c>
      <c r="N1940">
        <v>1</v>
      </c>
      <c r="O1940">
        <v>1346</v>
      </c>
      <c r="P1940">
        <v>1173</v>
      </c>
      <c r="Q1940">
        <v>0</v>
      </c>
      <c r="R1940">
        <v>1173</v>
      </c>
    </row>
    <row r="1941" spans="1:18" x14ac:dyDescent="0.3">
      <c r="A1941" s="5">
        <v>45970</v>
      </c>
      <c r="B1941" t="s">
        <v>2847</v>
      </c>
      <c r="C1941">
        <v>6</v>
      </c>
      <c r="D1941">
        <v>36</v>
      </c>
      <c r="E1941" s="1">
        <v>1.25</v>
      </c>
      <c r="F1941" t="s">
        <v>2848</v>
      </c>
      <c r="G1941">
        <v>1</v>
      </c>
      <c r="H1941">
        <v>1081.422</v>
      </c>
      <c r="I1941">
        <v>8.5</v>
      </c>
      <c r="J1941">
        <v>1163.79</v>
      </c>
      <c r="K1941">
        <v>6.6574267799006801</v>
      </c>
      <c r="L1941">
        <v>1097.8399999999999</v>
      </c>
      <c r="M1941" t="s">
        <v>27</v>
      </c>
      <c r="N1941">
        <v>1</v>
      </c>
      <c r="O1941">
        <v>1346</v>
      </c>
      <c r="P1941">
        <v>1173</v>
      </c>
      <c r="Q1941">
        <v>0</v>
      </c>
      <c r="R1941">
        <v>1173</v>
      </c>
    </row>
    <row r="1942" spans="1:18" x14ac:dyDescent="0.3">
      <c r="A1942" s="5">
        <v>45970</v>
      </c>
      <c r="B1942" t="s">
        <v>2849</v>
      </c>
      <c r="C1942">
        <v>16</v>
      </c>
      <c r="D1942">
        <v>36</v>
      </c>
      <c r="E1942" s="1">
        <v>1.25</v>
      </c>
      <c r="F1942" t="s">
        <v>2850</v>
      </c>
      <c r="G1942">
        <v>5</v>
      </c>
      <c r="H1942">
        <v>1081.2405000000001</v>
      </c>
      <c r="I1942">
        <v>0</v>
      </c>
      <c r="J1942">
        <v>1163.79</v>
      </c>
      <c r="K1942">
        <v>0</v>
      </c>
      <c r="L1942">
        <v>1158.8800000000001</v>
      </c>
      <c r="M1942" t="s">
        <v>27</v>
      </c>
      <c r="N1942">
        <v>1</v>
      </c>
      <c r="O1942">
        <v>1254</v>
      </c>
      <c r="P1942">
        <v>1081</v>
      </c>
      <c r="Q1942">
        <v>0</v>
      </c>
      <c r="R1942">
        <v>1081</v>
      </c>
    </row>
    <row r="1943" spans="1:18" x14ac:dyDescent="0.3">
      <c r="A1943" s="5">
        <v>45970</v>
      </c>
      <c r="B1943" t="s">
        <v>2851</v>
      </c>
      <c r="C1943">
        <v>17</v>
      </c>
      <c r="D1943">
        <v>36</v>
      </c>
      <c r="E1943" s="1">
        <v>1.25</v>
      </c>
      <c r="F1943" t="s">
        <v>2852</v>
      </c>
      <c r="G1943">
        <v>5</v>
      </c>
      <c r="H1943">
        <v>1081.2225000000001</v>
      </c>
      <c r="I1943">
        <v>0</v>
      </c>
      <c r="J1943">
        <v>1163.79</v>
      </c>
      <c r="K1943">
        <v>0</v>
      </c>
      <c r="L1943">
        <v>1158.8800000000001</v>
      </c>
      <c r="M1943" t="s">
        <v>27</v>
      </c>
      <c r="N1943">
        <v>1</v>
      </c>
      <c r="O1943">
        <v>1254</v>
      </c>
      <c r="P1943">
        <v>1081</v>
      </c>
      <c r="Q1943">
        <v>0</v>
      </c>
      <c r="R1943">
        <v>1081</v>
      </c>
    </row>
    <row r="1944" spans="1:18" x14ac:dyDescent="0.3">
      <c r="A1944" s="5">
        <v>45970</v>
      </c>
      <c r="B1944" t="s">
        <v>2853</v>
      </c>
      <c r="C1944">
        <v>18</v>
      </c>
      <c r="D1944">
        <v>36</v>
      </c>
      <c r="E1944" s="1">
        <v>1.25</v>
      </c>
      <c r="F1944" t="s">
        <v>2854</v>
      </c>
      <c r="G1944">
        <v>5</v>
      </c>
      <c r="H1944">
        <v>1081.2045000000001</v>
      </c>
      <c r="I1944">
        <v>0</v>
      </c>
      <c r="J1944">
        <v>1163.79</v>
      </c>
      <c r="K1944">
        <v>0</v>
      </c>
      <c r="L1944">
        <v>1158.8800000000001</v>
      </c>
      <c r="M1944" t="s">
        <v>27</v>
      </c>
      <c r="N1944">
        <v>1</v>
      </c>
      <c r="O1944">
        <v>1254</v>
      </c>
      <c r="P1944">
        <v>1081</v>
      </c>
      <c r="Q1944">
        <v>0</v>
      </c>
      <c r="R1944">
        <v>1081</v>
      </c>
    </row>
    <row r="1945" spans="1:18" x14ac:dyDescent="0.3">
      <c r="A1945" s="5">
        <v>45970</v>
      </c>
      <c r="B1945" t="s">
        <v>2855</v>
      </c>
      <c r="C1945">
        <v>21</v>
      </c>
      <c r="D1945">
        <v>36</v>
      </c>
      <c r="E1945" s="1">
        <v>1.25</v>
      </c>
      <c r="F1945" t="s">
        <v>2856</v>
      </c>
      <c r="G1945">
        <v>5</v>
      </c>
      <c r="H1945">
        <v>1081.1505999999999</v>
      </c>
      <c r="I1945">
        <v>0</v>
      </c>
      <c r="J1945">
        <v>1163.79</v>
      </c>
      <c r="K1945">
        <v>0</v>
      </c>
      <c r="L1945">
        <v>1158.8800000000001</v>
      </c>
      <c r="M1945" t="s">
        <v>27</v>
      </c>
      <c r="N1945">
        <v>1</v>
      </c>
      <c r="O1945">
        <v>1254</v>
      </c>
      <c r="P1945">
        <v>1081</v>
      </c>
      <c r="Q1945">
        <v>0</v>
      </c>
      <c r="R1945">
        <v>1081</v>
      </c>
    </row>
    <row r="1946" spans="1:18" x14ac:dyDescent="0.3">
      <c r="A1946" s="5">
        <v>45970</v>
      </c>
      <c r="B1946" t="s">
        <v>2857</v>
      </c>
      <c r="C1946">
        <v>30</v>
      </c>
      <c r="D1946">
        <v>36</v>
      </c>
      <c r="E1946" s="1">
        <v>1.25</v>
      </c>
      <c r="F1946" t="s">
        <v>2858</v>
      </c>
      <c r="G1946">
        <v>5</v>
      </c>
      <c r="H1946">
        <v>1080.8617999999999</v>
      </c>
      <c r="I1946">
        <v>0</v>
      </c>
      <c r="J1946">
        <v>1163.79</v>
      </c>
      <c r="K1946">
        <v>0</v>
      </c>
      <c r="L1946">
        <v>1158.8800000000001</v>
      </c>
      <c r="M1946" t="s">
        <v>27</v>
      </c>
      <c r="N1946">
        <v>1</v>
      </c>
      <c r="O1946">
        <v>1254</v>
      </c>
      <c r="P1946">
        <v>1081</v>
      </c>
      <c r="Q1946">
        <v>0</v>
      </c>
      <c r="R1946">
        <v>1081</v>
      </c>
    </row>
    <row r="1947" spans="1:18" x14ac:dyDescent="0.3">
      <c r="A1947" s="5">
        <v>45970</v>
      </c>
      <c r="B1947" t="s">
        <v>2859</v>
      </c>
      <c r="C1947">
        <v>31</v>
      </c>
      <c r="D1947">
        <v>36</v>
      </c>
      <c r="E1947" s="1">
        <v>1.25</v>
      </c>
      <c r="F1947" t="s">
        <v>2860</v>
      </c>
      <c r="G1947">
        <v>5</v>
      </c>
      <c r="H1947">
        <v>1080.8435999999999</v>
      </c>
      <c r="I1947">
        <v>0</v>
      </c>
      <c r="J1947">
        <v>1163.79</v>
      </c>
      <c r="K1947">
        <v>0</v>
      </c>
      <c r="L1947">
        <v>1158.8800000000001</v>
      </c>
      <c r="M1947" t="s">
        <v>27</v>
      </c>
      <c r="N1947">
        <v>1</v>
      </c>
      <c r="O1947">
        <v>1254</v>
      </c>
      <c r="P1947">
        <v>1081</v>
      </c>
      <c r="Q1947">
        <v>0</v>
      </c>
      <c r="R1947">
        <v>1081</v>
      </c>
    </row>
    <row r="1948" spans="1:18" x14ac:dyDescent="0.3">
      <c r="A1948" s="5">
        <v>45970</v>
      </c>
      <c r="B1948" t="s">
        <v>2861</v>
      </c>
      <c r="C1948">
        <v>25</v>
      </c>
      <c r="D1948">
        <v>36</v>
      </c>
      <c r="E1948" s="1">
        <v>1.25</v>
      </c>
      <c r="F1948" t="s">
        <v>2862</v>
      </c>
      <c r="G1948">
        <v>5</v>
      </c>
      <c r="H1948">
        <v>1080.9518</v>
      </c>
      <c r="I1948">
        <v>0</v>
      </c>
      <c r="J1948">
        <v>1163.79</v>
      </c>
      <c r="K1948">
        <v>0</v>
      </c>
      <c r="L1948">
        <v>1158.8800000000001</v>
      </c>
      <c r="M1948" t="s">
        <v>27</v>
      </c>
      <c r="N1948">
        <v>1</v>
      </c>
      <c r="O1948">
        <v>1254</v>
      </c>
      <c r="P1948">
        <v>1081</v>
      </c>
      <c r="Q1948">
        <v>0</v>
      </c>
      <c r="R1948">
        <v>1081</v>
      </c>
    </row>
    <row r="1949" spans="1:18" x14ac:dyDescent="0.3">
      <c r="A1949" s="5">
        <v>45970</v>
      </c>
      <c r="B1949" t="s">
        <v>2863</v>
      </c>
      <c r="C1949">
        <v>32</v>
      </c>
      <c r="D1949">
        <v>36</v>
      </c>
      <c r="E1949" s="1">
        <v>1.25</v>
      </c>
      <c r="F1949" t="s">
        <v>2864</v>
      </c>
      <c r="G1949">
        <v>1</v>
      </c>
      <c r="H1949">
        <v>1080.8327999999999</v>
      </c>
      <c r="I1949">
        <v>8.5</v>
      </c>
      <c r="J1949">
        <v>1163.79</v>
      </c>
      <c r="K1949">
        <v>6.6574267799006801</v>
      </c>
      <c r="L1949">
        <v>1219.83</v>
      </c>
      <c r="M1949" t="s">
        <v>27</v>
      </c>
      <c r="N1949">
        <v>1</v>
      </c>
      <c r="O1949">
        <v>1346</v>
      </c>
      <c r="P1949">
        <v>1173</v>
      </c>
      <c r="Q1949">
        <v>0</v>
      </c>
      <c r="R1949">
        <v>1173</v>
      </c>
    </row>
    <row r="1950" spans="1:18" x14ac:dyDescent="0.3">
      <c r="A1950" s="5">
        <v>45970</v>
      </c>
      <c r="B1950" t="s">
        <v>2865</v>
      </c>
      <c r="C1950">
        <v>22</v>
      </c>
      <c r="D1950">
        <v>36</v>
      </c>
      <c r="E1950" s="1">
        <v>1.9993055555555554</v>
      </c>
      <c r="F1950" t="s">
        <v>2866</v>
      </c>
      <c r="G1950">
        <v>5</v>
      </c>
      <c r="H1950">
        <v>1080.7801999999999</v>
      </c>
      <c r="I1950">
        <v>0</v>
      </c>
      <c r="J1950">
        <v>1163.79</v>
      </c>
      <c r="K1950">
        <v>0</v>
      </c>
      <c r="L1950">
        <v>1158.8800000000001</v>
      </c>
      <c r="M1950" t="s">
        <v>27</v>
      </c>
      <c r="N1950">
        <v>1</v>
      </c>
      <c r="O1950">
        <v>1254</v>
      </c>
      <c r="P1950">
        <v>1081</v>
      </c>
      <c r="Q1950">
        <v>0</v>
      </c>
      <c r="R1950">
        <v>1081</v>
      </c>
    </row>
    <row r="1951" spans="1:18" x14ac:dyDescent="0.3">
      <c r="A1951" s="5">
        <v>45970</v>
      </c>
      <c r="B1951" t="s">
        <v>2865</v>
      </c>
      <c r="C1951">
        <v>22</v>
      </c>
      <c r="D1951">
        <v>36</v>
      </c>
      <c r="E1951" s="1">
        <v>1.9993055555555554</v>
      </c>
      <c r="F1951" t="s">
        <v>2866</v>
      </c>
      <c r="G1951">
        <v>5</v>
      </c>
      <c r="H1951">
        <v>1080.7801999999999</v>
      </c>
      <c r="I1951">
        <v>0</v>
      </c>
      <c r="J1951">
        <v>1163.79</v>
      </c>
      <c r="K1951">
        <v>0</v>
      </c>
      <c r="L1951">
        <v>1158.8800000000001</v>
      </c>
      <c r="M1951" t="s">
        <v>27</v>
      </c>
      <c r="N1951">
        <v>1</v>
      </c>
      <c r="O1951">
        <v>1254</v>
      </c>
      <c r="P1951">
        <v>1081</v>
      </c>
      <c r="Q1951">
        <v>0</v>
      </c>
      <c r="R1951">
        <v>1081</v>
      </c>
    </row>
    <row r="1952" spans="1:18" x14ac:dyDescent="0.3">
      <c r="A1952" s="5">
        <v>45970</v>
      </c>
      <c r="B1952" t="s">
        <v>2865</v>
      </c>
      <c r="C1952">
        <v>22</v>
      </c>
      <c r="D1952">
        <v>36</v>
      </c>
      <c r="E1952" s="1">
        <v>1.9993055555555554</v>
      </c>
      <c r="F1952" t="s">
        <v>2866</v>
      </c>
      <c r="G1952">
        <v>5</v>
      </c>
      <c r="H1952">
        <v>1080.7801999999999</v>
      </c>
      <c r="I1952">
        <v>0</v>
      </c>
      <c r="J1952">
        <v>1163.79</v>
      </c>
      <c r="K1952">
        <v>0</v>
      </c>
      <c r="L1952">
        <v>1158.8800000000001</v>
      </c>
      <c r="M1952" t="s">
        <v>27</v>
      </c>
      <c r="N1952">
        <v>1</v>
      </c>
      <c r="O1952">
        <v>1254</v>
      </c>
      <c r="P1952">
        <v>1081</v>
      </c>
      <c r="Q1952">
        <v>0</v>
      </c>
      <c r="R1952">
        <v>1081</v>
      </c>
    </row>
    <row r="1953" spans="1:18" x14ac:dyDescent="0.3">
      <c r="A1953" s="5">
        <v>45970</v>
      </c>
      <c r="B1953" t="s">
        <v>2865</v>
      </c>
      <c r="C1953">
        <v>22</v>
      </c>
      <c r="D1953">
        <v>36</v>
      </c>
      <c r="E1953" s="1">
        <v>1.9993055555555554</v>
      </c>
      <c r="F1953" t="s">
        <v>2866</v>
      </c>
      <c r="G1953">
        <v>5</v>
      </c>
      <c r="H1953">
        <v>1080.7801999999999</v>
      </c>
      <c r="I1953">
        <v>0</v>
      </c>
      <c r="J1953">
        <v>1163.79</v>
      </c>
      <c r="K1953">
        <v>0</v>
      </c>
      <c r="L1953">
        <v>1158.8800000000001</v>
      </c>
      <c r="M1953" t="s">
        <v>27</v>
      </c>
      <c r="N1953">
        <v>1</v>
      </c>
      <c r="O1953">
        <v>1254</v>
      </c>
      <c r="P1953">
        <v>1081</v>
      </c>
      <c r="Q1953">
        <v>0</v>
      </c>
      <c r="R1953">
        <v>1081</v>
      </c>
    </row>
    <row r="1954" spans="1:18" x14ac:dyDescent="0.3">
      <c r="A1954" s="5">
        <v>45970</v>
      </c>
      <c r="B1954" t="s">
        <v>2867</v>
      </c>
      <c r="C1954">
        <v>19</v>
      </c>
      <c r="D1954">
        <v>36</v>
      </c>
      <c r="E1954" s="1">
        <v>1.9993055555555554</v>
      </c>
      <c r="F1954" t="s">
        <v>2866</v>
      </c>
      <c r="G1954">
        <v>5</v>
      </c>
      <c r="H1954">
        <v>1080.9666999999999</v>
      </c>
      <c r="I1954">
        <v>0</v>
      </c>
      <c r="J1954">
        <v>1163.79</v>
      </c>
      <c r="K1954">
        <v>0</v>
      </c>
      <c r="L1954">
        <v>1158.8800000000001</v>
      </c>
      <c r="M1954" t="s">
        <v>27</v>
      </c>
      <c r="N1954">
        <v>1</v>
      </c>
      <c r="O1954">
        <v>1254</v>
      </c>
      <c r="P1954">
        <v>1081</v>
      </c>
      <c r="Q1954">
        <v>0</v>
      </c>
      <c r="R1954">
        <v>1081</v>
      </c>
    </row>
    <row r="1955" spans="1:18" x14ac:dyDescent="0.3">
      <c r="A1955" s="5">
        <v>45970</v>
      </c>
      <c r="B1955" t="s">
        <v>2867</v>
      </c>
      <c r="C1955">
        <v>19</v>
      </c>
      <c r="D1955">
        <v>36</v>
      </c>
      <c r="E1955" s="1">
        <v>1.9993055555555554</v>
      </c>
      <c r="F1955" t="s">
        <v>2866</v>
      </c>
      <c r="G1955">
        <v>5</v>
      </c>
      <c r="H1955">
        <v>1080.9666999999999</v>
      </c>
      <c r="I1955">
        <v>0</v>
      </c>
      <c r="J1955">
        <v>1163.79</v>
      </c>
      <c r="K1955">
        <v>0</v>
      </c>
      <c r="L1955">
        <v>1158.8800000000001</v>
      </c>
      <c r="M1955" t="s">
        <v>27</v>
      </c>
      <c r="N1955">
        <v>1</v>
      </c>
      <c r="O1955">
        <v>1254</v>
      </c>
      <c r="P1955">
        <v>1081</v>
      </c>
      <c r="Q1955">
        <v>0</v>
      </c>
      <c r="R1955">
        <v>1081</v>
      </c>
    </row>
    <row r="1956" spans="1:18" x14ac:dyDescent="0.3">
      <c r="A1956" s="5">
        <v>45970</v>
      </c>
      <c r="B1956" t="s">
        <v>2867</v>
      </c>
      <c r="C1956">
        <v>19</v>
      </c>
      <c r="D1956">
        <v>36</v>
      </c>
      <c r="E1956" s="1">
        <v>1.9993055555555554</v>
      </c>
      <c r="F1956" t="s">
        <v>2866</v>
      </c>
      <c r="G1956">
        <v>5</v>
      </c>
      <c r="H1956">
        <v>1080.9666999999999</v>
      </c>
      <c r="I1956">
        <v>0</v>
      </c>
      <c r="J1956">
        <v>1163.79</v>
      </c>
      <c r="K1956">
        <v>0</v>
      </c>
      <c r="L1956">
        <v>1158.8800000000001</v>
      </c>
      <c r="M1956" t="s">
        <v>27</v>
      </c>
      <c r="N1956">
        <v>1</v>
      </c>
      <c r="O1956">
        <v>1254</v>
      </c>
      <c r="P1956">
        <v>1081</v>
      </c>
      <c r="Q1956">
        <v>0</v>
      </c>
      <c r="R1956">
        <v>1081</v>
      </c>
    </row>
    <row r="1957" spans="1:18" x14ac:dyDescent="0.3">
      <c r="A1957" s="5">
        <v>45970</v>
      </c>
      <c r="B1957" t="s">
        <v>2867</v>
      </c>
      <c r="C1957">
        <v>19</v>
      </c>
      <c r="D1957">
        <v>36</v>
      </c>
      <c r="E1957" s="1">
        <v>1.9993055555555554</v>
      </c>
      <c r="F1957" t="s">
        <v>2866</v>
      </c>
      <c r="G1957">
        <v>5</v>
      </c>
      <c r="H1957">
        <v>1080.9666999999999</v>
      </c>
      <c r="I1957">
        <v>0</v>
      </c>
      <c r="J1957">
        <v>1163.79</v>
      </c>
      <c r="K1957">
        <v>0</v>
      </c>
      <c r="L1957">
        <v>1158.8800000000001</v>
      </c>
      <c r="M1957" t="s">
        <v>27</v>
      </c>
      <c r="N1957">
        <v>1</v>
      </c>
      <c r="O1957">
        <v>1254</v>
      </c>
      <c r="P1957">
        <v>1081</v>
      </c>
      <c r="Q1957">
        <v>0</v>
      </c>
      <c r="R1957">
        <v>1081</v>
      </c>
    </row>
    <row r="1958" spans="1:18" x14ac:dyDescent="0.3">
      <c r="A1958" s="5">
        <v>45970</v>
      </c>
      <c r="B1958" t="s">
        <v>2868</v>
      </c>
      <c r="C1958">
        <v>20</v>
      </c>
      <c r="D1958">
        <v>36</v>
      </c>
      <c r="E1958" s="1">
        <v>1.9993055555555554</v>
      </c>
      <c r="F1958" t="s">
        <v>2866</v>
      </c>
      <c r="G1958">
        <v>5</v>
      </c>
      <c r="H1958">
        <v>1080.9485999999999</v>
      </c>
      <c r="I1958">
        <v>0</v>
      </c>
      <c r="J1958">
        <v>1163.79</v>
      </c>
      <c r="K1958">
        <v>0</v>
      </c>
      <c r="L1958">
        <v>1158.8800000000001</v>
      </c>
      <c r="M1958" t="s">
        <v>27</v>
      </c>
      <c r="N1958">
        <v>1</v>
      </c>
      <c r="O1958">
        <v>1254</v>
      </c>
      <c r="P1958">
        <v>1081</v>
      </c>
      <c r="Q1958">
        <v>0</v>
      </c>
      <c r="R1958">
        <v>1081</v>
      </c>
    </row>
    <row r="1959" spans="1:18" x14ac:dyDescent="0.3">
      <c r="A1959" s="5">
        <v>45970</v>
      </c>
      <c r="B1959" t="s">
        <v>2868</v>
      </c>
      <c r="C1959">
        <v>20</v>
      </c>
      <c r="D1959">
        <v>36</v>
      </c>
      <c r="E1959" s="1">
        <v>1.9993055555555554</v>
      </c>
      <c r="F1959" t="s">
        <v>2866</v>
      </c>
      <c r="G1959">
        <v>5</v>
      </c>
      <c r="H1959">
        <v>1080.9485999999999</v>
      </c>
      <c r="I1959">
        <v>0</v>
      </c>
      <c r="J1959">
        <v>1163.79</v>
      </c>
      <c r="K1959">
        <v>0</v>
      </c>
      <c r="L1959">
        <v>1158.8800000000001</v>
      </c>
      <c r="M1959" t="s">
        <v>27</v>
      </c>
      <c r="N1959">
        <v>1</v>
      </c>
      <c r="O1959">
        <v>1254</v>
      </c>
      <c r="P1959">
        <v>1081</v>
      </c>
      <c r="Q1959">
        <v>0</v>
      </c>
      <c r="R1959">
        <v>1081</v>
      </c>
    </row>
    <row r="1960" spans="1:18" x14ac:dyDescent="0.3">
      <c r="A1960" s="5">
        <v>45970</v>
      </c>
      <c r="B1960" t="s">
        <v>2868</v>
      </c>
      <c r="C1960">
        <v>20</v>
      </c>
      <c r="D1960">
        <v>36</v>
      </c>
      <c r="E1960" s="1">
        <v>1.9993055555555554</v>
      </c>
      <c r="F1960" t="s">
        <v>2866</v>
      </c>
      <c r="G1960">
        <v>5</v>
      </c>
      <c r="H1960">
        <v>1080.9485999999999</v>
      </c>
      <c r="I1960">
        <v>0</v>
      </c>
      <c r="J1960">
        <v>1163.79</v>
      </c>
      <c r="K1960">
        <v>0</v>
      </c>
      <c r="L1960">
        <v>1158.8800000000001</v>
      </c>
      <c r="M1960" t="s">
        <v>27</v>
      </c>
      <c r="N1960">
        <v>1</v>
      </c>
      <c r="O1960">
        <v>1254</v>
      </c>
      <c r="P1960">
        <v>1081</v>
      </c>
      <c r="Q1960">
        <v>0</v>
      </c>
      <c r="R1960">
        <v>1081</v>
      </c>
    </row>
    <row r="1961" spans="1:18" x14ac:dyDescent="0.3">
      <c r="A1961" s="5">
        <v>45970</v>
      </c>
      <c r="B1961" t="s">
        <v>2868</v>
      </c>
      <c r="C1961">
        <v>20</v>
      </c>
      <c r="D1961">
        <v>36</v>
      </c>
      <c r="E1961" s="1">
        <v>1.9993055555555554</v>
      </c>
      <c r="F1961" t="s">
        <v>2866</v>
      </c>
      <c r="G1961">
        <v>5</v>
      </c>
      <c r="H1961">
        <v>1080.9485999999999</v>
      </c>
      <c r="I1961">
        <v>0</v>
      </c>
      <c r="J1961">
        <v>1163.79</v>
      </c>
      <c r="K1961">
        <v>0</v>
      </c>
      <c r="L1961">
        <v>1158.8800000000001</v>
      </c>
      <c r="M1961" t="s">
        <v>27</v>
      </c>
      <c r="N1961">
        <v>1</v>
      </c>
      <c r="O1961">
        <v>1254</v>
      </c>
      <c r="P1961">
        <v>1081</v>
      </c>
      <c r="Q1961">
        <v>0</v>
      </c>
      <c r="R1961">
        <v>1081</v>
      </c>
    </row>
    <row r="1962" spans="1:18" x14ac:dyDescent="0.3">
      <c r="A1962" s="5">
        <v>45970</v>
      </c>
      <c r="B1962" t="s">
        <v>2869</v>
      </c>
      <c r="C1962">
        <v>23</v>
      </c>
      <c r="D1962">
        <v>36</v>
      </c>
      <c r="E1962" s="1">
        <v>1.9993055555555554</v>
      </c>
      <c r="F1962" t="s">
        <v>2866</v>
      </c>
      <c r="G1962">
        <v>5</v>
      </c>
      <c r="H1962">
        <v>1080.7621999999999</v>
      </c>
      <c r="I1962">
        <v>0</v>
      </c>
      <c r="J1962">
        <v>1163.79</v>
      </c>
      <c r="K1962">
        <v>0</v>
      </c>
      <c r="L1962">
        <v>609.91</v>
      </c>
      <c r="M1962" t="s">
        <v>20</v>
      </c>
      <c r="N1962">
        <v>1</v>
      </c>
      <c r="O1962">
        <v>1254</v>
      </c>
      <c r="P1962">
        <v>1081</v>
      </c>
      <c r="Q1962">
        <v>0.5</v>
      </c>
      <c r="R1962">
        <v>540.5</v>
      </c>
    </row>
    <row r="1963" spans="1:18" x14ac:dyDescent="0.3">
      <c r="A1963" s="5">
        <v>45970</v>
      </c>
      <c r="B1963" t="s">
        <v>2869</v>
      </c>
      <c r="C1963">
        <v>23</v>
      </c>
      <c r="D1963">
        <v>36</v>
      </c>
      <c r="E1963" s="1">
        <v>1.9993055555555554</v>
      </c>
      <c r="F1963" t="s">
        <v>2866</v>
      </c>
      <c r="G1963">
        <v>5</v>
      </c>
      <c r="H1963">
        <v>1080.7621999999999</v>
      </c>
      <c r="I1963">
        <v>0</v>
      </c>
      <c r="J1963">
        <v>1163.79</v>
      </c>
      <c r="K1963">
        <v>0</v>
      </c>
      <c r="L1963">
        <v>609.91</v>
      </c>
      <c r="M1963" t="s">
        <v>20</v>
      </c>
      <c r="N1963">
        <v>1</v>
      </c>
      <c r="O1963">
        <v>1254</v>
      </c>
      <c r="P1963">
        <v>1081</v>
      </c>
      <c r="Q1963">
        <v>0.5</v>
      </c>
      <c r="R1963">
        <v>540.5</v>
      </c>
    </row>
    <row r="1964" spans="1:18" x14ac:dyDescent="0.3">
      <c r="A1964" s="5">
        <v>45970</v>
      </c>
      <c r="B1964" t="s">
        <v>2869</v>
      </c>
      <c r="C1964">
        <v>23</v>
      </c>
      <c r="D1964">
        <v>36</v>
      </c>
      <c r="E1964" s="1">
        <v>1.9993055555555554</v>
      </c>
      <c r="F1964" t="s">
        <v>2866</v>
      </c>
      <c r="G1964">
        <v>5</v>
      </c>
      <c r="H1964">
        <v>1080.7621999999999</v>
      </c>
      <c r="I1964">
        <v>0</v>
      </c>
      <c r="J1964">
        <v>1163.79</v>
      </c>
      <c r="K1964">
        <v>0</v>
      </c>
      <c r="L1964">
        <v>609.91</v>
      </c>
      <c r="M1964" t="s">
        <v>20</v>
      </c>
      <c r="N1964">
        <v>1</v>
      </c>
      <c r="O1964">
        <v>1254</v>
      </c>
      <c r="P1964">
        <v>1081</v>
      </c>
      <c r="Q1964">
        <v>0.5</v>
      </c>
      <c r="R1964">
        <v>540.5</v>
      </c>
    </row>
    <row r="1965" spans="1:18" x14ac:dyDescent="0.3">
      <c r="A1965" s="5">
        <v>45970</v>
      </c>
      <c r="B1965" t="s">
        <v>2869</v>
      </c>
      <c r="C1965">
        <v>23</v>
      </c>
      <c r="D1965">
        <v>36</v>
      </c>
      <c r="E1965" s="1">
        <v>1.9993055555555554</v>
      </c>
      <c r="F1965" t="s">
        <v>2866</v>
      </c>
      <c r="G1965">
        <v>5</v>
      </c>
      <c r="H1965">
        <v>1080.7621999999999</v>
      </c>
      <c r="I1965">
        <v>0</v>
      </c>
      <c r="J1965">
        <v>1163.79</v>
      </c>
      <c r="K1965">
        <v>0</v>
      </c>
      <c r="L1965">
        <v>609.91</v>
      </c>
      <c r="M1965" t="s">
        <v>20</v>
      </c>
      <c r="N1965">
        <v>1</v>
      </c>
      <c r="O1965">
        <v>1254</v>
      </c>
      <c r="P1965">
        <v>1081</v>
      </c>
      <c r="Q1965">
        <v>0.5</v>
      </c>
      <c r="R1965">
        <v>540.5</v>
      </c>
    </row>
    <row r="1966" spans="1:18" x14ac:dyDescent="0.3">
      <c r="A1966" s="5">
        <v>45970</v>
      </c>
      <c r="B1966" t="s">
        <v>2870</v>
      </c>
      <c r="C1966">
        <v>21</v>
      </c>
      <c r="D1966">
        <v>36</v>
      </c>
      <c r="E1966" s="1">
        <v>1.9993055555555554</v>
      </c>
      <c r="F1966" t="s">
        <v>2871</v>
      </c>
      <c r="G1966">
        <v>5</v>
      </c>
      <c r="H1966">
        <v>1080.9296999999999</v>
      </c>
      <c r="I1966">
        <v>0</v>
      </c>
      <c r="J1966">
        <v>1163.79</v>
      </c>
      <c r="K1966">
        <v>0</v>
      </c>
      <c r="L1966">
        <v>1158.8800000000001</v>
      </c>
      <c r="M1966" t="s">
        <v>27</v>
      </c>
      <c r="N1966">
        <v>1</v>
      </c>
      <c r="O1966">
        <v>1254</v>
      </c>
      <c r="P1966">
        <v>1081</v>
      </c>
      <c r="Q1966">
        <v>0</v>
      </c>
      <c r="R1966">
        <v>1081</v>
      </c>
    </row>
    <row r="1967" spans="1:18" x14ac:dyDescent="0.3">
      <c r="A1967" s="5">
        <v>45970</v>
      </c>
      <c r="B1967" t="s">
        <v>2872</v>
      </c>
      <c r="C1967">
        <v>27</v>
      </c>
      <c r="D1967">
        <v>36</v>
      </c>
      <c r="E1967" s="1">
        <v>1.9791666666666665</v>
      </c>
      <c r="F1967" t="s">
        <v>2873</v>
      </c>
      <c r="G1967">
        <v>5</v>
      </c>
      <c r="H1967">
        <v>1080.6893</v>
      </c>
      <c r="I1967">
        <v>0</v>
      </c>
      <c r="J1967">
        <v>1163.79</v>
      </c>
      <c r="K1967">
        <v>0</v>
      </c>
      <c r="L1967">
        <v>1158.8800000000001</v>
      </c>
      <c r="M1967" t="s">
        <v>27</v>
      </c>
      <c r="N1967">
        <v>1</v>
      </c>
      <c r="O1967">
        <v>1254</v>
      </c>
      <c r="P1967">
        <v>1081</v>
      </c>
      <c r="Q1967">
        <v>0</v>
      </c>
      <c r="R1967">
        <v>1081</v>
      </c>
    </row>
    <row r="1968" spans="1:18" x14ac:dyDescent="0.3">
      <c r="A1968" s="5">
        <v>45970</v>
      </c>
      <c r="B1968" t="s">
        <v>2874</v>
      </c>
      <c r="C1968">
        <v>35</v>
      </c>
      <c r="D1968">
        <v>36</v>
      </c>
      <c r="E1968" s="1">
        <v>1.4583333333333333</v>
      </c>
      <c r="F1968" t="s">
        <v>2875</v>
      </c>
      <c r="G1968">
        <v>0</v>
      </c>
      <c r="H1968">
        <v>1080.9336000000001</v>
      </c>
      <c r="I1968">
        <v>2.5</v>
      </c>
      <c r="J1968">
        <v>1163.79</v>
      </c>
      <c r="K1968">
        <v>1.9580666999707901</v>
      </c>
      <c r="L1968">
        <v>1158.8800000000001</v>
      </c>
      <c r="M1968" t="s">
        <v>27</v>
      </c>
      <c r="N1968">
        <v>1</v>
      </c>
      <c r="O1968">
        <v>1281</v>
      </c>
      <c r="P1968">
        <v>1108</v>
      </c>
      <c r="Q1968">
        <v>0</v>
      </c>
      <c r="R1968">
        <v>1108</v>
      </c>
    </row>
    <row r="1969" spans="1:18" x14ac:dyDescent="0.3">
      <c r="A1969" s="5">
        <v>45970</v>
      </c>
      <c r="B1969" t="s">
        <v>2876</v>
      </c>
      <c r="C1969">
        <v>4</v>
      </c>
      <c r="D1969">
        <v>36</v>
      </c>
      <c r="E1969" s="1">
        <v>1.0833333333333333</v>
      </c>
      <c r="F1969" t="s">
        <v>2877</v>
      </c>
      <c r="G1969">
        <v>0</v>
      </c>
      <c r="H1969">
        <v>1081.4951000000001</v>
      </c>
      <c r="I1969">
        <v>2.5</v>
      </c>
      <c r="J1969">
        <v>1163.79</v>
      </c>
      <c r="K1969">
        <v>1.9580666999707901</v>
      </c>
      <c r="L1969">
        <v>1158.8800000000001</v>
      </c>
      <c r="M1969" t="s">
        <v>27</v>
      </c>
      <c r="N1969">
        <v>1</v>
      </c>
      <c r="O1969">
        <v>1282</v>
      </c>
      <c r="P1969">
        <v>1109</v>
      </c>
      <c r="Q1969">
        <v>0</v>
      </c>
      <c r="R1969">
        <v>1109</v>
      </c>
    </row>
    <row r="1970" spans="1:18" x14ac:dyDescent="0.3">
      <c r="A1970" s="5">
        <v>45970</v>
      </c>
      <c r="B1970" t="s">
        <v>1367</v>
      </c>
      <c r="C1970">
        <v>32</v>
      </c>
      <c r="D1970">
        <v>36</v>
      </c>
      <c r="E1970" s="1">
        <v>1.9993055555555554</v>
      </c>
      <c r="F1970" t="s">
        <v>1368</v>
      </c>
      <c r="G1970">
        <v>5</v>
      </c>
      <c r="H1970">
        <v>1080.5989</v>
      </c>
      <c r="I1970">
        <v>0</v>
      </c>
      <c r="J1970">
        <v>1163.79</v>
      </c>
      <c r="K1970">
        <v>0</v>
      </c>
      <c r="L1970">
        <v>1158.8800000000001</v>
      </c>
      <c r="M1970" t="s">
        <v>27</v>
      </c>
      <c r="N1970">
        <v>1</v>
      </c>
      <c r="O1970">
        <v>1253</v>
      </c>
      <c r="P1970">
        <v>1081</v>
      </c>
      <c r="Q1970">
        <v>0</v>
      </c>
      <c r="R1970">
        <v>1081</v>
      </c>
    </row>
    <row r="1971" spans="1:18" x14ac:dyDescent="0.3">
      <c r="A1971" s="5">
        <v>45970</v>
      </c>
      <c r="B1971" t="s">
        <v>2878</v>
      </c>
      <c r="C1971">
        <v>24</v>
      </c>
      <c r="D1971">
        <v>36</v>
      </c>
      <c r="E1971" s="1">
        <v>1.9993055555555554</v>
      </c>
      <c r="F1971" t="s">
        <v>2879</v>
      </c>
      <c r="G1971">
        <v>5</v>
      </c>
      <c r="H1971">
        <v>1080.7427</v>
      </c>
      <c r="I1971">
        <v>0</v>
      </c>
      <c r="J1971">
        <v>1163.79</v>
      </c>
      <c r="K1971">
        <v>0</v>
      </c>
      <c r="L1971">
        <v>1158.8800000000001</v>
      </c>
      <c r="M1971" t="s">
        <v>27</v>
      </c>
      <c r="N1971">
        <v>1</v>
      </c>
      <c r="O1971">
        <v>1254</v>
      </c>
      <c r="P1971">
        <v>1081</v>
      </c>
      <c r="Q1971">
        <v>0</v>
      </c>
      <c r="R1971">
        <v>1081</v>
      </c>
    </row>
    <row r="1972" spans="1:18" x14ac:dyDescent="0.3">
      <c r="A1972" s="5">
        <v>45970</v>
      </c>
      <c r="B1972" t="s">
        <v>2880</v>
      </c>
      <c r="C1972">
        <v>19</v>
      </c>
      <c r="D1972">
        <v>36</v>
      </c>
      <c r="E1972" s="1">
        <v>1.9791666666666665</v>
      </c>
      <c r="F1972" t="s">
        <v>2881</v>
      </c>
      <c r="G1972">
        <v>1</v>
      </c>
      <c r="H1972">
        <v>1080.9575</v>
      </c>
      <c r="I1972">
        <v>8.5</v>
      </c>
      <c r="J1972">
        <v>1163.79</v>
      </c>
      <c r="K1972">
        <v>6.6574267799006801</v>
      </c>
      <c r="L1972">
        <v>1219.83</v>
      </c>
      <c r="M1972" t="s">
        <v>27</v>
      </c>
      <c r="N1972">
        <v>1</v>
      </c>
      <c r="O1972">
        <v>1346</v>
      </c>
      <c r="P1972">
        <v>1173</v>
      </c>
      <c r="Q1972">
        <v>0</v>
      </c>
      <c r="R1972">
        <v>1173</v>
      </c>
    </row>
    <row r="1973" spans="1:18" x14ac:dyDescent="0.3">
      <c r="A1973" s="5">
        <v>45970</v>
      </c>
      <c r="B1973" t="s">
        <v>2882</v>
      </c>
      <c r="C1973">
        <v>20</v>
      </c>
      <c r="D1973">
        <v>36</v>
      </c>
      <c r="E1973" s="1">
        <v>1.9791666666666665</v>
      </c>
      <c r="F1973" t="s">
        <v>2883</v>
      </c>
      <c r="G1973">
        <v>2</v>
      </c>
      <c r="H1973">
        <v>1080.9395999999999</v>
      </c>
      <c r="I1973">
        <v>5</v>
      </c>
      <c r="J1973">
        <v>1163.79</v>
      </c>
      <c r="K1973">
        <v>3.9161333999415802</v>
      </c>
      <c r="L1973">
        <v>609.91</v>
      </c>
      <c r="M1973" t="s">
        <v>60</v>
      </c>
      <c r="N1973">
        <v>1</v>
      </c>
      <c r="O1973">
        <v>1308</v>
      </c>
      <c r="P1973">
        <v>1135</v>
      </c>
      <c r="Q1973">
        <v>0.5</v>
      </c>
      <c r="R1973">
        <v>567.5</v>
      </c>
    </row>
    <row r="1974" spans="1:18" x14ac:dyDescent="0.3">
      <c r="A1974" s="5">
        <v>45970</v>
      </c>
      <c r="B1974" t="s">
        <v>2884</v>
      </c>
      <c r="C1974">
        <v>27</v>
      </c>
      <c r="D1974">
        <v>36</v>
      </c>
      <c r="E1974" s="1">
        <v>1.9993055555555554</v>
      </c>
      <c r="F1974" t="s">
        <v>2885</v>
      </c>
      <c r="G1974">
        <v>5</v>
      </c>
      <c r="H1974">
        <v>1080.6878999999999</v>
      </c>
      <c r="I1974">
        <v>0</v>
      </c>
      <c r="J1974">
        <v>1163.79</v>
      </c>
      <c r="K1974">
        <v>0</v>
      </c>
      <c r="L1974">
        <v>1158.8800000000001</v>
      </c>
      <c r="M1974" t="s">
        <v>27</v>
      </c>
      <c r="N1974">
        <v>1</v>
      </c>
      <c r="O1974">
        <v>1254</v>
      </c>
      <c r="P1974">
        <v>1081</v>
      </c>
      <c r="Q1974">
        <v>0</v>
      </c>
      <c r="R1974">
        <v>1081</v>
      </c>
    </row>
    <row r="1975" spans="1:18" x14ac:dyDescent="0.3">
      <c r="A1975" s="5">
        <v>45970</v>
      </c>
      <c r="B1975" t="s">
        <v>2886</v>
      </c>
      <c r="C1975">
        <v>29</v>
      </c>
      <c r="D1975">
        <v>36</v>
      </c>
      <c r="E1975" s="1">
        <v>1.9993055555555554</v>
      </c>
      <c r="F1975" t="s">
        <v>2887</v>
      </c>
      <c r="G1975">
        <v>5</v>
      </c>
      <c r="H1975">
        <v>1080.6503</v>
      </c>
      <c r="I1975">
        <v>0</v>
      </c>
      <c r="J1975">
        <v>1163.79</v>
      </c>
      <c r="K1975">
        <v>0</v>
      </c>
      <c r="L1975">
        <v>1158.8800000000001</v>
      </c>
      <c r="M1975" t="s">
        <v>27</v>
      </c>
      <c r="N1975">
        <v>1</v>
      </c>
      <c r="O1975">
        <v>1254</v>
      </c>
      <c r="P1975">
        <v>1081</v>
      </c>
      <c r="Q1975">
        <v>0</v>
      </c>
      <c r="R1975">
        <v>1081</v>
      </c>
    </row>
    <row r="1976" spans="1:18" x14ac:dyDescent="0.3">
      <c r="A1976" s="5">
        <v>45970</v>
      </c>
      <c r="B1976" t="s">
        <v>1863</v>
      </c>
      <c r="C1976">
        <v>28</v>
      </c>
      <c r="D1976">
        <v>36</v>
      </c>
      <c r="E1976" s="1">
        <v>1.9993055555555554</v>
      </c>
      <c r="F1976" t="s">
        <v>2888</v>
      </c>
      <c r="G1976">
        <v>5</v>
      </c>
      <c r="H1976">
        <v>1080.6676</v>
      </c>
      <c r="I1976">
        <v>0</v>
      </c>
      <c r="J1976">
        <v>1163.79</v>
      </c>
      <c r="K1976">
        <v>0</v>
      </c>
      <c r="L1976">
        <v>1158.8800000000001</v>
      </c>
      <c r="M1976" t="s">
        <v>27</v>
      </c>
      <c r="N1976">
        <v>1</v>
      </c>
      <c r="O1976">
        <v>1254</v>
      </c>
      <c r="P1976">
        <v>1081</v>
      </c>
      <c r="Q1976">
        <v>0</v>
      </c>
      <c r="R1976">
        <v>1081</v>
      </c>
    </row>
    <row r="1977" spans="1:18" x14ac:dyDescent="0.3">
      <c r="A1977" s="5">
        <v>45970</v>
      </c>
      <c r="B1977" t="s">
        <v>2889</v>
      </c>
      <c r="C1977">
        <v>24</v>
      </c>
      <c r="D1977">
        <v>36</v>
      </c>
      <c r="E1977" s="1">
        <v>1.25</v>
      </c>
      <c r="F1977" t="s">
        <v>2890</v>
      </c>
      <c r="G1977">
        <v>0</v>
      </c>
      <c r="H1977">
        <v>1081.1297999999999</v>
      </c>
      <c r="I1977">
        <v>2.5</v>
      </c>
      <c r="J1977">
        <v>1163.79</v>
      </c>
      <c r="K1977">
        <v>1.9580666999707901</v>
      </c>
      <c r="L1977">
        <v>1158.8800000000001</v>
      </c>
      <c r="M1977" t="s">
        <v>27</v>
      </c>
      <c r="N1977">
        <v>1</v>
      </c>
      <c r="O1977">
        <v>1281</v>
      </c>
      <c r="P1977">
        <v>1108</v>
      </c>
      <c r="Q1977">
        <v>0</v>
      </c>
      <c r="R1977">
        <v>1108</v>
      </c>
    </row>
    <row r="1978" spans="1:18" x14ac:dyDescent="0.3">
      <c r="A1978" s="5">
        <v>45970</v>
      </c>
      <c r="B1978" t="s">
        <v>2891</v>
      </c>
      <c r="C1978">
        <v>18</v>
      </c>
      <c r="D1978">
        <v>36</v>
      </c>
      <c r="E1978" s="1">
        <v>1.0833333333333333</v>
      </c>
      <c r="F1978" t="s">
        <v>2892</v>
      </c>
      <c r="G1978">
        <v>4</v>
      </c>
      <c r="H1978">
        <v>1081.3721</v>
      </c>
      <c r="I1978">
        <v>7</v>
      </c>
      <c r="J1978">
        <v>1163.79</v>
      </c>
      <c r="K1978">
        <v>5.4825867599182097</v>
      </c>
      <c r="L1978">
        <v>1158.8800000000001</v>
      </c>
      <c r="M1978" t="s">
        <v>27</v>
      </c>
      <c r="N1978">
        <v>1</v>
      </c>
      <c r="O1978">
        <v>1330</v>
      </c>
      <c r="P1978">
        <v>1157</v>
      </c>
      <c r="Q1978">
        <v>0</v>
      </c>
      <c r="R1978">
        <v>1157</v>
      </c>
    </row>
    <row r="1979" spans="1:18" x14ac:dyDescent="0.3">
      <c r="A1979" s="5">
        <v>45970</v>
      </c>
      <c r="B1979" t="s">
        <v>2893</v>
      </c>
      <c r="C1979">
        <v>33</v>
      </c>
      <c r="D1979">
        <v>36</v>
      </c>
      <c r="E1979" s="1">
        <v>1.4583333333333333</v>
      </c>
      <c r="F1979" t="s">
        <v>2894</v>
      </c>
      <c r="G1979">
        <v>2</v>
      </c>
      <c r="H1979">
        <v>1080.8821</v>
      </c>
      <c r="I1979">
        <v>5</v>
      </c>
      <c r="J1979">
        <v>1163.79</v>
      </c>
      <c r="K1979">
        <v>3.9161333999415802</v>
      </c>
      <c r="L1979">
        <v>609.91</v>
      </c>
      <c r="M1979" t="s">
        <v>60</v>
      </c>
      <c r="N1979">
        <v>1</v>
      </c>
      <c r="O1979">
        <v>1308</v>
      </c>
      <c r="P1979">
        <v>1135</v>
      </c>
      <c r="Q1979">
        <v>0.5</v>
      </c>
      <c r="R1979">
        <v>567.5</v>
      </c>
    </row>
    <row r="1980" spans="1:18" x14ac:dyDescent="0.3">
      <c r="A1980" s="5">
        <v>45970</v>
      </c>
      <c r="B1980" t="s">
        <v>2895</v>
      </c>
      <c r="C1980">
        <v>34</v>
      </c>
      <c r="D1980">
        <v>36</v>
      </c>
      <c r="E1980" s="1">
        <v>1.4583333333333333</v>
      </c>
      <c r="F1980" t="s">
        <v>2896</v>
      </c>
      <c r="G1980">
        <v>3</v>
      </c>
      <c r="H1980">
        <v>1080.8641</v>
      </c>
      <c r="I1980">
        <v>10</v>
      </c>
      <c r="J1980">
        <v>1163.79</v>
      </c>
      <c r="K1980">
        <v>7.8322667998831603</v>
      </c>
      <c r="L1980">
        <v>609.91</v>
      </c>
      <c r="M1980" t="s">
        <v>20</v>
      </c>
      <c r="N1980">
        <v>1</v>
      </c>
      <c r="O1980">
        <v>1362</v>
      </c>
      <c r="P1980">
        <v>1189</v>
      </c>
      <c r="Q1980">
        <v>0.5</v>
      </c>
      <c r="R1980">
        <v>594.5</v>
      </c>
    </row>
    <row r="1981" spans="1:18" x14ac:dyDescent="0.3">
      <c r="A1981" s="5">
        <v>45970</v>
      </c>
      <c r="B1981" t="s">
        <v>2897</v>
      </c>
      <c r="C1981">
        <v>13</v>
      </c>
      <c r="D1981">
        <v>36</v>
      </c>
      <c r="E1981" s="1">
        <v>1.25</v>
      </c>
      <c r="F1981" t="s">
        <v>2898</v>
      </c>
      <c r="G1981">
        <v>0</v>
      </c>
      <c r="H1981">
        <v>1081.4592</v>
      </c>
      <c r="I1981">
        <v>2.5</v>
      </c>
      <c r="J1981">
        <v>1163.79</v>
      </c>
      <c r="K1981">
        <v>1.9580666999707901</v>
      </c>
      <c r="L1981">
        <v>1158.8800000000001</v>
      </c>
      <c r="M1981" t="s">
        <v>27</v>
      </c>
      <c r="N1981">
        <v>1</v>
      </c>
      <c r="O1981">
        <v>1282</v>
      </c>
      <c r="P1981">
        <v>1108</v>
      </c>
      <c r="Q1981">
        <v>0</v>
      </c>
      <c r="R1981">
        <v>1108</v>
      </c>
    </row>
    <row r="1982" spans="1:18" x14ac:dyDescent="0.3">
      <c r="A1982" s="5">
        <v>45970</v>
      </c>
      <c r="B1982" t="s">
        <v>2899</v>
      </c>
      <c r="C1982">
        <v>3</v>
      </c>
      <c r="D1982">
        <v>36</v>
      </c>
      <c r="E1982" s="1">
        <v>1.25</v>
      </c>
      <c r="F1982" t="s">
        <v>2900</v>
      </c>
      <c r="G1982">
        <v>5</v>
      </c>
      <c r="H1982">
        <v>1081.5728999999999</v>
      </c>
      <c r="I1982">
        <v>0</v>
      </c>
      <c r="J1982">
        <v>1163.79</v>
      </c>
      <c r="K1982">
        <v>0</v>
      </c>
      <c r="L1982">
        <v>1158.8800000000001</v>
      </c>
      <c r="M1982" t="s">
        <v>27</v>
      </c>
      <c r="N1982">
        <v>1</v>
      </c>
      <c r="O1982">
        <v>1255</v>
      </c>
      <c r="P1982">
        <v>1082</v>
      </c>
      <c r="Q1982">
        <v>0</v>
      </c>
      <c r="R1982">
        <v>1082</v>
      </c>
    </row>
    <row r="1983" spans="1:18" x14ac:dyDescent="0.3">
      <c r="A1983" s="5">
        <v>45970</v>
      </c>
      <c r="B1983" t="s">
        <v>2901</v>
      </c>
      <c r="C1983">
        <v>9</v>
      </c>
      <c r="D1983">
        <v>36</v>
      </c>
      <c r="E1983" s="1">
        <v>1.9993055555555554</v>
      </c>
      <c r="F1983" t="s">
        <v>2902</v>
      </c>
      <c r="G1983">
        <v>5</v>
      </c>
      <c r="H1983">
        <v>1081.1400000000001</v>
      </c>
      <c r="I1983">
        <v>0</v>
      </c>
      <c r="J1983">
        <v>1163.79</v>
      </c>
      <c r="K1983">
        <v>0</v>
      </c>
      <c r="L1983">
        <v>1158.8800000000001</v>
      </c>
      <c r="M1983" t="s">
        <v>27</v>
      </c>
      <c r="N1983">
        <v>1</v>
      </c>
      <c r="O1983">
        <v>1254</v>
      </c>
      <c r="P1983">
        <v>1081</v>
      </c>
      <c r="Q1983">
        <v>0</v>
      </c>
      <c r="R1983">
        <v>1081</v>
      </c>
    </row>
    <row r="1984" spans="1:18" x14ac:dyDescent="0.3">
      <c r="A1984" s="5">
        <v>45970</v>
      </c>
      <c r="B1984" t="s">
        <v>1829</v>
      </c>
      <c r="C1984">
        <v>5</v>
      </c>
      <c r="D1984">
        <v>36</v>
      </c>
      <c r="E1984" s="1">
        <v>1.9993055555555554</v>
      </c>
      <c r="F1984" t="s">
        <v>1830</v>
      </c>
      <c r="G1984">
        <v>5</v>
      </c>
      <c r="H1984">
        <v>1081.2118</v>
      </c>
      <c r="I1984">
        <v>0</v>
      </c>
      <c r="J1984">
        <v>1163.79</v>
      </c>
      <c r="K1984">
        <v>0</v>
      </c>
      <c r="L1984">
        <v>1158.8800000000001</v>
      </c>
      <c r="M1984" t="s">
        <v>27</v>
      </c>
      <c r="N1984">
        <v>1</v>
      </c>
      <c r="O1984">
        <v>1254</v>
      </c>
      <c r="P1984">
        <v>1081</v>
      </c>
      <c r="Q1984">
        <v>0</v>
      </c>
      <c r="R1984">
        <v>1081</v>
      </c>
    </row>
    <row r="1985" spans="1:18" x14ac:dyDescent="0.3">
      <c r="A1985" s="5">
        <v>45970</v>
      </c>
      <c r="B1985" t="s">
        <v>2903</v>
      </c>
      <c r="C1985">
        <v>33</v>
      </c>
      <c r="D1985">
        <v>36</v>
      </c>
      <c r="E1985" s="1">
        <v>1.9791666666666665</v>
      </c>
      <c r="F1985" t="s">
        <v>2904</v>
      </c>
      <c r="G1985">
        <v>0</v>
      </c>
      <c r="H1985">
        <v>1080.5753999999999</v>
      </c>
      <c r="I1985">
        <v>2.5</v>
      </c>
      <c r="J1985">
        <v>1163.79</v>
      </c>
      <c r="K1985">
        <v>1.9580666999707901</v>
      </c>
      <c r="L1985">
        <v>1158.8800000000001</v>
      </c>
      <c r="M1985" t="s">
        <v>27</v>
      </c>
      <c r="N1985">
        <v>1</v>
      </c>
      <c r="O1985">
        <v>1280</v>
      </c>
      <c r="P1985">
        <v>1108</v>
      </c>
      <c r="Q1985">
        <v>0</v>
      </c>
      <c r="R1985">
        <v>1108</v>
      </c>
    </row>
    <row r="1986" spans="1:18" x14ac:dyDescent="0.3">
      <c r="A1986" s="5">
        <v>45970</v>
      </c>
      <c r="B1986" t="s">
        <v>2905</v>
      </c>
      <c r="C1986">
        <v>36</v>
      </c>
      <c r="D1986">
        <v>36</v>
      </c>
      <c r="E1986" s="1">
        <v>1.25</v>
      </c>
      <c r="F1986" t="s">
        <v>2906</v>
      </c>
      <c r="G1986">
        <v>5</v>
      </c>
      <c r="H1986">
        <v>1080.9119000000001</v>
      </c>
      <c r="I1986">
        <v>0</v>
      </c>
      <c r="J1986">
        <v>1163.79</v>
      </c>
      <c r="K1986">
        <v>0</v>
      </c>
      <c r="L1986">
        <v>1158.8800000000001</v>
      </c>
      <c r="M1986" t="s">
        <v>27</v>
      </c>
      <c r="N1986">
        <v>1</v>
      </c>
      <c r="O1986">
        <v>1254</v>
      </c>
      <c r="P1986">
        <v>1081</v>
      </c>
      <c r="Q1986">
        <v>0</v>
      </c>
      <c r="R1986">
        <v>1081</v>
      </c>
    </row>
    <row r="1987" spans="1:18" x14ac:dyDescent="0.3">
      <c r="A1987" s="5">
        <v>45970</v>
      </c>
      <c r="B1987" t="s">
        <v>2907</v>
      </c>
      <c r="C1987">
        <v>12</v>
      </c>
      <c r="D1987">
        <v>36</v>
      </c>
      <c r="E1987" s="1">
        <v>1.9993055555555554</v>
      </c>
      <c r="F1987" t="s">
        <v>2908</v>
      </c>
      <c r="G1987">
        <v>5</v>
      </c>
      <c r="H1987">
        <v>1081.0853</v>
      </c>
      <c r="I1987">
        <v>0</v>
      </c>
      <c r="J1987">
        <v>1163.79</v>
      </c>
      <c r="K1987">
        <v>0</v>
      </c>
      <c r="L1987">
        <v>1158.8800000000001</v>
      </c>
      <c r="M1987" t="s">
        <v>27</v>
      </c>
      <c r="N1987">
        <v>1</v>
      </c>
      <c r="O1987">
        <v>1254</v>
      </c>
      <c r="P1987">
        <v>1081</v>
      </c>
      <c r="Q1987">
        <v>0</v>
      </c>
      <c r="R1987">
        <v>1081</v>
      </c>
    </row>
    <row r="1988" spans="1:18" x14ac:dyDescent="0.3">
      <c r="A1988" s="5">
        <v>45970</v>
      </c>
      <c r="B1988" t="s">
        <v>2907</v>
      </c>
      <c r="C1988">
        <v>12</v>
      </c>
      <c r="D1988">
        <v>36</v>
      </c>
      <c r="E1988" s="1">
        <v>1.9993055555555554</v>
      </c>
      <c r="F1988" t="s">
        <v>2908</v>
      </c>
      <c r="G1988">
        <v>5</v>
      </c>
      <c r="H1988">
        <v>1081.0853</v>
      </c>
      <c r="I1988">
        <v>0</v>
      </c>
      <c r="J1988">
        <v>1163.79</v>
      </c>
      <c r="K1988">
        <v>0</v>
      </c>
      <c r="L1988">
        <v>1158.8800000000001</v>
      </c>
      <c r="M1988" t="s">
        <v>27</v>
      </c>
      <c r="N1988">
        <v>1</v>
      </c>
      <c r="O1988">
        <v>1254</v>
      </c>
      <c r="P1988">
        <v>1081</v>
      </c>
      <c r="Q1988">
        <v>0</v>
      </c>
      <c r="R1988">
        <v>1081</v>
      </c>
    </row>
    <row r="1989" spans="1:18" x14ac:dyDescent="0.3">
      <c r="A1989" s="5">
        <v>45970</v>
      </c>
      <c r="B1989" t="s">
        <v>2909</v>
      </c>
      <c r="C1989">
        <v>26</v>
      </c>
      <c r="D1989">
        <v>36</v>
      </c>
      <c r="E1989" s="1">
        <v>1.9993055555555554</v>
      </c>
      <c r="F1989" t="s">
        <v>2908</v>
      </c>
      <c r="G1989">
        <v>5</v>
      </c>
      <c r="H1989">
        <v>1080.7012</v>
      </c>
      <c r="I1989">
        <v>0</v>
      </c>
      <c r="J1989">
        <v>1163.79</v>
      </c>
      <c r="K1989">
        <v>0</v>
      </c>
      <c r="L1989">
        <v>1158.8800000000001</v>
      </c>
      <c r="M1989" t="s">
        <v>27</v>
      </c>
      <c r="N1989">
        <v>1</v>
      </c>
      <c r="O1989">
        <v>1254</v>
      </c>
      <c r="P1989">
        <v>1081</v>
      </c>
      <c r="Q1989">
        <v>0</v>
      </c>
      <c r="R1989">
        <v>1081</v>
      </c>
    </row>
    <row r="1990" spans="1:18" x14ac:dyDescent="0.3">
      <c r="A1990" s="5">
        <v>45970</v>
      </c>
      <c r="B1990" t="s">
        <v>2909</v>
      </c>
      <c r="C1990">
        <v>26</v>
      </c>
      <c r="D1990">
        <v>36</v>
      </c>
      <c r="E1990" s="1">
        <v>1.9993055555555554</v>
      </c>
      <c r="F1990" t="s">
        <v>2908</v>
      </c>
      <c r="G1990">
        <v>5</v>
      </c>
      <c r="H1990">
        <v>1080.7012</v>
      </c>
      <c r="I1990">
        <v>0</v>
      </c>
      <c r="J1990">
        <v>1163.79</v>
      </c>
      <c r="K1990">
        <v>0</v>
      </c>
      <c r="L1990">
        <v>1158.8800000000001</v>
      </c>
      <c r="M1990" t="s">
        <v>27</v>
      </c>
      <c r="N1990">
        <v>1</v>
      </c>
      <c r="O1990">
        <v>1254</v>
      </c>
      <c r="P1990">
        <v>1081</v>
      </c>
      <c r="Q1990">
        <v>0</v>
      </c>
      <c r="R1990">
        <v>1081</v>
      </c>
    </row>
    <row r="1991" spans="1:18" x14ac:dyDescent="0.3">
      <c r="A1991" s="5">
        <v>45970</v>
      </c>
      <c r="B1991" t="s">
        <v>2910</v>
      </c>
      <c r="C1991">
        <v>6</v>
      </c>
      <c r="D1991">
        <v>36</v>
      </c>
      <c r="E1991" s="1">
        <v>1.9791666666666665</v>
      </c>
      <c r="F1991" t="s">
        <v>2911</v>
      </c>
      <c r="G1991">
        <v>1</v>
      </c>
      <c r="H1991">
        <v>1081.1931999999999</v>
      </c>
      <c r="I1991">
        <v>8.5</v>
      </c>
      <c r="J1991">
        <v>1163.79</v>
      </c>
      <c r="K1991">
        <v>6.6574267799006801</v>
      </c>
      <c r="L1991">
        <v>1219.83</v>
      </c>
      <c r="M1991" t="s">
        <v>27</v>
      </c>
      <c r="N1991">
        <v>1</v>
      </c>
      <c r="O1991">
        <v>1346</v>
      </c>
      <c r="P1991">
        <v>1173</v>
      </c>
      <c r="Q1991">
        <v>0</v>
      </c>
      <c r="R1991">
        <v>1173</v>
      </c>
    </row>
    <row r="1992" spans="1:18" x14ac:dyDescent="0.3">
      <c r="A1992" s="5">
        <v>45970</v>
      </c>
      <c r="B1992" t="s">
        <v>2912</v>
      </c>
      <c r="C1992">
        <v>5</v>
      </c>
      <c r="D1992">
        <v>36</v>
      </c>
      <c r="E1992" s="1">
        <v>1.9791666666666665</v>
      </c>
      <c r="F1992" t="s">
        <v>2913</v>
      </c>
      <c r="G1992">
        <v>3</v>
      </c>
      <c r="H1992">
        <v>1081.2112</v>
      </c>
      <c r="I1992">
        <v>10</v>
      </c>
      <c r="J1992">
        <v>1163.79</v>
      </c>
      <c r="K1992">
        <v>7.8322667998831603</v>
      </c>
      <c r="L1992">
        <v>609.91</v>
      </c>
      <c r="M1992" t="s">
        <v>20</v>
      </c>
      <c r="N1992">
        <v>1</v>
      </c>
      <c r="O1992">
        <v>1362</v>
      </c>
      <c r="P1992">
        <v>1189</v>
      </c>
      <c r="Q1992">
        <v>0.5</v>
      </c>
      <c r="R1992">
        <v>594.5</v>
      </c>
    </row>
    <row r="1993" spans="1:18" x14ac:dyDescent="0.3">
      <c r="A1993" s="5">
        <v>45970</v>
      </c>
      <c r="B1993" t="s">
        <v>2914</v>
      </c>
      <c r="C1993">
        <v>1</v>
      </c>
      <c r="D1993">
        <v>36</v>
      </c>
      <c r="E1993" s="1">
        <v>1.9791666666666665</v>
      </c>
      <c r="F1993" t="s">
        <v>2915</v>
      </c>
      <c r="G1993">
        <v>0</v>
      </c>
      <c r="H1993">
        <v>1081.4440999999999</v>
      </c>
      <c r="I1993">
        <v>2.5</v>
      </c>
      <c r="J1993">
        <v>1163.79</v>
      </c>
      <c r="K1993">
        <v>1.9580666999707901</v>
      </c>
      <c r="L1993">
        <v>1158.8800000000001</v>
      </c>
      <c r="M1993" t="s">
        <v>27</v>
      </c>
      <c r="N1993">
        <v>1</v>
      </c>
      <c r="O1993">
        <v>1282</v>
      </c>
      <c r="P1993">
        <v>1108</v>
      </c>
      <c r="Q1993">
        <v>0</v>
      </c>
      <c r="R1993">
        <v>1108</v>
      </c>
    </row>
    <row r="1994" spans="1:18" x14ac:dyDescent="0.3">
      <c r="A1994" s="5">
        <v>45970</v>
      </c>
      <c r="B1994" t="s">
        <v>2916</v>
      </c>
      <c r="C1994">
        <v>15</v>
      </c>
      <c r="D1994">
        <v>36</v>
      </c>
      <c r="E1994" s="1">
        <v>1.9791666666666665</v>
      </c>
      <c r="F1994" t="s">
        <v>2917</v>
      </c>
      <c r="G1994">
        <v>4</v>
      </c>
      <c r="H1994">
        <v>1081.0308</v>
      </c>
      <c r="I1994">
        <v>7</v>
      </c>
      <c r="J1994">
        <v>1163.79</v>
      </c>
      <c r="K1994">
        <v>5.4825867599182097</v>
      </c>
      <c r="L1994">
        <v>1158.8800000000001</v>
      </c>
      <c r="M1994" t="s">
        <v>27</v>
      </c>
      <c r="N1994">
        <v>1</v>
      </c>
      <c r="O1994">
        <v>1330</v>
      </c>
      <c r="P1994">
        <v>1157</v>
      </c>
      <c r="Q1994">
        <v>0</v>
      </c>
      <c r="R1994">
        <v>1157</v>
      </c>
    </row>
    <row r="1995" spans="1:18" x14ac:dyDescent="0.3">
      <c r="A1995" s="5">
        <v>45970</v>
      </c>
      <c r="B1995" t="s">
        <v>2918</v>
      </c>
      <c r="C1995">
        <v>33</v>
      </c>
      <c r="D1995">
        <v>36</v>
      </c>
      <c r="E1995" s="1">
        <v>1.9993055555555554</v>
      </c>
      <c r="F1995" t="s">
        <v>2919</v>
      </c>
      <c r="G1995">
        <v>5</v>
      </c>
      <c r="H1995">
        <v>1080.5744999999999</v>
      </c>
      <c r="I1995">
        <v>0</v>
      </c>
      <c r="J1995">
        <v>1163.79</v>
      </c>
      <c r="K1995">
        <v>0</v>
      </c>
      <c r="L1995">
        <v>1158.8800000000001</v>
      </c>
      <c r="M1995" t="s">
        <v>27</v>
      </c>
      <c r="N1995">
        <v>1</v>
      </c>
      <c r="O1995">
        <v>1253</v>
      </c>
      <c r="P1995">
        <v>1081</v>
      </c>
      <c r="Q1995">
        <v>0</v>
      </c>
      <c r="R1995">
        <v>1081</v>
      </c>
    </row>
    <row r="1996" spans="1:18" x14ac:dyDescent="0.3">
      <c r="A1996" s="5">
        <v>45970</v>
      </c>
      <c r="B1996" t="s">
        <v>2716</v>
      </c>
      <c r="C1996">
        <v>25</v>
      </c>
      <c r="D1996">
        <v>36</v>
      </c>
      <c r="E1996" s="1">
        <v>1.9791666666666665</v>
      </c>
      <c r="F1996" t="s">
        <v>2717</v>
      </c>
      <c r="G1996">
        <v>5</v>
      </c>
      <c r="H1996">
        <v>1080.7175</v>
      </c>
      <c r="I1996">
        <v>0</v>
      </c>
      <c r="J1996">
        <v>1163.79</v>
      </c>
      <c r="K1996">
        <v>0</v>
      </c>
      <c r="L1996">
        <v>1158.8800000000001</v>
      </c>
      <c r="M1996" t="s">
        <v>27</v>
      </c>
      <c r="N1996">
        <v>1</v>
      </c>
      <c r="O1996">
        <v>1254</v>
      </c>
      <c r="P1996">
        <v>1081</v>
      </c>
      <c r="Q1996">
        <v>0</v>
      </c>
      <c r="R1996">
        <v>1081</v>
      </c>
    </row>
    <row r="1997" spans="1:18" x14ac:dyDescent="0.3">
      <c r="A1997" s="5">
        <v>45970</v>
      </c>
      <c r="B1997" t="s">
        <v>2716</v>
      </c>
      <c r="C1997">
        <v>25</v>
      </c>
      <c r="D1997">
        <v>36</v>
      </c>
      <c r="E1997" s="1">
        <v>1.9791666666666665</v>
      </c>
      <c r="F1997" t="s">
        <v>2717</v>
      </c>
      <c r="G1997">
        <v>5</v>
      </c>
      <c r="H1997">
        <v>1080.7175</v>
      </c>
      <c r="I1997">
        <v>0</v>
      </c>
      <c r="J1997">
        <v>1163.79</v>
      </c>
      <c r="K1997">
        <v>0</v>
      </c>
      <c r="L1997">
        <v>1158.8800000000001</v>
      </c>
      <c r="M1997" t="s">
        <v>27</v>
      </c>
      <c r="N1997">
        <v>1</v>
      </c>
      <c r="O1997">
        <v>1254</v>
      </c>
      <c r="P1997">
        <v>1081</v>
      </c>
      <c r="Q1997">
        <v>0</v>
      </c>
      <c r="R1997">
        <v>1081</v>
      </c>
    </row>
    <row r="1998" spans="1:18" x14ac:dyDescent="0.3">
      <c r="A1998" s="5">
        <v>45970</v>
      </c>
      <c r="B1998" t="s">
        <v>2718</v>
      </c>
      <c r="C1998">
        <v>22</v>
      </c>
      <c r="D1998">
        <v>36</v>
      </c>
      <c r="E1998" s="1">
        <v>1.9791666666666665</v>
      </c>
      <c r="F1998" t="s">
        <v>2717</v>
      </c>
      <c r="G1998">
        <v>5</v>
      </c>
      <c r="H1998">
        <v>1080.7717</v>
      </c>
      <c r="I1998">
        <v>0</v>
      </c>
      <c r="J1998">
        <v>1163.79</v>
      </c>
      <c r="K1998">
        <v>0</v>
      </c>
      <c r="L1998">
        <v>1158.8800000000001</v>
      </c>
      <c r="M1998" t="s">
        <v>27</v>
      </c>
      <c r="N1998">
        <v>1</v>
      </c>
      <c r="O1998">
        <v>1254</v>
      </c>
      <c r="P1998">
        <v>1081</v>
      </c>
      <c r="Q1998">
        <v>0</v>
      </c>
      <c r="R1998">
        <v>1081</v>
      </c>
    </row>
    <row r="1999" spans="1:18" x14ac:dyDescent="0.3">
      <c r="A1999" s="5">
        <v>45970</v>
      </c>
      <c r="B1999" t="s">
        <v>2718</v>
      </c>
      <c r="C1999">
        <v>22</v>
      </c>
      <c r="D1999">
        <v>36</v>
      </c>
      <c r="E1999" s="1">
        <v>1.9791666666666665</v>
      </c>
      <c r="F1999" t="s">
        <v>2717</v>
      </c>
      <c r="G1999">
        <v>5</v>
      </c>
      <c r="H1999">
        <v>1080.7717</v>
      </c>
      <c r="I1999">
        <v>0</v>
      </c>
      <c r="J1999">
        <v>1163.79</v>
      </c>
      <c r="K1999">
        <v>0</v>
      </c>
      <c r="L1999">
        <v>1158.8800000000001</v>
      </c>
      <c r="M1999" t="s">
        <v>27</v>
      </c>
      <c r="N1999">
        <v>1</v>
      </c>
      <c r="O1999">
        <v>1254</v>
      </c>
      <c r="P1999">
        <v>1081</v>
      </c>
      <c r="Q1999">
        <v>0</v>
      </c>
      <c r="R1999">
        <v>1081</v>
      </c>
    </row>
    <row r="2000" spans="1:18" x14ac:dyDescent="0.3">
      <c r="A2000" s="5">
        <v>45970</v>
      </c>
      <c r="B2000" t="s">
        <v>2920</v>
      </c>
      <c r="C2000">
        <v>14</v>
      </c>
      <c r="D2000">
        <v>36</v>
      </c>
      <c r="E2000" s="1">
        <v>1.9791666666666665</v>
      </c>
      <c r="F2000" t="s">
        <v>2921</v>
      </c>
      <c r="G2000">
        <v>4</v>
      </c>
      <c r="H2000">
        <v>1081.0433</v>
      </c>
      <c r="I2000">
        <v>7</v>
      </c>
      <c r="J2000">
        <v>1163.79</v>
      </c>
      <c r="K2000">
        <v>5.4825867599182097</v>
      </c>
      <c r="L2000">
        <v>1158.8800000000001</v>
      </c>
      <c r="M2000" t="s">
        <v>27</v>
      </c>
      <c r="N2000">
        <v>1</v>
      </c>
      <c r="O2000">
        <v>1330</v>
      </c>
      <c r="P2000">
        <v>1157</v>
      </c>
      <c r="Q2000">
        <v>0</v>
      </c>
      <c r="R2000">
        <v>1157</v>
      </c>
    </row>
    <row r="2001" spans="1:18" x14ac:dyDescent="0.3">
      <c r="A2001" s="5">
        <v>45970</v>
      </c>
      <c r="B2001" t="s">
        <v>2922</v>
      </c>
      <c r="C2001">
        <v>9</v>
      </c>
      <c r="D2001">
        <v>36</v>
      </c>
      <c r="E2001" s="1">
        <v>1.9791666666666665</v>
      </c>
      <c r="F2001" t="s">
        <v>2923</v>
      </c>
      <c r="G2001">
        <v>2</v>
      </c>
      <c r="H2001">
        <v>1081.1368</v>
      </c>
      <c r="I2001">
        <v>5</v>
      </c>
      <c r="J2001">
        <v>1163.79</v>
      </c>
      <c r="K2001">
        <v>3.9161333999415802</v>
      </c>
      <c r="L2001">
        <v>609.91</v>
      </c>
      <c r="M2001" t="s">
        <v>60</v>
      </c>
      <c r="N2001">
        <v>1</v>
      </c>
      <c r="O2001">
        <v>1308</v>
      </c>
      <c r="P2001">
        <v>1135</v>
      </c>
      <c r="Q2001">
        <v>0.5</v>
      </c>
      <c r="R2001">
        <v>567.5</v>
      </c>
    </row>
    <row r="2002" spans="1:18" x14ac:dyDescent="0.3">
      <c r="A2002" s="5">
        <v>45970</v>
      </c>
      <c r="B2002" t="s">
        <v>2924</v>
      </c>
      <c r="C2002">
        <v>8</v>
      </c>
      <c r="D2002">
        <v>36</v>
      </c>
      <c r="E2002" s="1">
        <v>1.9993055555555554</v>
      </c>
      <c r="F2002" t="s">
        <v>2925</v>
      </c>
      <c r="G2002">
        <v>1</v>
      </c>
      <c r="H2002">
        <v>1081.1509000000001</v>
      </c>
      <c r="I2002">
        <v>8.5</v>
      </c>
      <c r="J2002">
        <v>1163.79</v>
      </c>
      <c r="K2002">
        <v>6.6574267799006801</v>
      </c>
      <c r="L2002">
        <v>1219.83</v>
      </c>
      <c r="M2002" t="s">
        <v>27</v>
      </c>
      <c r="N2002">
        <v>1</v>
      </c>
      <c r="O2002">
        <v>1346</v>
      </c>
      <c r="P2002">
        <v>1173</v>
      </c>
      <c r="Q2002">
        <v>0</v>
      </c>
      <c r="R2002">
        <v>1173</v>
      </c>
    </row>
    <row r="2003" spans="1:18" x14ac:dyDescent="0.3">
      <c r="A2003" s="5">
        <v>45970</v>
      </c>
      <c r="B2003" t="s">
        <v>2926</v>
      </c>
      <c r="C2003">
        <v>8</v>
      </c>
      <c r="D2003">
        <v>36</v>
      </c>
      <c r="E2003" s="1">
        <v>1.9791666666666665</v>
      </c>
      <c r="F2003" t="s">
        <v>2927</v>
      </c>
      <c r="G2003">
        <v>5</v>
      </c>
      <c r="H2003">
        <v>1081.155</v>
      </c>
      <c r="I2003">
        <v>0</v>
      </c>
      <c r="J2003">
        <v>1163.79</v>
      </c>
      <c r="K2003">
        <v>0</v>
      </c>
      <c r="L2003">
        <v>1158.8800000000001</v>
      </c>
      <c r="M2003" t="s">
        <v>27</v>
      </c>
      <c r="N2003">
        <v>1</v>
      </c>
      <c r="O2003">
        <v>1254</v>
      </c>
      <c r="P2003">
        <v>1081</v>
      </c>
      <c r="Q2003">
        <v>0</v>
      </c>
      <c r="R2003">
        <v>1081</v>
      </c>
    </row>
    <row r="2004" spans="1:18" x14ac:dyDescent="0.3">
      <c r="A2004" s="5">
        <v>45970</v>
      </c>
      <c r="B2004" t="s">
        <v>2928</v>
      </c>
      <c r="C2004">
        <v>2</v>
      </c>
      <c r="D2004">
        <v>36</v>
      </c>
      <c r="E2004" s="1">
        <v>1.25</v>
      </c>
      <c r="F2004" t="s">
        <v>2773</v>
      </c>
      <c r="G2004">
        <v>0</v>
      </c>
      <c r="H2004">
        <v>1081.6522</v>
      </c>
      <c r="I2004">
        <v>2.5</v>
      </c>
      <c r="J2004">
        <v>1163.79</v>
      </c>
      <c r="K2004">
        <v>1.9580666999707901</v>
      </c>
      <c r="L2004">
        <v>1158.8800000000001</v>
      </c>
      <c r="M2004" t="s">
        <v>27</v>
      </c>
      <c r="N2004">
        <v>1</v>
      </c>
      <c r="O2004">
        <v>1282</v>
      </c>
      <c r="P2004">
        <v>1109</v>
      </c>
      <c r="Q2004">
        <v>0</v>
      </c>
      <c r="R2004">
        <v>1109</v>
      </c>
    </row>
    <row r="2005" spans="1:18" x14ac:dyDescent="0.3">
      <c r="A2005" s="5">
        <v>45970</v>
      </c>
      <c r="B2005" t="s">
        <v>2929</v>
      </c>
      <c r="C2005">
        <v>2</v>
      </c>
      <c r="D2005">
        <v>36</v>
      </c>
      <c r="E2005" s="1">
        <v>1.0833333333333333</v>
      </c>
      <c r="F2005" t="s">
        <v>2930</v>
      </c>
      <c r="G2005">
        <v>5</v>
      </c>
      <c r="H2005">
        <v>1081.6410000000001</v>
      </c>
      <c r="I2005">
        <v>0</v>
      </c>
      <c r="J2005">
        <v>1163.79</v>
      </c>
      <c r="K2005">
        <v>0</v>
      </c>
      <c r="L2005">
        <v>1158.8800000000001</v>
      </c>
      <c r="M2005" t="s">
        <v>27</v>
      </c>
      <c r="N2005">
        <v>1</v>
      </c>
      <c r="O2005">
        <v>1255</v>
      </c>
      <c r="P2005">
        <v>1082</v>
      </c>
      <c r="Q2005">
        <v>0</v>
      </c>
      <c r="R2005">
        <v>1082</v>
      </c>
    </row>
    <row r="2006" spans="1:18" x14ac:dyDescent="0.3">
      <c r="A2006" s="5">
        <v>45970</v>
      </c>
      <c r="B2006" t="s">
        <v>2929</v>
      </c>
      <c r="C2006">
        <v>2</v>
      </c>
      <c r="D2006">
        <v>36</v>
      </c>
      <c r="E2006" s="1">
        <v>1.0833333333333333</v>
      </c>
      <c r="F2006" t="s">
        <v>2930</v>
      </c>
      <c r="G2006">
        <v>5</v>
      </c>
      <c r="H2006">
        <v>1081.6410000000001</v>
      </c>
      <c r="I2006">
        <v>0</v>
      </c>
      <c r="J2006">
        <v>1163.79</v>
      </c>
      <c r="K2006">
        <v>0</v>
      </c>
      <c r="L2006">
        <v>1158.8800000000001</v>
      </c>
      <c r="M2006" t="s">
        <v>27</v>
      </c>
      <c r="N2006">
        <v>1</v>
      </c>
      <c r="O2006">
        <v>1255</v>
      </c>
      <c r="P2006">
        <v>1082</v>
      </c>
      <c r="Q2006">
        <v>0</v>
      </c>
      <c r="R2006">
        <v>1082</v>
      </c>
    </row>
    <row r="2007" spans="1:18" x14ac:dyDescent="0.3">
      <c r="A2007" s="5">
        <v>45970</v>
      </c>
      <c r="B2007" t="s">
        <v>2931</v>
      </c>
      <c r="C2007">
        <v>3</v>
      </c>
      <c r="D2007">
        <v>36</v>
      </c>
      <c r="E2007" s="1">
        <v>1.0833333333333333</v>
      </c>
      <c r="F2007" t="s">
        <v>2930</v>
      </c>
      <c r="G2007">
        <v>5</v>
      </c>
      <c r="H2007">
        <v>1081.623</v>
      </c>
      <c r="I2007">
        <v>0</v>
      </c>
      <c r="J2007">
        <v>1163.79</v>
      </c>
      <c r="K2007">
        <v>0</v>
      </c>
      <c r="L2007">
        <v>1158.8800000000001</v>
      </c>
      <c r="M2007" t="s">
        <v>27</v>
      </c>
      <c r="N2007">
        <v>1</v>
      </c>
      <c r="O2007">
        <v>1255</v>
      </c>
      <c r="P2007">
        <v>1082</v>
      </c>
      <c r="Q2007">
        <v>0</v>
      </c>
      <c r="R2007">
        <v>1082</v>
      </c>
    </row>
    <row r="2008" spans="1:18" x14ac:dyDescent="0.3">
      <c r="A2008" s="5">
        <v>45970</v>
      </c>
      <c r="B2008" t="s">
        <v>2931</v>
      </c>
      <c r="C2008">
        <v>3</v>
      </c>
      <c r="D2008">
        <v>36</v>
      </c>
      <c r="E2008" s="1">
        <v>1.0833333333333333</v>
      </c>
      <c r="F2008" t="s">
        <v>2930</v>
      </c>
      <c r="G2008">
        <v>5</v>
      </c>
      <c r="H2008">
        <v>1081.623</v>
      </c>
      <c r="I2008">
        <v>0</v>
      </c>
      <c r="J2008">
        <v>1163.79</v>
      </c>
      <c r="K2008">
        <v>0</v>
      </c>
      <c r="L2008">
        <v>1158.8800000000001</v>
      </c>
      <c r="M2008" t="s">
        <v>27</v>
      </c>
      <c r="N2008">
        <v>1</v>
      </c>
      <c r="O2008">
        <v>1255</v>
      </c>
      <c r="P2008">
        <v>1082</v>
      </c>
      <c r="Q2008">
        <v>0</v>
      </c>
      <c r="R2008">
        <v>1082</v>
      </c>
    </row>
    <row r="2009" spans="1:18" x14ac:dyDescent="0.3">
      <c r="A2009" s="5">
        <v>45970</v>
      </c>
      <c r="B2009" t="s">
        <v>2932</v>
      </c>
      <c r="C2009">
        <v>21</v>
      </c>
      <c r="D2009">
        <v>36</v>
      </c>
      <c r="E2009" s="1">
        <v>1.0833333333333333</v>
      </c>
      <c r="F2009" t="s">
        <v>2933</v>
      </c>
      <c r="G2009">
        <v>4</v>
      </c>
      <c r="H2009">
        <v>1081.2996000000001</v>
      </c>
      <c r="I2009">
        <v>7</v>
      </c>
      <c r="J2009">
        <v>1163.79</v>
      </c>
      <c r="K2009">
        <v>5.4825867599182097</v>
      </c>
      <c r="L2009">
        <v>1219.83</v>
      </c>
      <c r="M2009" t="s">
        <v>27</v>
      </c>
      <c r="N2009">
        <v>1</v>
      </c>
      <c r="O2009">
        <v>1330</v>
      </c>
      <c r="P2009">
        <v>1157</v>
      </c>
      <c r="Q2009">
        <v>0</v>
      </c>
      <c r="R2009">
        <v>1157</v>
      </c>
    </row>
    <row r="2010" spans="1:18" x14ac:dyDescent="0.3">
      <c r="A2010" s="5">
        <v>45970</v>
      </c>
      <c r="B2010" t="s">
        <v>2934</v>
      </c>
      <c r="C2010">
        <v>24</v>
      </c>
      <c r="D2010">
        <v>36</v>
      </c>
      <c r="E2010" s="1">
        <v>1.0833333333333333</v>
      </c>
      <c r="F2010" t="s">
        <v>2935</v>
      </c>
      <c r="G2010">
        <v>4</v>
      </c>
      <c r="H2010">
        <v>1081.1128000000001</v>
      </c>
      <c r="I2010">
        <v>7</v>
      </c>
      <c r="J2010">
        <v>1163.79</v>
      </c>
      <c r="K2010">
        <v>5.4825867599182097</v>
      </c>
      <c r="L2010">
        <v>1219.83</v>
      </c>
      <c r="M2010" t="s">
        <v>27</v>
      </c>
      <c r="N2010">
        <v>1</v>
      </c>
      <c r="O2010">
        <v>1330</v>
      </c>
      <c r="P2010">
        <v>1157</v>
      </c>
      <c r="Q2010">
        <v>0</v>
      </c>
      <c r="R2010">
        <v>1157</v>
      </c>
    </row>
    <row r="2011" spans="1:18" x14ac:dyDescent="0.3">
      <c r="A2011" s="5">
        <v>45970</v>
      </c>
      <c r="B2011" t="s">
        <v>2936</v>
      </c>
      <c r="C2011">
        <v>27</v>
      </c>
      <c r="D2011">
        <v>36</v>
      </c>
      <c r="E2011" s="1">
        <v>1.0833333333333333</v>
      </c>
      <c r="F2011" t="s">
        <v>2937</v>
      </c>
      <c r="G2011">
        <v>4</v>
      </c>
      <c r="H2011">
        <v>1081.0591999999999</v>
      </c>
      <c r="I2011">
        <v>7</v>
      </c>
      <c r="J2011">
        <v>1163.79</v>
      </c>
      <c r="K2011">
        <v>5.4825867599182097</v>
      </c>
      <c r="L2011">
        <v>1219.83</v>
      </c>
      <c r="M2011" t="s">
        <v>27</v>
      </c>
      <c r="N2011">
        <v>1</v>
      </c>
      <c r="O2011">
        <v>1330</v>
      </c>
      <c r="P2011">
        <v>1157</v>
      </c>
      <c r="Q2011">
        <v>0</v>
      </c>
      <c r="R2011">
        <v>1157</v>
      </c>
    </row>
    <row r="2012" spans="1:18" x14ac:dyDescent="0.3">
      <c r="A2012" s="5">
        <v>45970</v>
      </c>
      <c r="B2012" t="s">
        <v>2938</v>
      </c>
      <c r="C2012">
        <v>17</v>
      </c>
      <c r="D2012">
        <v>36</v>
      </c>
      <c r="E2012" s="1">
        <v>1.0833333333333333</v>
      </c>
      <c r="F2012" t="s">
        <v>2939</v>
      </c>
      <c r="G2012">
        <v>4</v>
      </c>
      <c r="H2012">
        <v>1081.3712</v>
      </c>
      <c r="I2012">
        <v>7</v>
      </c>
      <c r="J2012">
        <v>1163.79</v>
      </c>
      <c r="K2012">
        <v>5.4825867599182097</v>
      </c>
      <c r="L2012">
        <v>1219.83</v>
      </c>
      <c r="M2012" t="s">
        <v>27</v>
      </c>
      <c r="N2012">
        <v>1</v>
      </c>
      <c r="O2012">
        <v>1330</v>
      </c>
      <c r="P2012">
        <v>1157</v>
      </c>
      <c r="Q2012">
        <v>0</v>
      </c>
      <c r="R2012">
        <v>1157</v>
      </c>
    </row>
    <row r="2013" spans="1:18" x14ac:dyDescent="0.3">
      <c r="A2013" s="5">
        <v>45970</v>
      </c>
      <c r="B2013" t="s">
        <v>1922</v>
      </c>
      <c r="C2013">
        <v>27</v>
      </c>
      <c r="D2013">
        <v>36</v>
      </c>
      <c r="E2013" s="1">
        <v>1.25</v>
      </c>
      <c r="F2013" t="s">
        <v>1923</v>
      </c>
      <c r="G2013">
        <v>0</v>
      </c>
      <c r="H2013">
        <v>1081.0695000000001</v>
      </c>
      <c r="I2013">
        <v>2.5</v>
      </c>
      <c r="J2013">
        <v>1163.79</v>
      </c>
      <c r="K2013">
        <v>1.9580666999707901</v>
      </c>
      <c r="L2013">
        <v>1158.8800000000001</v>
      </c>
      <c r="M2013" t="s">
        <v>27</v>
      </c>
      <c r="N2013">
        <v>1</v>
      </c>
      <c r="O2013">
        <v>1281</v>
      </c>
      <c r="P2013">
        <v>1108</v>
      </c>
      <c r="Q2013">
        <v>0</v>
      </c>
      <c r="R2013">
        <v>1108</v>
      </c>
    </row>
    <row r="2014" spans="1:18" x14ac:dyDescent="0.3">
      <c r="A2014" s="5">
        <v>45970</v>
      </c>
      <c r="B2014" t="s">
        <v>2940</v>
      </c>
      <c r="C2014">
        <v>8</v>
      </c>
      <c r="D2014">
        <v>36</v>
      </c>
      <c r="E2014" s="1">
        <v>1.0833333333333333</v>
      </c>
      <c r="F2014" t="s">
        <v>2941</v>
      </c>
      <c r="G2014">
        <v>0</v>
      </c>
      <c r="H2014">
        <v>1081.5331000000001</v>
      </c>
      <c r="I2014">
        <v>2.5</v>
      </c>
      <c r="J2014">
        <v>1163.79</v>
      </c>
      <c r="K2014">
        <v>1.9580666999707901</v>
      </c>
      <c r="L2014">
        <v>1158.8800000000001</v>
      </c>
      <c r="M2014" t="s">
        <v>27</v>
      </c>
      <c r="N2014">
        <v>1</v>
      </c>
      <c r="O2014">
        <v>1282</v>
      </c>
      <c r="P2014">
        <v>1109</v>
      </c>
      <c r="Q2014">
        <v>0</v>
      </c>
      <c r="R2014">
        <v>1109</v>
      </c>
    </row>
    <row r="2015" spans="1:18" x14ac:dyDescent="0.3">
      <c r="A2015" s="5">
        <v>45970</v>
      </c>
      <c r="B2015" t="s">
        <v>2942</v>
      </c>
      <c r="C2015">
        <v>9</v>
      </c>
      <c r="D2015">
        <v>36</v>
      </c>
      <c r="E2015" s="1">
        <v>1.0833333333333333</v>
      </c>
      <c r="F2015" t="s">
        <v>2941</v>
      </c>
      <c r="G2015">
        <v>0</v>
      </c>
      <c r="H2015">
        <v>1081.5150000000001</v>
      </c>
      <c r="I2015">
        <v>2.5</v>
      </c>
      <c r="J2015">
        <v>1163.79</v>
      </c>
      <c r="K2015">
        <v>1.9580666999707901</v>
      </c>
      <c r="L2015">
        <v>1158.8800000000001</v>
      </c>
      <c r="M2015" t="s">
        <v>27</v>
      </c>
      <c r="N2015">
        <v>1</v>
      </c>
      <c r="O2015">
        <v>1282</v>
      </c>
      <c r="P2015">
        <v>1109</v>
      </c>
      <c r="Q2015">
        <v>0</v>
      </c>
      <c r="R2015">
        <v>1109</v>
      </c>
    </row>
    <row r="2016" spans="1:18" x14ac:dyDescent="0.3">
      <c r="A2016" s="5">
        <v>45970</v>
      </c>
      <c r="B2016" t="s">
        <v>2943</v>
      </c>
      <c r="C2016">
        <v>12</v>
      </c>
      <c r="D2016">
        <v>36</v>
      </c>
      <c r="E2016" s="1">
        <v>1.0833333333333333</v>
      </c>
      <c r="F2016" t="s">
        <v>2944</v>
      </c>
      <c r="G2016">
        <v>0</v>
      </c>
      <c r="H2016">
        <v>1081.4736</v>
      </c>
      <c r="I2016">
        <v>2.5</v>
      </c>
      <c r="J2016">
        <v>1163.79</v>
      </c>
      <c r="K2016">
        <v>1.9580666999707901</v>
      </c>
      <c r="L2016">
        <v>1158.8800000000001</v>
      </c>
      <c r="M2016" t="s">
        <v>27</v>
      </c>
      <c r="N2016">
        <v>1</v>
      </c>
      <c r="O2016">
        <v>1282</v>
      </c>
      <c r="P2016">
        <v>1109</v>
      </c>
      <c r="Q2016">
        <v>0</v>
      </c>
      <c r="R2016">
        <v>1109</v>
      </c>
    </row>
    <row r="2017" spans="1:18" x14ac:dyDescent="0.3">
      <c r="A2017" s="5">
        <v>45970</v>
      </c>
      <c r="B2017" t="s">
        <v>2945</v>
      </c>
      <c r="C2017">
        <v>10</v>
      </c>
      <c r="D2017">
        <v>36</v>
      </c>
      <c r="E2017" s="1">
        <v>1.0833333333333333</v>
      </c>
      <c r="F2017" t="s">
        <v>2944</v>
      </c>
      <c r="G2017">
        <v>0</v>
      </c>
      <c r="H2017">
        <v>1081.5096000000001</v>
      </c>
      <c r="I2017">
        <v>2.5</v>
      </c>
      <c r="J2017">
        <v>1163.79</v>
      </c>
      <c r="K2017">
        <v>1.9580666999707901</v>
      </c>
      <c r="L2017">
        <v>1158.8800000000001</v>
      </c>
      <c r="M2017" t="s">
        <v>27</v>
      </c>
      <c r="N2017">
        <v>1</v>
      </c>
      <c r="O2017">
        <v>1282</v>
      </c>
      <c r="P2017">
        <v>1109</v>
      </c>
      <c r="Q2017">
        <v>0</v>
      </c>
      <c r="R2017">
        <v>1109</v>
      </c>
    </row>
    <row r="2018" spans="1:18" x14ac:dyDescent="0.3">
      <c r="A2018" s="5">
        <v>45970</v>
      </c>
      <c r="B2018" t="s">
        <v>2946</v>
      </c>
      <c r="C2018">
        <v>1</v>
      </c>
      <c r="D2018">
        <v>36</v>
      </c>
      <c r="E2018" s="1">
        <v>1.0833333333333333</v>
      </c>
      <c r="F2018" t="s">
        <v>2947</v>
      </c>
      <c r="G2018">
        <v>4</v>
      </c>
      <c r="H2018">
        <v>1081.6590000000001</v>
      </c>
      <c r="I2018">
        <v>7</v>
      </c>
      <c r="J2018">
        <v>1163.79</v>
      </c>
      <c r="K2018">
        <v>5.4825867599182097</v>
      </c>
      <c r="L2018">
        <v>1097.8399999999999</v>
      </c>
      <c r="M2018" t="s">
        <v>27</v>
      </c>
      <c r="N2018">
        <v>1</v>
      </c>
      <c r="O2018">
        <v>1330</v>
      </c>
      <c r="P2018">
        <v>1157</v>
      </c>
      <c r="Q2018">
        <v>0</v>
      </c>
      <c r="R2018">
        <v>1157</v>
      </c>
    </row>
    <row r="2019" spans="1:18" x14ac:dyDescent="0.3">
      <c r="A2019" s="5">
        <v>45970</v>
      </c>
      <c r="B2019" t="s">
        <v>2948</v>
      </c>
      <c r="C2019">
        <v>16</v>
      </c>
      <c r="D2019">
        <v>36</v>
      </c>
      <c r="E2019" s="1">
        <v>1.0833333333333333</v>
      </c>
      <c r="F2019" t="s">
        <v>2949</v>
      </c>
      <c r="G2019">
        <v>0</v>
      </c>
      <c r="H2019">
        <v>1081.4015999999999</v>
      </c>
      <c r="I2019">
        <v>2.5</v>
      </c>
      <c r="J2019">
        <v>1163.79</v>
      </c>
      <c r="K2019">
        <v>1.9580666999707901</v>
      </c>
      <c r="L2019">
        <v>1158.8800000000001</v>
      </c>
      <c r="M2019" t="s">
        <v>27</v>
      </c>
      <c r="N2019">
        <v>1</v>
      </c>
      <c r="O2019">
        <v>1281</v>
      </c>
      <c r="P2019">
        <v>1108</v>
      </c>
      <c r="Q2019">
        <v>0</v>
      </c>
      <c r="R2019">
        <v>1108</v>
      </c>
    </row>
    <row r="2020" spans="1:18" x14ac:dyDescent="0.3">
      <c r="A2020" s="5">
        <v>45970</v>
      </c>
      <c r="B2020" t="s">
        <v>2950</v>
      </c>
      <c r="C2020">
        <v>32</v>
      </c>
      <c r="D2020">
        <v>36</v>
      </c>
      <c r="E2020" s="1">
        <v>1.0833333333333333</v>
      </c>
      <c r="F2020" t="s">
        <v>97</v>
      </c>
      <c r="G2020">
        <v>4</v>
      </c>
      <c r="H2020">
        <v>1078.9367999999999</v>
      </c>
      <c r="I2020">
        <v>7</v>
      </c>
      <c r="J2020">
        <v>1163.79</v>
      </c>
      <c r="K2020">
        <v>5.4825867599182097</v>
      </c>
      <c r="L2020">
        <v>1219.83</v>
      </c>
      <c r="M2020" t="s">
        <v>27</v>
      </c>
      <c r="N2020">
        <v>1</v>
      </c>
      <c r="O2020">
        <v>1327</v>
      </c>
      <c r="P2020">
        <v>1154</v>
      </c>
      <c r="Q2020">
        <v>0</v>
      </c>
      <c r="R2020">
        <v>1154</v>
      </c>
    </row>
    <row r="2021" spans="1:18" x14ac:dyDescent="0.3">
      <c r="A2021" s="5">
        <v>45970</v>
      </c>
      <c r="B2021" t="s">
        <v>2951</v>
      </c>
      <c r="C2021">
        <v>6</v>
      </c>
      <c r="D2021">
        <v>36</v>
      </c>
      <c r="E2021" s="1">
        <v>1.0833333333333333</v>
      </c>
      <c r="F2021" t="s">
        <v>2952</v>
      </c>
      <c r="G2021">
        <v>4</v>
      </c>
      <c r="H2021">
        <v>1081.5681999999999</v>
      </c>
      <c r="I2021">
        <v>7</v>
      </c>
      <c r="J2021">
        <v>1163.79</v>
      </c>
      <c r="K2021">
        <v>5.4825867599182097</v>
      </c>
      <c r="L2021">
        <v>1219.83</v>
      </c>
      <c r="M2021" t="s">
        <v>27</v>
      </c>
      <c r="N2021">
        <v>1</v>
      </c>
      <c r="O2021">
        <v>1330</v>
      </c>
      <c r="P2021">
        <v>1157</v>
      </c>
      <c r="Q2021">
        <v>0</v>
      </c>
      <c r="R2021">
        <v>1157</v>
      </c>
    </row>
    <row r="2022" spans="1:18" x14ac:dyDescent="0.3">
      <c r="A2022" s="5">
        <v>45970</v>
      </c>
      <c r="B2022" t="s">
        <v>2953</v>
      </c>
      <c r="C2022">
        <v>36</v>
      </c>
      <c r="D2022">
        <v>36</v>
      </c>
      <c r="E2022" s="1">
        <v>1.0833333333333333</v>
      </c>
      <c r="F2022" t="s">
        <v>2954</v>
      </c>
      <c r="G2022">
        <v>0</v>
      </c>
      <c r="H2022">
        <v>1080.9087999999999</v>
      </c>
      <c r="I2022">
        <v>2.5</v>
      </c>
      <c r="J2022">
        <v>1163.79</v>
      </c>
      <c r="K2022">
        <v>1.9580666999707901</v>
      </c>
      <c r="L2022">
        <v>1158.8800000000001</v>
      </c>
      <c r="M2022" t="s">
        <v>27</v>
      </c>
      <c r="N2022">
        <v>1</v>
      </c>
      <c r="O2022">
        <v>1281</v>
      </c>
      <c r="P2022">
        <v>1108</v>
      </c>
      <c r="Q2022">
        <v>0</v>
      </c>
      <c r="R2022">
        <v>1108</v>
      </c>
    </row>
    <row r="2023" spans="1:18" x14ac:dyDescent="0.3">
      <c r="A2023" s="5">
        <v>45970</v>
      </c>
      <c r="B2023" t="s">
        <v>2955</v>
      </c>
      <c r="C2023">
        <v>26</v>
      </c>
      <c r="D2023">
        <v>36</v>
      </c>
      <c r="E2023" s="1">
        <v>1.0833333333333333</v>
      </c>
      <c r="F2023" t="s">
        <v>2956</v>
      </c>
      <c r="G2023">
        <v>0</v>
      </c>
      <c r="H2023">
        <v>1081.0886</v>
      </c>
      <c r="I2023">
        <v>2.5</v>
      </c>
      <c r="J2023">
        <v>1163.79</v>
      </c>
      <c r="K2023">
        <v>1.9580666999707901</v>
      </c>
      <c r="L2023">
        <v>1158.8800000000001</v>
      </c>
      <c r="M2023" t="s">
        <v>27</v>
      </c>
      <c r="N2023">
        <v>1</v>
      </c>
      <c r="O2023">
        <v>1281</v>
      </c>
      <c r="P2023">
        <v>1108</v>
      </c>
      <c r="Q2023">
        <v>0</v>
      </c>
      <c r="R2023">
        <v>1108</v>
      </c>
    </row>
    <row r="2024" spans="1:18" x14ac:dyDescent="0.3">
      <c r="A2024" s="5">
        <v>45970</v>
      </c>
      <c r="B2024" t="s">
        <v>2957</v>
      </c>
      <c r="C2024">
        <v>23</v>
      </c>
      <c r="D2024">
        <v>36</v>
      </c>
      <c r="E2024" s="1">
        <v>1.0833333333333333</v>
      </c>
      <c r="F2024" t="s">
        <v>2958</v>
      </c>
      <c r="G2024">
        <v>4</v>
      </c>
      <c r="H2024">
        <v>1081.1301000000001</v>
      </c>
      <c r="I2024">
        <v>7</v>
      </c>
      <c r="J2024">
        <v>1163.79</v>
      </c>
      <c r="K2024">
        <v>5.4825867599182097</v>
      </c>
      <c r="L2024">
        <v>1219.83</v>
      </c>
      <c r="M2024" t="s">
        <v>27</v>
      </c>
      <c r="N2024">
        <v>1</v>
      </c>
      <c r="O2024">
        <v>1330</v>
      </c>
      <c r="P2024">
        <v>1157</v>
      </c>
      <c r="Q2024">
        <v>0</v>
      </c>
      <c r="R2024">
        <v>1157</v>
      </c>
    </row>
    <row r="2025" spans="1:18" x14ac:dyDescent="0.3">
      <c r="A2025" s="5">
        <v>45970</v>
      </c>
      <c r="B2025" t="s">
        <v>2959</v>
      </c>
      <c r="C2025">
        <v>25</v>
      </c>
      <c r="D2025">
        <v>36</v>
      </c>
      <c r="E2025" s="1">
        <v>1.0833333333333333</v>
      </c>
      <c r="F2025" t="s">
        <v>2960</v>
      </c>
      <c r="G2025">
        <v>0</v>
      </c>
      <c r="H2025">
        <v>1081.1067</v>
      </c>
      <c r="I2025">
        <v>2.5</v>
      </c>
      <c r="J2025">
        <v>1163.79</v>
      </c>
      <c r="K2025">
        <v>1.9580666999707901</v>
      </c>
      <c r="L2025">
        <v>1158.8800000000001</v>
      </c>
      <c r="M2025" t="s">
        <v>27</v>
      </c>
      <c r="N2025">
        <v>1</v>
      </c>
      <c r="O2025">
        <v>1281</v>
      </c>
      <c r="P2025">
        <v>1108</v>
      </c>
      <c r="Q2025">
        <v>0</v>
      </c>
      <c r="R2025">
        <v>1108</v>
      </c>
    </row>
    <row r="2026" spans="1:18" x14ac:dyDescent="0.3">
      <c r="A2026" s="5">
        <v>45970</v>
      </c>
      <c r="B2026" t="s">
        <v>2961</v>
      </c>
      <c r="C2026">
        <v>5</v>
      </c>
      <c r="D2026">
        <v>36</v>
      </c>
      <c r="E2026" s="1">
        <v>1.0833333333333333</v>
      </c>
      <c r="F2026" t="s">
        <v>2962</v>
      </c>
      <c r="G2026">
        <v>1</v>
      </c>
      <c r="H2026">
        <v>1079.5545999999999</v>
      </c>
      <c r="I2026">
        <v>8.5</v>
      </c>
      <c r="J2026">
        <v>1163.79</v>
      </c>
      <c r="K2026">
        <v>6.6574267799006801</v>
      </c>
      <c r="L2026">
        <v>609.91</v>
      </c>
      <c r="M2026" t="s">
        <v>77</v>
      </c>
      <c r="N2026">
        <v>1</v>
      </c>
      <c r="O2026">
        <v>1344</v>
      </c>
      <c r="P2026">
        <v>1171</v>
      </c>
      <c r="Q2026">
        <v>0.5</v>
      </c>
      <c r="R2026">
        <v>585.5</v>
      </c>
    </row>
    <row r="2027" spans="1:18" x14ac:dyDescent="0.3">
      <c r="A2027" s="5">
        <v>45970</v>
      </c>
      <c r="B2027" t="s">
        <v>2963</v>
      </c>
      <c r="C2027">
        <v>14</v>
      </c>
      <c r="D2027">
        <v>36</v>
      </c>
      <c r="E2027" s="1">
        <v>1.0833333333333333</v>
      </c>
      <c r="F2027" t="s">
        <v>2964</v>
      </c>
      <c r="G2027">
        <v>4</v>
      </c>
      <c r="H2027">
        <v>1080.7276999999999</v>
      </c>
      <c r="I2027">
        <v>7</v>
      </c>
      <c r="J2027">
        <v>1163.79</v>
      </c>
      <c r="K2027">
        <v>5.4825867599182097</v>
      </c>
      <c r="L2027">
        <v>1219.83</v>
      </c>
      <c r="M2027" t="s">
        <v>27</v>
      </c>
      <c r="N2027">
        <v>1</v>
      </c>
      <c r="O2027">
        <v>1329</v>
      </c>
      <c r="P2027">
        <v>1156</v>
      </c>
      <c r="Q2027">
        <v>0</v>
      </c>
      <c r="R2027">
        <v>1156</v>
      </c>
    </row>
    <row r="2028" spans="1:18" x14ac:dyDescent="0.3">
      <c r="A2028" s="5">
        <v>45970</v>
      </c>
      <c r="B2028" t="s">
        <v>2965</v>
      </c>
      <c r="C2028">
        <v>11</v>
      </c>
      <c r="D2028">
        <v>36</v>
      </c>
      <c r="E2028" s="1">
        <v>1.0833333333333333</v>
      </c>
      <c r="F2028" t="s">
        <v>2966</v>
      </c>
      <c r="G2028">
        <v>4</v>
      </c>
      <c r="H2028">
        <v>1081.4781</v>
      </c>
      <c r="I2028">
        <v>7</v>
      </c>
      <c r="J2028">
        <v>1163.79</v>
      </c>
      <c r="K2028">
        <v>5.4825867599182097</v>
      </c>
      <c r="L2028">
        <v>1158.8800000000001</v>
      </c>
      <c r="M2028" t="s">
        <v>27</v>
      </c>
      <c r="N2028">
        <v>1</v>
      </c>
      <c r="O2028">
        <v>1330</v>
      </c>
      <c r="P2028">
        <v>1157</v>
      </c>
      <c r="Q2028">
        <v>0</v>
      </c>
      <c r="R2028">
        <v>1157</v>
      </c>
    </row>
    <row r="2029" spans="1:18" x14ac:dyDescent="0.3">
      <c r="A2029" s="5">
        <v>45971</v>
      </c>
      <c r="B2029" t="s">
        <v>2967</v>
      </c>
      <c r="C2029">
        <v>20</v>
      </c>
      <c r="D2029">
        <v>36</v>
      </c>
      <c r="E2029" s="1">
        <v>1.0833333333333333</v>
      </c>
      <c r="F2029" t="s">
        <v>2968</v>
      </c>
      <c r="G2029">
        <v>4</v>
      </c>
      <c r="H2029">
        <v>1081.3157000000001</v>
      </c>
      <c r="I2029">
        <v>7</v>
      </c>
      <c r="J2029">
        <v>1163.79</v>
      </c>
      <c r="K2029">
        <v>5.4825867599182097</v>
      </c>
      <c r="L2029">
        <v>1219.83</v>
      </c>
      <c r="M2029" t="s">
        <v>27</v>
      </c>
      <c r="N2029">
        <v>1</v>
      </c>
      <c r="O2029">
        <v>1330</v>
      </c>
      <c r="P2029">
        <v>1157</v>
      </c>
      <c r="Q2029">
        <v>0</v>
      </c>
      <c r="R2029">
        <v>1157</v>
      </c>
    </row>
    <row r="2030" spans="1:18" x14ac:dyDescent="0.3">
      <c r="A2030" s="5">
        <v>45971</v>
      </c>
      <c r="B2030" t="s">
        <v>2969</v>
      </c>
      <c r="C2030">
        <v>34</v>
      </c>
      <c r="D2030">
        <v>36</v>
      </c>
      <c r="E2030" s="1">
        <v>1.25</v>
      </c>
      <c r="F2030" t="s">
        <v>2970</v>
      </c>
      <c r="G2030">
        <v>1</v>
      </c>
      <c r="H2030">
        <v>1080.9266</v>
      </c>
      <c r="I2030">
        <v>8.5</v>
      </c>
      <c r="J2030">
        <v>1163.79</v>
      </c>
      <c r="K2030">
        <v>6.6574267799006801</v>
      </c>
      <c r="L2030">
        <v>1219.83</v>
      </c>
      <c r="M2030" t="s">
        <v>27</v>
      </c>
      <c r="N2030">
        <v>1</v>
      </c>
      <c r="O2030">
        <v>1346</v>
      </c>
      <c r="P2030">
        <v>1173</v>
      </c>
      <c r="Q2030">
        <v>0</v>
      </c>
      <c r="R2030">
        <v>1173</v>
      </c>
    </row>
    <row r="2031" spans="1:18" x14ac:dyDescent="0.3">
      <c r="A2031" s="5">
        <v>45971</v>
      </c>
      <c r="B2031" t="s">
        <v>2971</v>
      </c>
      <c r="C2031">
        <v>11</v>
      </c>
      <c r="D2031">
        <v>36</v>
      </c>
      <c r="E2031" s="1">
        <v>1.25</v>
      </c>
      <c r="F2031" t="s">
        <v>2972</v>
      </c>
      <c r="G2031">
        <v>1</v>
      </c>
      <c r="H2031">
        <v>1081.4725000000001</v>
      </c>
      <c r="I2031">
        <v>8.5</v>
      </c>
      <c r="J2031">
        <v>1163.79</v>
      </c>
      <c r="K2031">
        <v>6.6574267799006801</v>
      </c>
      <c r="L2031">
        <v>1219.83</v>
      </c>
      <c r="M2031" t="s">
        <v>27</v>
      </c>
      <c r="N2031">
        <v>1</v>
      </c>
      <c r="O2031">
        <v>1346</v>
      </c>
      <c r="P2031">
        <v>1173</v>
      </c>
      <c r="Q2031">
        <v>0</v>
      </c>
      <c r="R2031">
        <v>1173</v>
      </c>
    </row>
    <row r="2032" spans="1:18" x14ac:dyDescent="0.3">
      <c r="A2032" s="5">
        <v>45971</v>
      </c>
      <c r="B2032" t="s">
        <v>2973</v>
      </c>
      <c r="C2032">
        <v>12</v>
      </c>
      <c r="D2032">
        <v>36</v>
      </c>
      <c r="E2032" s="1">
        <v>1.25</v>
      </c>
      <c r="F2032" t="s">
        <v>2974</v>
      </c>
      <c r="G2032">
        <v>1</v>
      </c>
      <c r="H2032">
        <v>1081.4543000000001</v>
      </c>
      <c r="I2032">
        <v>8.5</v>
      </c>
      <c r="J2032">
        <v>1163.79</v>
      </c>
      <c r="K2032">
        <v>6.6574267799006801</v>
      </c>
      <c r="L2032">
        <v>1219.83</v>
      </c>
      <c r="M2032" t="s">
        <v>27</v>
      </c>
      <c r="N2032">
        <v>1</v>
      </c>
      <c r="O2032">
        <v>1346</v>
      </c>
      <c r="P2032">
        <v>1173</v>
      </c>
      <c r="Q2032">
        <v>0</v>
      </c>
      <c r="R2032">
        <v>1173</v>
      </c>
    </row>
    <row r="2033" spans="1:18" x14ac:dyDescent="0.3">
      <c r="A2033" s="5">
        <v>45971</v>
      </c>
      <c r="B2033" t="s">
        <v>2975</v>
      </c>
      <c r="C2033">
        <v>29</v>
      </c>
      <c r="D2033">
        <v>36</v>
      </c>
      <c r="E2033" s="1">
        <v>1.25</v>
      </c>
      <c r="F2033" t="s">
        <v>2976</v>
      </c>
      <c r="G2033">
        <v>1</v>
      </c>
      <c r="H2033">
        <v>1081.0155</v>
      </c>
      <c r="I2033">
        <v>8.5</v>
      </c>
      <c r="J2033">
        <v>1163.79</v>
      </c>
      <c r="K2033">
        <v>6.6574267799006801</v>
      </c>
      <c r="L2033">
        <v>1219.83</v>
      </c>
      <c r="M2033" t="s">
        <v>27</v>
      </c>
      <c r="N2033">
        <v>1</v>
      </c>
      <c r="O2033">
        <v>1346</v>
      </c>
      <c r="P2033">
        <v>1173</v>
      </c>
      <c r="Q2033">
        <v>0</v>
      </c>
      <c r="R2033">
        <v>1173</v>
      </c>
    </row>
    <row r="2034" spans="1:18" x14ac:dyDescent="0.3">
      <c r="A2034" s="5">
        <v>45971</v>
      </c>
      <c r="B2034" t="s">
        <v>2977</v>
      </c>
      <c r="C2034">
        <v>4</v>
      </c>
      <c r="D2034">
        <v>36</v>
      </c>
      <c r="E2034" s="1">
        <v>1.25</v>
      </c>
      <c r="F2034" t="s">
        <v>2978</v>
      </c>
      <c r="G2034">
        <v>5</v>
      </c>
      <c r="H2034">
        <v>1081.4774</v>
      </c>
      <c r="I2034">
        <v>0</v>
      </c>
      <c r="J2034">
        <v>1163.79</v>
      </c>
      <c r="K2034">
        <v>0</v>
      </c>
      <c r="L2034">
        <v>1158.8800000000001</v>
      </c>
      <c r="M2034" t="s">
        <v>27</v>
      </c>
      <c r="N2034">
        <v>1</v>
      </c>
      <c r="O2034">
        <v>1255</v>
      </c>
      <c r="P2034">
        <v>1081</v>
      </c>
      <c r="Q2034">
        <v>0</v>
      </c>
      <c r="R2034">
        <v>1081</v>
      </c>
    </row>
    <row r="2035" spans="1:18" x14ac:dyDescent="0.3">
      <c r="A2035" s="5">
        <v>45971</v>
      </c>
      <c r="B2035" t="s">
        <v>2979</v>
      </c>
      <c r="C2035">
        <v>21</v>
      </c>
      <c r="D2035">
        <v>36</v>
      </c>
      <c r="E2035" s="1">
        <v>1.25</v>
      </c>
      <c r="F2035" t="s">
        <v>2980</v>
      </c>
      <c r="G2035">
        <v>1</v>
      </c>
      <c r="H2035">
        <v>1081.2918999999999</v>
      </c>
      <c r="I2035">
        <v>8.5</v>
      </c>
      <c r="J2035">
        <v>1163.79</v>
      </c>
      <c r="K2035">
        <v>6.6574267799006801</v>
      </c>
      <c r="L2035">
        <v>1219.83</v>
      </c>
      <c r="M2035" t="s">
        <v>27</v>
      </c>
      <c r="N2035">
        <v>1</v>
      </c>
      <c r="O2035">
        <v>1346</v>
      </c>
      <c r="P2035">
        <v>1173</v>
      </c>
      <c r="Q2035">
        <v>0</v>
      </c>
      <c r="R2035">
        <v>1173</v>
      </c>
    </row>
    <row r="2036" spans="1:18" x14ac:dyDescent="0.3">
      <c r="A2036" s="5">
        <v>45971</v>
      </c>
      <c r="B2036" t="s">
        <v>2981</v>
      </c>
      <c r="C2036">
        <v>23</v>
      </c>
      <c r="D2036">
        <v>36</v>
      </c>
      <c r="E2036" s="1">
        <v>1.25</v>
      </c>
      <c r="F2036" t="s">
        <v>2982</v>
      </c>
      <c r="G2036">
        <v>1</v>
      </c>
      <c r="H2036">
        <v>1081.1233999999999</v>
      </c>
      <c r="I2036">
        <v>8.5</v>
      </c>
      <c r="J2036">
        <v>1163.79</v>
      </c>
      <c r="K2036">
        <v>6.6574267799006801</v>
      </c>
      <c r="L2036">
        <v>1219.83</v>
      </c>
      <c r="M2036" t="s">
        <v>27</v>
      </c>
      <c r="N2036">
        <v>1</v>
      </c>
      <c r="O2036">
        <v>1346</v>
      </c>
      <c r="P2036">
        <v>1173</v>
      </c>
      <c r="Q2036">
        <v>0</v>
      </c>
      <c r="R2036">
        <v>1173</v>
      </c>
    </row>
    <row r="2037" spans="1:18" x14ac:dyDescent="0.3">
      <c r="A2037" s="5">
        <v>45971</v>
      </c>
      <c r="B2037" t="s">
        <v>2983</v>
      </c>
      <c r="C2037">
        <v>10</v>
      </c>
      <c r="D2037">
        <v>36</v>
      </c>
      <c r="E2037" s="1">
        <v>1.25</v>
      </c>
      <c r="F2037" t="s">
        <v>2984</v>
      </c>
      <c r="G2037">
        <v>1</v>
      </c>
      <c r="H2037">
        <v>1081.4899</v>
      </c>
      <c r="I2037">
        <v>8.5</v>
      </c>
      <c r="J2037">
        <v>1163.79</v>
      </c>
      <c r="K2037">
        <v>6.6574267799006801</v>
      </c>
      <c r="L2037">
        <v>1219.83</v>
      </c>
      <c r="M2037" t="s">
        <v>27</v>
      </c>
      <c r="N2037">
        <v>1</v>
      </c>
      <c r="O2037">
        <v>1346</v>
      </c>
      <c r="P2037">
        <v>1173</v>
      </c>
      <c r="Q2037">
        <v>0</v>
      </c>
      <c r="R2037">
        <v>1173</v>
      </c>
    </row>
    <row r="2038" spans="1:18" x14ac:dyDescent="0.3">
      <c r="A2038" s="5">
        <v>45971</v>
      </c>
      <c r="B2038" t="s">
        <v>2985</v>
      </c>
      <c r="C2038">
        <v>22</v>
      </c>
      <c r="D2038">
        <v>36</v>
      </c>
      <c r="E2038" s="1">
        <v>1.25</v>
      </c>
      <c r="F2038" t="s">
        <v>2986</v>
      </c>
      <c r="G2038">
        <v>1</v>
      </c>
      <c r="H2038">
        <v>1081.1412</v>
      </c>
      <c r="I2038">
        <v>8.5</v>
      </c>
      <c r="J2038">
        <v>1163.79</v>
      </c>
      <c r="K2038">
        <v>6.6574267799006801</v>
      </c>
      <c r="L2038">
        <v>1219.83</v>
      </c>
      <c r="M2038" t="s">
        <v>27</v>
      </c>
      <c r="N2038">
        <v>1</v>
      </c>
      <c r="O2038">
        <v>1346</v>
      </c>
      <c r="P2038">
        <v>1173</v>
      </c>
      <c r="Q2038">
        <v>0</v>
      </c>
      <c r="R2038">
        <v>1173</v>
      </c>
    </row>
    <row r="2039" spans="1:18" x14ac:dyDescent="0.3">
      <c r="A2039" s="5">
        <v>45971</v>
      </c>
      <c r="B2039" t="s">
        <v>2987</v>
      </c>
      <c r="C2039">
        <v>20</v>
      </c>
      <c r="D2039">
        <v>36</v>
      </c>
      <c r="E2039" s="1">
        <v>1.25</v>
      </c>
      <c r="F2039" t="s">
        <v>2988</v>
      </c>
      <c r="G2039">
        <v>3</v>
      </c>
      <c r="H2039">
        <v>1081.3099</v>
      </c>
      <c r="I2039">
        <v>10</v>
      </c>
      <c r="J2039">
        <v>1163.79</v>
      </c>
      <c r="K2039">
        <v>7.8322667998831603</v>
      </c>
      <c r="L2039">
        <v>609.91</v>
      </c>
      <c r="M2039" t="s">
        <v>20</v>
      </c>
      <c r="N2039">
        <v>1</v>
      </c>
      <c r="O2039">
        <v>1362</v>
      </c>
      <c r="P2039">
        <v>1189</v>
      </c>
      <c r="Q2039">
        <v>0.5</v>
      </c>
      <c r="R2039">
        <v>594.5</v>
      </c>
    </row>
    <row r="2040" spans="1:18" x14ac:dyDescent="0.3">
      <c r="A2040" s="5">
        <v>45971</v>
      </c>
      <c r="B2040" t="s">
        <v>2989</v>
      </c>
      <c r="C2040">
        <v>30</v>
      </c>
      <c r="D2040">
        <v>36</v>
      </c>
      <c r="E2040" s="1">
        <v>1.4583333333333333</v>
      </c>
      <c r="F2040" t="s">
        <v>2990</v>
      </c>
      <c r="G2040">
        <v>5</v>
      </c>
      <c r="H2040">
        <v>1081.0061000000001</v>
      </c>
      <c r="I2040">
        <v>0</v>
      </c>
      <c r="J2040">
        <v>1163.79</v>
      </c>
      <c r="K2040">
        <v>0</v>
      </c>
      <c r="L2040">
        <v>1097.8399999999999</v>
      </c>
      <c r="M2040" t="s">
        <v>27</v>
      </c>
      <c r="N2040">
        <v>1</v>
      </c>
      <c r="O2040">
        <v>1254</v>
      </c>
      <c r="P2040">
        <v>1081</v>
      </c>
      <c r="Q2040">
        <v>0</v>
      </c>
      <c r="R2040">
        <v>1081</v>
      </c>
    </row>
    <row r="2041" spans="1:18" x14ac:dyDescent="0.3">
      <c r="A2041" s="5">
        <v>45971</v>
      </c>
      <c r="B2041" t="s">
        <v>2989</v>
      </c>
      <c r="C2041">
        <v>30</v>
      </c>
      <c r="D2041">
        <v>36</v>
      </c>
      <c r="E2041" s="1">
        <v>1.4583333333333333</v>
      </c>
      <c r="F2041" t="s">
        <v>2991</v>
      </c>
      <c r="G2041">
        <v>5</v>
      </c>
      <c r="H2041">
        <v>1081.0061000000001</v>
      </c>
      <c r="I2041">
        <v>0</v>
      </c>
      <c r="J2041">
        <v>1163.79</v>
      </c>
      <c r="K2041">
        <v>0</v>
      </c>
      <c r="L2041">
        <v>1097.8399999999999</v>
      </c>
      <c r="M2041" t="s">
        <v>27</v>
      </c>
      <c r="N2041">
        <v>1</v>
      </c>
      <c r="O2041">
        <v>1254</v>
      </c>
      <c r="P2041">
        <v>1081</v>
      </c>
      <c r="Q2041">
        <v>0</v>
      </c>
      <c r="R2041">
        <v>1081</v>
      </c>
    </row>
    <row r="2042" spans="1:18" x14ac:dyDescent="0.3">
      <c r="A2042" s="5">
        <v>45971</v>
      </c>
      <c r="B2042" t="s">
        <v>2992</v>
      </c>
      <c r="C2042">
        <v>31</v>
      </c>
      <c r="D2042">
        <v>36</v>
      </c>
      <c r="E2042" s="1">
        <v>1.4583333333333333</v>
      </c>
      <c r="F2042" t="s">
        <v>2990</v>
      </c>
      <c r="G2042">
        <v>5</v>
      </c>
      <c r="H2042">
        <v>1080.9882</v>
      </c>
      <c r="I2042">
        <v>0</v>
      </c>
      <c r="J2042">
        <v>1163.79</v>
      </c>
      <c r="K2042">
        <v>0</v>
      </c>
      <c r="L2042">
        <v>1097.8399999999999</v>
      </c>
      <c r="M2042" t="s">
        <v>27</v>
      </c>
      <c r="N2042">
        <v>1</v>
      </c>
      <c r="O2042">
        <v>1254</v>
      </c>
      <c r="P2042">
        <v>1081</v>
      </c>
      <c r="Q2042">
        <v>0</v>
      </c>
      <c r="R2042">
        <v>1081</v>
      </c>
    </row>
    <row r="2043" spans="1:18" x14ac:dyDescent="0.3">
      <c r="A2043" s="5">
        <v>45971</v>
      </c>
      <c r="B2043" t="s">
        <v>2992</v>
      </c>
      <c r="C2043">
        <v>31</v>
      </c>
      <c r="D2043">
        <v>36</v>
      </c>
      <c r="E2043" s="1">
        <v>1.4583333333333333</v>
      </c>
      <c r="F2043" t="s">
        <v>2991</v>
      </c>
      <c r="G2043">
        <v>5</v>
      </c>
      <c r="H2043">
        <v>1080.9882</v>
      </c>
      <c r="I2043">
        <v>0</v>
      </c>
      <c r="J2043">
        <v>1163.79</v>
      </c>
      <c r="K2043">
        <v>0</v>
      </c>
      <c r="L2043">
        <v>1097.8399999999999</v>
      </c>
      <c r="M2043" t="s">
        <v>27</v>
      </c>
      <c r="N2043">
        <v>1</v>
      </c>
      <c r="O2043">
        <v>1254</v>
      </c>
      <c r="P2043">
        <v>1081</v>
      </c>
      <c r="Q2043">
        <v>0</v>
      </c>
      <c r="R2043">
        <v>1081</v>
      </c>
    </row>
    <row r="2044" spans="1:18" x14ac:dyDescent="0.3">
      <c r="A2044" s="5">
        <v>45971</v>
      </c>
      <c r="B2044" t="s">
        <v>2993</v>
      </c>
      <c r="C2044">
        <v>11</v>
      </c>
      <c r="D2044">
        <v>36</v>
      </c>
      <c r="E2044" s="1">
        <v>1.4583333333333333</v>
      </c>
      <c r="F2044" t="s">
        <v>2994</v>
      </c>
      <c r="G2044">
        <v>1</v>
      </c>
      <c r="H2044">
        <v>1081.4668999999999</v>
      </c>
      <c r="I2044">
        <v>8.5</v>
      </c>
      <c r="J2044">
        <v>1163.79</v>
      </c>
      <c r="K2044">
        <v>6.6574267799006801</v>
      </c>
      <c r="L2044">
        <v>1219.83</v>
      </c>
      <c r="M2044" t="s">
        <v>27</v>
      </c>
      <c r="N2044">
        <v>1</v>
      </c>
      <c r="O2044">
        <v>1346</v>
      </c>
      <c r="P2044">
        <v>1173</v>
      </c>
      <c r="Q2044">
        <v>0</v>
      </c>
      <c r="R2044">
        <v>1173</v>
      </c>
    </row>
    <row r="2045" spans="1:18" x14ac:dyDescent="0.3">
      <c r="A2045" s="5">
        <v>45971</v>
      </c>
      <c r="B2045" t="s">
        <v>2995</v>
      </c>
      <c r="C2045">
        <v>12</v>
      </c>
      <c r="D2045">
        <v>36</v>
      </c>
      <c r="E2045" s="1">
        <v>1.4583333333333333</v>
      </c>
      <c r="F2045" t="s">
        <v>2996</v>
      </c>
      <c r="G2045">
        <v>1</v>
      </c>
      <c r="H2045">
        <v>1081.4490000000001</v>
      </c>
      <c r="I2045">
        <v>8.5</v>
      </c>
      <c r="J2045">
        <v>1163.79</v>
      </c>
      <c r="K2045">
        <v>6.6574267799006801</v>
      </c>
      <c r="L2045">
        <v>1219.83</v>
      </c>
      <c r="M2045" t="s">
        <v>27</v>
      </c>
      <c r="N2045">
        <v>1</v>
      </c>
      <c r="O2045">
        <v>1346</v>
      </c>
      <c r="P2045">
        <v>1173</v>
      </c>
      <c r="Q2045">
        <v>0</v>
      </c>
      <c r="R2045">
        <v>1173</v>
      </c>
    </row>
    <row r="2046" spans="1:18" x14ac:dyDescent="0.3">
      <c r="A2046" s="5">
        <v>45971</v>
      </c>
      <c r="B2046" t="s">
        <v>2997</v>
      </c>
      <c r="C2046">
        <v>9</v>
      </c>
      <c r="D2046">
        <v>36</v>
      </c>
      <c r="E2046" s="1">
        <v>1.9652777777777777</v>
      </c>
      <c r="F2046" t="s">
        <v>2998</v>
      </c>
      <c r="G2046">
        <v>5</v>
      </c>
      <c r="H2046">
        <v>1081.2886000000001</v>
      </c>
      <c r="I2046">
        <v>0</v>
      </c>
      <c r="J2046">
        <v>1163.79</v>
      </c>
      <c r="K2046">
        <v>0</v>
      </c>
      <c r="L2046">
        <v>1158.8800000000001</v>
      </c>
      <c r="M2046" t="s">
        <v>27</v>
      </c>
      <c r="N2046">
        <v>1</v>
      </c>
      <c r="O2046">
        <v>1254</v>
      </c>
      <c r="P2046">
        <v>1081</v>
      </c>
      <c r="Q2046">
        <v>0</v>
      </c>
      <c r="R2046">
        <v>1081</v>
      </c>
    </row>
    <row r="2047" spans="1:18" x14ac:dyDescent="0.3">
      <c r="A2047" s="5">
        <v>45971</v>
      </c>
      <c r="B2047" t="s">
        <v>2997</v>
      </c>
      <c r="C2047">
        <v>9</v>
      </c>
      <c r="D2047">
        <v>36</v>
      </c>
      <c r="E2047" s="1">
        <v>1.9652777777777777</v>
      </c>
      <c r="F2047" t="s">
        <v>2999</v>
      </c>
      <c r="G2047">
        <v>5</v>
      </c>
      <c r="H2047">
        <v>1081.2886000000001</v>
      </c>
      <c r="I2047">
        <v>0</v>
      </c>
      <c r="J2047">
        <v>1163.79</v>
      </c>
      <c r="K2047">
        <v>0</v>
      </c>
      <c r="L2047">
        <v>1158.8800000000001</v>
      </c>
      <c r="M2047" t="s">
        <v>27</v>
      </c>
      <c r="N2047">
        <v>1</v>
      </c>
      <c r="O2047">
        <v>1254</v>
      </c>
      <c r="P2047">
        <v>1081</v>
      </c>
      <c r="Q2047">
        <v>0</v>
      </c>
      <c r="R2047">
        <v>1081</v>
      </c>
    </row>
    <row r="2048" spans="1:18" x14ac:dyDescent="0.3">
      <c r="A2048" s="5">
        <v>45971</v>
      </c>
      <c r="B2048" t="s">
        <v>2997</v>
      </c>
      <c r="C2048">
        <v>9</v>
      </c>
      <c r="D2048">
        <v>36</v>
      </c>
      <c r="E2048" s="1">
        <v>1.9652777777777777</v>
      </c>
      <c r="F2048" t="s">
        <v>2999</v>
      </c>
      <c r="G2048">
        <v>5</v>
      </c>
      <c r="H2048">
        <v>1081.2886000000001</v>
      </c>
      <c r="I2048">
        <v>0</v>
      </c>
      <c r="J2048">
        <v>1163.79</v>
      </c>
      <c r="K2048">
        <v>0</v>
      </c>
      <c r="L2048">
        <v>1158.8800000000001</v>
      </c>
      <c r="M2048" t="s">
        <v>27</v>
      </c>
      <c r="N2048">
        <v>1</v>
      </c>
      <c r="O2048">
        <v>1254</v>
      </c>
      <c r="P2048">
        <v>1081</v>
      </c>
      <c r="Q2048">
        <v>0</v>
      </c>
      <c r="R2048">
        <v>1081</v>
      </c>
    </row>
    <row r="2049" spans="1:18" x14ac:dyDescent="0.3">
      <c r="A2049" s="5">
        <v>45971</v>
      </c>
      <c r="B2049" t="s">
        <v>3000</v>
      </c>
      <c r="C2049">
        <v>6</v>
      </c>
      <c r="D2049">
        <v>36</v>
      </c>
      <c r="E2049" s="1">
        <v>1.9652777777777777</v>
      </c>
      <c r="F2049" t="s">
        <v>2998</v>
      </c>
      <c r="G2049">
        <v>5</v>
      </c>
      <c r="H2049">
        <v>1081.3424</v>
      </c>
      <c r="I2049">
        <v>0</v>
      </c>
      <c r="J2049">
        <v>1163.79</v>
      </c>
      <c r="K2049">
        <v>0</v>
      </c>
      <c r="L2049">
        <v>1158.8800000000001</v>
      </c>
      <c r="M2049" t="s">
        <v>27</v>
      </c>
      <c r="N2049">
        <v>1</v>
      </c>
      <c r="O2049">
        <v>1254</v>
      </c>
      <c r="P2049">
        <v>1081</v>
      </c>
      <c r="Q2049">
        <v>0</v>
      </c>
      <c r="R2049">
        <v>1081</v>
      </c>
    </row>
    <row r="2050" spans="1:18" x14ac:dyDescent="0.3">
      <c r="A2050" s="5">
        <v>45971</v>
      </c>
      <c r="B2050" t="s">
        <v>3000</v>
      </c>
      <c r="C2050">
        <v>6</v>
      </c>
      <c r="D2050">
        <v>36</v>
      </c>
      <c r="E2050" s="1">
        <v>1.9652777777777777</v>
      </c>
      <c r="F2050" t="s">
        <v>2999</v>
      </c>
      <c r="G2050">
        <v>5</v>
      </c>
      <c r="H2050">
        <v>1081.3424</v>
      </c>
      <c r="I2050">
        <v>0</v>
      </c>
      <c r="J2050">
        <v>1163.79</v>
      </c>
      <c r="K2050">
        <v>0</v>
      </c>
      <c r="L2050">
        <v>1158.8800000000001</v>
      </c>
      <c r="M2050" t="s">
        <v>27</v>
      </c>
      <c r="N2050">
        <v>1</v>
      </c>
      <c r="O2050">
        <v>1254</v>
      </c>
      <c r="P2050">
        <v>1081</v>
      </c>
      <c r="Q2050">
        <v>0</v>
      </c>
      <c r="R2050">
        <v>1081</v>
      </c>
    </row>
    <row r="2051" spans="1:18" x14ac:dyDescent="0.3">
      <c r="A2051" s="5">
        <v>45971</v>
      </c>
      <c r="B2051" t="s">
        <v>3000</v>
      </c>
      <c r="C2051">
        <v>6</v>
      </c>
      <c r="D2051">
        <v>36</v>
      </c>
      <c r="E2051" s="1">
        <v>1.9652777777777777</v>
      </c>
      <c r="F2051" t="s">
        <v>2999</v>
      </c>
      <c r="G2051">
        <v>5</v>
      </c>
      <c r="H2051">
        <v>1081.3424</v>
      </c>
      <c r="I2051">
        <v>0</v>
      </c>
      <c r="J2051">
        <v>1163.79</v>
      </c>
      <c r="K2051">
        <v>0</v>
      </c>
      <c r="L2051">
        <v>1158.8800000000001</v>
      </c>
      <c r="M2051" t="s">
        <v>27</v>
      </c>
      <c r="N2051">
        <v>1</v>
      </c>
      <c r="O2051">
        <v>1254</v>
      </c>
      <c r="P2051">
        <v>1081</v>
      </c>
      <c r="Q2051">
        <v>0</v>
      </c>
      <c r="R2051">
        <v>1081</v>
      </c>
    </row>
    <row r="2052" spans="1:18" x14ac:dyDescent="0.3">
      <c r="A2052" s="5">
        <v>45971</v>
      </c>
      <c r="B2052" t="s">
        <v>3001</v>
      </c>
      <c r="C2052">
        <v>8</v>
      </c>
      <c r="D2052">
        <v>36</v>
      </c>
      <c r="E2052" s="1">
        <v>1.9652777777777777</v>
      </c>
      <c r="F2052" t="s">
        <v>2998</v>
      </c>
      <c r="G2052">
        <v>5</v>
      </c>
      <c r="H2052">
        <v>1081.3063</v>
      </c>
      <c r="I2052">
        <v>0</v>
      </c>
      <c r="J2052">
        <v>1163.79</v>
      </c>
      <c r="K2052">
        <v>0</v>
      </c>
      <c r="L2052">
        <v>1158.8800000000001</v>
      </c>
      <c r="M2052" t="s">
        <v>27</v>
      </c>
      <c r="N2052">
        <v>1</v>
      </c>
      <c r="O2052">
        <v>1254</v>
      </c>
      <c r="P2052">
        <v>1081</v>
      </c>
      <c r="Q2052">
        <v>0</v>
      </c>
      <c r="R2052">
        <v>1081</v>
      </c>
    </row>
    <row r="2053" spans="1:18" x14ac:dyDescent="0.3">
      <c r="A2053" s="5">
        <v>45971</v>
      </c>
      <c r="B2053" t="s">
        <v>3001</v>
      </c>
      <c r="C2053">
        <v>8</v>
      </c>
      <c r="D2053">
        <v>36</v>
      </c>
      <c r="E2053" s="1">
        <v>1.9652777777777777</v>
      </c>
      <c r="F2053" t="s">
        <v>2999</v>
      </c>
      <c r="G2053">
        <v>5</v>
      </c>
      <c r="H2053">
        <v>1081.3063</v>
      </c>
      <c r="I2053">
        <v>0</v>
      </c>
      <c r="J2053">
        <v>1163.79</v>
      </c>
      <c r="K2053">
        <v>0</v>
      </c>
      <c r="L2053">
        <v>1158.8800000000001</v>
      </c>
      <c r="M2053" t="s">
        <v>27</v>
      </c>
      <c r="N2053">
        <v>1</v>
      </c>
      <c r="O2053">
        <v>1254</v>
      </c>
      <c r="P2053">
        <v>1081</v>
      </c>
      <c r="Q2053">
        <v>0</v>
      </c>
      <c r="R2053">
        <v>1081</v>
      </c>
    </row>
    <row r="2054" spans="1:18" x14ac:dyDescent="0.3">
      <c r="A2054" s="5">
        <v>45971</v>
      </c>
      <c r="B2054" t="s">
        <v>3001</v>
      </c>
      <c r="C2054">
        <v>8</v>
      </c>
      <c r="D2054">
        <v>36</v>
      </c>
      <c r="E2054" s="1">
        <v>1.9652777777777777</v>
      </c>
      <c r="F2054" t="s">
        <v>2999</v>
      </c>
      <c r="G2054">
        <v>5</v>
      </c>
      <c r="H2054">
        <v>1081.3063</v>
      </c>
      <c r="I2054">
        <v>0</v>
      </c>
      <c r="J2054">
        <v>1163.79</v>
      </c>
      <c r="K2054">
        <v>0</v>
      </c>
      <c r="L2054">
        <v>1158.8800000000001</v>
      </c>
      <c r="M2054" t="s">
        <v>27</v>
      </c>
      <c r="N2054">
        <v>1</v>
      </c>
      <c r="O2054">
        <v>1254</v>
      </c>
      <c r="P2054">
        <v>1081</v>
      </c>
      <c r="Q2054">
        <v>0</v>
      </c>
      <c r="R2054">
        <v>1081</v>
      </c>
    </row>
    <row r="2055" spans="1:18" x14ac:dyDescent="0.3">
      <c r="A2055" s="5">
        <v>45971</v>
      </c>
      <c r="B2055" t="s">
        <v>3002</v>
      </c>
      <c r="C2055">
        <v>5</v>
      </c>
      <c r="D2055">
        <v>36</v>
      </c>
      <c r="E2055" s="1">
        <v>1.9652777777777777</v>
      </c>
      <c r="F2055" t="s">
        <v>2998</v>
      </c>
      <c r="G2055">
        <v>5</v>
      </c>
      <c r="H2055">
        <v>1081.3605</v>
      </c>
      <c r="I2055">
        <v>0</v>
      </c>
      <c r="J2055">
        <v>1163.79</v>
      </c>
      <c r="K2055">
        <v>0</v>
      </c>
      <c r="L2055">
        <v>1158.8800000000001</v>
      </c>
      <c r="M2055" t="s">
        <v>27</v>
      </c>
      <c r="N2055">
        <v>1</v>
      </c>
      <c r="O2055">
        <v>1254</v>
      </c>
      <c r="P2055">
        <v>1081</v>
      </c>
      <c r="Q2055">
        <v>0</v>
      </c>
      <c r="R2055">
        <v>1081</v>
      </c>
    </row>
    <row r="2056" spans="1:18" x14ac:dyDescent="0.3">
      <c r="A2056" s="5">
        <v>45971</v>
      </c>
      <c r="B2056" t="s">
        <v>3002</v>
      </c>
      <c r="C2056">
        <v>5</v>
      </c>
      <c r="D2056">
        <v>36</v>
      </c>
      <c r="E2056" s="1">
        <v>1.9652777777777777</v>
      </c>
      <c r="F2056" t="s">
        <v>2999</v>
      </c>
      <c r="G2056">
        <v>5</v>
      </c>
      <c r="H2056">
        <v>1081.3605</v>
      </c>
      <c r="I2056">
        <v>0</v>
      </c>
      <c r="J2056">
        <v>1163.79</v>
      </c>
      <c r="K2056">
        <v>0</v>
      </c>
      <c r="L2056">
        <v>1158.8800000000001</v>
      </c>
      <c r="M2056" t="s">
        <v>27</v>
      </c>
      <c r="N2056">
        <v>1</v>
      </c>
      <c r="O2056">
        <v>1254</v>
      </c>
      <c r="P2056">
        <v>1081</v>
      </c>
      <c r="Q2056">
        <v>0</v>
      </c>
      <c r="R2056">
        <v>1081</v>
      </c>
    </row>
    <row r="2057" spans="1:18" x14ac:dyDescent="0.3">
      <c r="A2057" s="5">
        <v>45971</v>
      </c>
      <c r="B2057" t="s">
        <v>3002</v>
      </c>
      <c r="C2057">
        <v>5</v>
      </c>
      <c r="D2057">
        <v>36</v>
      </c>
      <c r="E2057" s="1">
        <v>1.9652777777777777</v>
      </c>
      <c r="F2057" t="s">
        <v>2999</v>
      </c>
      <c r="G2057">
        <v>5</v>
      </c>
      <c r="H2057">
        <v>1081.3605</v>
      </c>
      <c r="I2057">
        <v>0</v>
      </c>
      <c r="J2057">
        <v>1163.79</v>
      </c>
      <c r="K2057">
        <v>0</v>
      </c>
      <c r="L2057">
        <v>1158.8800000000001</v>
      </c>
      <c r="M2057" t="s">
        <v>27</v>
      </c>
      <c r="N2057">
        <v>1</v>
      </c>
      <c r="O2057">
        <v>1254</v>
      </c>
      <c r="P2057">
        <v>1081</v>
      </c>
      <c r="Q2057">
        <v>0</v>
      </c>
      <c r="R2057">
        <v>1081</v>
      </c>
    </row>
    <row r="2058" spans="1:18" x14ac:dyDescent="0.3">
      <c r="A2058" s="5">
        <v>45971</v>
      </c>
      <c r="B2058" t="s">
        <v>3003</v>
      </c>
      <c r="C2058">
        <v>17</v>
      </c>
      <c r="D2058">
        <v>36</v>
      </c>
      <c r="E2058" s="1">
        <v>1.4583333333333333</v>
      </c>
      <c r="F2058" t="s">
        <v>3004</v>
      </c>
      <c r="G2058">
        <v>1</v>
      </c>
      <c r="H2058">
        <v>1081.3584000000001</v>
      </c>
      <c r="I2058">
        <v>8.5</v>
      </c>
      <c r="J2058">
        <v>1163.79</v>
      </c>
      <c r="K2058">
        <v>6.6574267799006801</v>
      </c>
      <c r="L2058">
        <v>1219.83</v>
      </c>
      <c r="M2058" t="s">
        <v>27</v>
      </c>
      <c r="N2058">
        <v>1</v>
      </c>
      <c r="O2058">
        <v>1346</v>
      </c>
      <c r="P2058">
        <v>1173</v>
      </c>
      <c r="Q2058">
        <v>0</v>
      </c>
      <c r="R2058">
        <v>1173</v>
      </c>
    </row>
    <row r="2059" spans="1:18" x14ac:dyDescent="0.3">
      <c r="A2059" s="5">
        <v>45971</v>
      </c>
      <c r="B2059" t="s">
        <v>3005</v>
      </c>
      <c r="C2059">
        <v>10</v>
      </c>
      <c r="D2059">
        <v>36</v>
      </c>
      <c r="E2059" s="1">
        <v>1.4583333333333333</v>
      </c>
      <c r="F2059" t="s">
        <v>3006</v>
      </c>
      <c r="G2059">
        <v>1</v>
      </c>
      <c r="H2059">
        <v>1081.4840999999999</v>
      </c>
      <c r="I2059">
        <v>8.5</v>
      </c>
      <c r="J2059">
        <v>1163.79</v>
      </c>
      <c r="K2059">
        <v>6.6574267799006801</v>
      </c>
      <c r="L2059">
        <v>1219.83</v>
      </c>
      <c r="M2059" t="s">
        <v>27</v>
      </c>
      <c r="N2059">
        <v>1</v>
      </c>
      <c r="O2059">
        <v>1346</v>
      </c>
      <c r="P2059">
        <v>1173</v>
      </c>
      <c r="Q2059">
        <v>0</v>
      </c>
      <c r="R2059">
        <v>1173</v>
      </c>
    </row>
    <row r="2060" spans="1:18" x14ac:dyDescent="0.3">
      <c r="A2060" s="5">
        <v>45971</v>
      </c>
      <c r="B2060" t="s">
        <v>3007</v>
      </c>
      <c r="C2060">
        <v>21</v>
      </c>
      <c r="D2060">
        <v>36</v>
      </c>
      <c r="E2060" s="1">
        <v>1.4583333333333333</v>
      </c>
      <c r="F2060" t="s">
        <v>3008</v>
      </c>
      <c r="G2060">
        <v>5</v>
      </c>
      <c r="H2060">
        <v>1081.2987000000001</v>
      </c>
      <c r="I2060">
        <v>0</v>
      </c>
      <c r="J2060">
        <v>1163.79</v>
      </c>
      <c r="K2060">
        <v>0</v>
      </c>
      <c r="L2060">
        <v>1158.8800000000001</v>
      </c>
      <c r="M2060" t="s">
        <v>27</v>
      </c>
      <c r="N2060">
        <v>1</v>
      </c>
      <c r="O2060">
        <v>1254</v>
      </c>
      <c r="P2060">
        <v>1081</v>
      </c>
      <c r="Q2060">
        <v>0</v>
      </c>
      <c r="R2060">
        <v>1081</v>
      </c>
    </row>
    <row r="2061" spans="1:18" x14ac:dyDescent="0.3">
      <c r="A2061" s="5">
        <v>45971</v>
      </c>
      <c r="B2061" t="s">
        <v>3009</v>
      </c>
      <c r="C2061">
        <v>24</v>
      </c>
      <c r="D2061">
        <v>36</v>
      </c>
      <c r="E2061" s="1">
        <v>1.4583333333333333</v>
      </c>
      <c r="F2061" t="s">
        <v>3010</v>
      </c>
      <c r="G2061">
        <v>1</v>
      </c>
      <c r="H2061">
        <v>1081.1034999999999</v>
      </c>
      <c r="I2061">
        <v>8.5</v>
      </c>
      <c r="J2061">
        <v>1163.79</v>
      </c>
      <c r="K2061">
        <v>6.6574267799006801</v>
      </c>
      <c r="L2061">
        <v>1219.83</v>
      </c>
      <c r="M2061" t="s">
        <v>27</v>
      </c>
      <c r="N2061">
        <v>1</v>
      </c>
      <c r="O2061">
        <v>1346</v>
      </c>
      <c r="P2061">
        <v>1173</v>
      </c>
      <c r="Q2061">
        <v>0</v>
      </c>
      <c r="R2061">
        <v>1173</v>
      </c>
    </row>
    <row r="2062" spans="1:18" x14ac:dyDescent="0.3">
      <c r="A2062" s="5">
        <v>45971</v>
      </c>
      <c r="B2062" t="s">
        <v>3011</v>
      </c>
      <c r="C2062">
        <v>6</v>
      </c>
      <c r="D2062">
        <v>36</v>
      </c>
      <c r="E2062" s="1">
        <v>1.4583333333333333</v>
      </c>
      <c r="F2062" t="s">
        <v>3012</v>
      </c>
      <c r="G2062">
        <v>1</v>
      </c>
      <c r="H2062">
        <v>1081.5553</v>
      </c>
      <c r="I2062">
        <v>8.5</v>
      </c>
      <c r="J2062">
        <v>1163.79</v>
      </c>
      <c r="K2062">
        <v>6.6574267799006801</v>
      </c>
      <c r="L2062">
        <v>1219.83</v>
      </c>
      <c r="M2062" t="s">
        <v>27</v>
      </c>
      <c r="N2062">
        <v>1</v>
      </c>
      <c r="O2062">
        <v>1347</v>
      </c>
      <c r="P2062">
        <v>1173</v>
      </c>
      <c r="Q2062">
        <v>0</v>
      </c>
      <c r="R2062">
        <v>1173</v>
      </c>
    </row>
    <row r="2063" spans="1:18" x14ac:dyDescent="0.3">
      <c r="A2063" s="5">
        <v>45971</v>
      </c>
      <c r="B2063" t="s">
        <v>3013</v>
      </c>
      <c r="C2063">
        <v>3</v>
      </c>
      <c r="D2063">
        <v>36</v>
      </c>
      <c r="E2063" s="1">
        <v>1.4583333333333333</v>
      </c>
      <c r="F2063" t="s">
        <v>97</v>
      </c>
      <c r="G2063">
        <v>4</v>
      </c>
      <c r="H2063">
        <v>1079.5776000000001</v>
      </c>
      <c r="I2063">
        <v>7</v>
      </c>
      <c r="J2063">
        <v>1163.79</v>
      </c>
      <c r="K2063">
        <v>5.4825867599182097</v>
      </c>
      <c r="L2063">
        <v>1219.83</v>
      </c>
      <c r="M2063" t="s">
        <v>27</v>
      </c>
      <c r="N2063">
        <v>1</v>
      </c>
      <c r="O2063">
        <v>1328</v>
      </c>
      <c r="P2063">
        <v>1155</v>
      </c>
      <c r="Q2063">
        <v>0</v>
      </c>
      <c r="R2063">
        <v>1155</v>
      </c>
    </row>
    <row r="2064" spans="1:18" x14ac:dyDescent="0.3">
      <c r="A2064" s="5">
        <v>45971</v>
      </c>
      <c r="B2064" t="s">
        <v>3014</v>
      </c>
      <c r="C2064">
        <v>8</v>
      </c>
      <c r="D2064">
        <v>36</v>
      </c>
      <c r="E2064" s="1">
        <v>1.4583333333333333</v>
      </c>
      <c r="F2064" t="s">
        <v>3015</v>
      </c>
      <c r="G2064">
        <v>1</v>
      </c>
      <c r="H2064">
        <v>1081.5192</v>
      </c>
      <c r="I2064">
        <v>8.5</v>
      </c>
      <c r="J2064">
        <v>1163.79</v>
      </c>
      <c r="K2064">
        <v>6.6574267799006801</v>
      </c>
      <c r="L2064">
        <v>1219.83</v>
      </c>
      <c r="M2064" t="s">
        <v>27</v>
      </c>
      <c r="N2064">
        <v>1</v>
      </c>
      <c r="O2064">
        <v>1346</v>
      </c>
      <c r="P2064">
        <v>1173</v>
      </c>
      <c r="Q2064">
        <v>0</v>
      </c>
      <c r="R2064">
        <v>1173</v>
      </c>
    </row>
    <row r="2065" spans="1:18" x14ac:dyDescent="0.3">
      <c r="A2065" s="5">
        <v>45971</v>
      </c>
      <c r="B2065" t="s">
        <v>3016</v>
      </c>
      <c r="C2065">
        <v>9</v>
      </c>
      <c r="D2065">
        <v>36</v>
      </c>
      <c r="E2065" s="1">
        <v>1.4583333333333333</v>
      </c>
      <c r="F2065" t="s">
        <v>3017</v>
      </c>
      <c r="G2065">
        <v>1</v>
      </c>
      <c r="H2065">
        <v>1081.5012999999999</v>
      </c>
      <c r="I2065">
        <v>8.5</v>
      </c>
      <c r="J2065">
        <v>1163.79</v>
      </c>
      <c r="K2065">
        <v>6.6574267799006801</v>
      </c>
      <c r="L2065">
        <v>1219.83</v>
      </c>
      <c r="M2065" t="s">
        <v>27</v>
      </c>
      <c r="N2065">
        <v>1</v>
      </c>
      <c r="O2065">
        <v>1346</v>
      </c>
      <c r="P2065">
        <v>1173</v>
      </c>
      <c r="Q2065">
        <v>0</v>
      </c>
      <c r="R2065">
        <v>1173</v>
      </c>
    </row>
    <row r="2066" spans="1:18" x14ac:dyDescent="0.3">
      <c r="A2066" s="5">
        <v>45971</v>
      </c>
      <c r="B2066" t="s">
        <v>3018</v>
      </c>
      <c r="C2066">
        <v>5</v>
      </c>
      <c r="D2066">
        <v>36</v>
      </c>
      <c r="E2066" s="1">
        <v>1.4583333333333333</v>
      </c>
      <c r="F2066" t="s">
        <v>3019</v>
      </c>
      <c r="G2066">
        <v>1</v>
      </c>
      <c r="H2066">
        <v>1081.5731000000001</v>
      </c>
      <c r="I2066">
        <v>8.5</v>
      </c>
      <c r="J2066">
        <v>1163.79</v>
      </c>
      <c r="K2066">
        <v>6.6574267799006801</v>
      </c>
      <c r="L2066">
        <v>1219.83</v>
      </c>
      <c r="M2066" t="s">
        <v>27</v>
      </c>
      <c r="N2066">
        <v>1</v>
      </c>
      <c r="O2066">
        <v>1347</v>
      </c>
      <c r="P2066">
        <v>1174</v>
      </c>
      <c r="Q2066">
        <v>0</v>
      </c>
      <c r="R2066">
        <v>1174</v>
      </c>
    </row>
    <row r="2067" spans="1:18" x14ac:dyDescent="0.3">
      <c r="A2067" s="5">
        <v>45971</v>
      </c>
      <c r="B2067" t="s">
        <v>3020</v>
      </c>
      <c r="C2067">
        <v>28</v>
      </c>
      <c r="D2067">
        <v>36</v>
      </c>
      <c r="E2067" s="1">
        <v>1.4583333333333333</v>
      </c>
      <c r="F2067" t="s">
        <v>3021</v>
      </c>
      <c r="G2067">
        <v>1</v>
      </c>
      <c r="H2067">
        <v>1081.0315000000001</v>
      </c>
      <c r="I2067">
        <v>8.5</v>
      </c>
      <c r="J2067">
        <v>1163.79</v>
      </c>
      <c r="K2067">
        <v>6.6574267799006801</v>
      </c>
      <c r="L2067">
        <v>1219.83</v>
      </c>
      <c r="M2067" t="s">
        <v>27</v>
      </c>
      <c r="N2067">
        <v>1</v>
      </c>
      <c r="O2067">
        <v>1346</v>
      </c>
      <c r="P2067">
        <v>1173</v>
      </c>
      <c r="Q2067">
        <v>0</v>
      </c>
      <c r="R2067">
        <v>1173</v>
      </c>
    </row>
    <row r="2068" spans="1:18" x14ac:dyDescent="0.3">
      <c r="A2068" s="5">
        <v>45971</v>
      </c>
      <c r="B2068" t="s">
        <v>3022</v>
      </c>
      <c r="C2068">
        <v>18</v>
      </c>
      <c r="D2068">
        <v>36</v>
      </c>
      <c r="E2068" s="1">
        <v>1.9652777777777777</v>
      </c>
      <c r="F2068" t="s">
        <v>3023</v>
      </c>
      <c r="G2068">
        <v>5</v>
      </c>
      <c r="H2068">
        <v>1081.1242999999999</v>
      </c>
      <c r="I2068">
        <v>0</v>
      </c>
      <c r="J2068">
        <v>1163.79</v>
      </c>
      <c r="K2068">
        <v>0</v>
      </c>
      <c r="L2068">
        <v>1158.8800000000001</v>
      </c>
      <c r="M2068" t="s">
        <v>27</v>
      </c>
      <c r="N2068">
        <v>1</v>
      </c>
      <c r="O2068">
        <v>1254</v>
      </c>
      <c r="P2068">
        <v>1081</v>
      </c>
      <c r="Q2068">
        <v>0</v>
      </c>
      <c r="R2068">
        <v>1081</v>
      </c>
    </row>
    <row r="2069" spans="1:18" x14ac:dyDescent="0.3">
      <c r="A2069" s="5">
        <v>45971</v>
      </c>
      <c r="B2069" t="s">
        <v>3024</v>
      </c>
      <c r="C2069">
        <v>35</v>
      </c>
      <c r="D2069">
        <v>36</v>
      </c>
      <c r="E2069" s="1">
        <v>1.9993055555555554</v>
      </c>
      <c r="F2069" t="s">
        <v>3025</v>
      </c>
      <c r="G2069">
        <v>5</v>
      </c>
      <c r="H2069">
        <v>1080.6862000000001</v>
      </c>
      <c r="I2069">
        <v>0</v>
      </c>
      <c r="J2069">
        <v>1163.79</v>
      </c>
      <c r="K2069">
        <v>0</v>
      </c>
      <c r="L2069">
        <v>1158.8800000000001</v>
      </c>
      <c r="M2069" t="s">
        <v>27</v>
      </c>
      <c r="N2069">
        <v>1</v>
      </c>
      <c r="O2069">
        <v>1254</v>
      </c>
      <c r="P2069">
        <v>1081</v>
      </c>
      <c r="Q2069">
        <v>0</v>
      </c>
      <c r="R2069">
        <v>1081</v>
      </c>
    </row>
    <row r="2070" spans="1:18" x14ac:dyDescent="0.3">
      <c r="A2070" s="5">
        <v>45971</v>
      </c>
      <c r="B2070" t="s">
        <v>3026</v>
      </c>
      <c r="C2070">
        <v>29</v>
      </c>
      <c r="D2070">
        <v>36</v>
      </c>
      <c r="E2070" s="1">
        <v>1.9993055555555554</v>
      </c>
      <c r="F2070" t="s">
        <v>3027</v>
      </c>
      <c r="G2070">
        <v>5</v>
      </c>
      <c r="H2070">
        <v>1080.7935</v>
      </c>
      <c r="I2070">
        <v>0</v>
      </c>
      <c r="J2070">
        <v>1163.79</v>
      </c>
      <c r="K2070">
        <v>0</v>
      </c>
      <c r="L2070">
        <v>1158.8800000000001</v>
      </c>
      <c r="M2070" t="s">
        <v>27</v>
      </c>
      <c r="N2070">
        <v>1</v>
      </c>
      <c r="O2070">
        <v>1254</v>
      </c>
      <c r="P2070">
        <v>1081</v>
      </c>
      <c r="Q2070">
        <v>0</v>
      </c>
      <c r="R2070">
        <v>1081</v>
      </c>
    </row>
    <row r="2071" spans="1:18" x14ac:dyDescent="0.3">
      <c r="A2071" s="5">
        <v>45971</v>
      </c>
      <c r="B2071" t="s">
        <v>3028</v>
      </c>
      <c r="C2071">
        <v>22</v>
      </c>
      <c r="D2071">
        <v>36</v>
      </c>
      <c r="E2071" s="1">
        <v>1.4583333333333333</v>
      </c>
      <c r="F2071" t="s">
        <v>3029</v>
      </c>
      <c r="G2071">
        <v>0</v>
      </c>
      <c r="H2071">
        <v>1081.0798</v>
      </c>
      <c r="I2071">
        <v>2.5</v>
      </c>
      <c r="J2071">
        <v>1163.79</v>
      </c>
      <c r="K2071">
        <v>1.9580666999707901</v>
      </c>
      <c r="L2071">
        <v>1158.8800000000001</v>
      </c>
      <c r="M2071" t="s">
        <v>27</v>
      </c>
      <c r="N2071">
        <v>1</v>
      </c>
      <c r="O2071">
        <v>1281</v>
      </c>
      <c r="P2071">
        <v>1108</v>
      </c>
      <c r="Q2071">
        <v>0</v>
      </c>
      <c r="R2071">
        <v>1108</v>
      </c>
    </row>
    <row r="2072" spans="1:18" x14ac:dyDescent="0.3">
      <c r="A2072" s="5">
        <v>45971</v>
      </c>
      <c r="B2072" t="s">
        <v>3028</v>
      </c>
      <c r="C2072">
        <v>22</v>
      </c>
      <c r="D2072">
        <v>36</v>
      </c>
      <c r="E2072" s="1">
        <v>1.4583333333333333</v>
      </c>
      <c r="F2072" t="s">
        <v>3029</v>
      </c>
      <c r="G2072">
        <v>0</v>
      </c>
      <c r="H2072">
        <v>1081.0798</v>
      </c>
      <c r="I2072">
        <v>2.5</v>
      </c>
      <c r="J2072">
        <v>1163.79</v>
      </c>
      <c r="K2072">
        <v>1.9580666999707901</v>
      </c>
      <c r="L2072">
        <v>1158.8800000000001</v>
      </c>
      <c r="M2072" t="s">
        <v>27</v>
      </c>
      <c r="N2072">
        <v>1</v>
      </c>
      <c r="O2072">
        <v>1281</v>
      </c>
      <c r="P2072">
        <v>1108</v>
      </c>
      <c r="Q2072">
        <v>0</v>
      </c>
      <c r="R2072">
        <v>1108</v>
      </c>
    </row>
    <row r="2073" spans="1:18" x14ac:dyDescent="0.3">
      <c r="A2073" s="5">
        <v>45971</v>
      </c>
      <c r="B2073" t="s">
        <v>3030</v>
      </c>
      <c r="C2073">
        <v>23</v>
      </c>
      <c r="D2073">
        <v>36</v>
      </c>
      <c r="E2073" s="1">
        <v>1.4583333333333333</v>
      </c>
      <c r="F2073" t="s">
        <v>3029</v>
      </c>
      <c r="G2073">
        <v>0</v>
      </c>
      <c r="H2073">
        <v>1081.0616</v>
      </c>
      <c r="I2073">
        <v>2.5</v>
      </c>
      <c r="J2073">
        <v>1163.79</v>
      </c>
      <c r="K2073">
        <v>1.9580666999707901</v>
      </c>
      <c r="L2073">
        <v>1158.8800000000001</v>
      </c>
      <c r="M2073" t="s">
        <v>27</v>
      </c>
      <c r="N2073">
        <v>1</v>
      </c>
      <c r="O2073">
        <v>1281</v>
      </c>
      <c r="P2073">
        <v>1108</v>
      </c>
      <c r="Q2073">
        <v>0</v>
      </c>
      <c r="R2073">
        <v>1108</v>
      </c>
    </row>
    <row r="2074" spans="1:18" x14ac:dyDescent="0.3">
      <c r="A2074" s="5">
        <v>45971</v>
      </c>
      <c r="B2074" t="s">
        <v>3030</v>
      </c>
      <c r="C2074">
        <v>23</v>
      </c>
      <c r="D2074">
        <v>36</v>
      </c>
      <c r="E2074" s="1">
        <v>1.4583333333333333</v>
      </c>
      <c r="F2074" t="s">
        <v>3029</v>
      </c>
      <c r="G2074">
        <v>0</v>
      </c>
      <c r="H2074">
        <v>1081.0616</v>
      </c>
      <c r="I2074">
        <v>2.5</v>
      </c>
      <c r="J2074">
        <v>1163.79</v>
      </c>
      <c r="K2074">
        <v>1.9580666999707901</v>
      </c>
      <c r="L2074">
        <v>1158.8800000000001</v>
      </c>
      <c r="M2074" t="s">
        <v>27</v>
      </c>
      <c r="N2074">
        <v>1</v>
      </c>
      <c r="O2074">
        <v>1281</v>
      </c>
      <c r="P2074">
        <v>1108</v>
      </c>
      <c r="Q2074">
        <v>0</v>
      </c>
      <c r="R2074">
        <v>1108</v>
      </c>
    </row>
    <row r="2075" spans="1:18" x14ac:dyDescent="0.3">
      <c r="A2075" s="5">
        <v>45971</v>
      </c>
      <c r="B2075" t="s">
        <v>3031</v>
      </c>
      <c r="C2075">
        <v>20</v>
      </c>
      <c r="D2075">
        <v>36</v>
      </c>
      <c r="E2075" s="1">
        <v>1.4583333333333333</v>
      </c>
      <c r="F2075" t="s">
        <v>3029</v>
      </c>
      <c r="G2075">
        <v>0</v>
      </c>
      <c r="H2075">
        <v>1081.2483</v>
      </c>
      <c r="I2075">
        <v>2.5</v>
      </c>
      <c r="J2075">
        <v>1163.79</v>
      </c>
      <c r="K2075">
        <v>1.9580666999707901</v>
      </c>
      <c r="L2075">
        <v>1158.8800000000001</v>
      </c>
      <c r="M2075" t="s">
        <v>27</v>
      </c>
      <c r="N2075">
        <v>1</v>
      </c>
      <c r="O2075">
        <v>1281</v>
      </c>
      <c r="P2075">
        <v>1108</v>
      </c>
      <c r="Q2075">
        <v>0</v>
      </c>
      <c r="R2075">
        <v>1108</v>
      </c>
    </row>
    <row r="2076" spans="1:18" x14ac:dyDescent="0.3">
      <c r="A2076" s="5">
        <v>45971</v>
      </c>
      <c r="B2076" t="s">
        <v>3031</v>
      </c>
      <c r="C2076">
        <v>20</v>
      </c>
      <c r="D2076">
        <v>36</v>
      </c>
      <c r="E2076" s="1">
        <v>1.4583333333333333</v>
      </c>
      <c r="F2076" t="s">
        <v>3029</v>
      </c>
      <c r="G2076">
        <v>0</v>
      </c>
      <c r="H2076">
        <v>1081.2483</v>
      </c>
      <c r="I2076">
        <v>2.5</v>
      </c>
      <c r="J2076">
        <v>1163.79</v>
      </c>
      <c r="K2076">
        <v>1.9580666999707901</v>
      </c>
      <c r="L2076">
        <v>1158.8800000000001</v>
      </c>
      <c r="M2076" t="s">
        <v>27</v>
      </c>
      <c r="N2076">
        <v>1</v>
      </c>
      <c r="O2076">
        <v>1281</v>
      </c>
      <c r="P2076">
        <v>1108</v>
      </c>
      <c r="Q2076">
        <v>0</v>
      </c>
      <c r="R2076">
        <v>1108</v>
      </c>
    </row>
    <row r="2077" spans="1:18" x14ac:dyDescent="0.3">
      <c r="A2077" s="5">
        <v>45971</v>
      </c>
      <c r="B2077" t="s">
        <v>3032</v>
      </c>
      <c r="C2077">
        <v>19</v>
      </c>
      <c r="D2077">
        <v>36</v>
      </c>
      <c r="E2077" s="1">
        <v>1.4583333333333333</v>
      </c>
      <c r="F2077" t="s">
        <v>3029</v>
      </c>
      <c r="G2077">
        <v>0</v>
      </c>
      <c r="H2077">
        <v>1081.2662</v>
      </c>
      <c r="I2077">
        <v>2.5</v>
      </c>
      <c r="J2077">
        <v>1163.79</v>
      </c>
      <c r="K2077">
        <v>1.9580666999707901</v>
      </c>
      <c r="L2077">
        <v>1158.8800000000001</v>
      </c>
      <c r="M2077" t="s">
        <v>27</v>
      </c>
      <c r="N2077">
        <v>1</v>
      </c>
      <c r="O2077">
        <v>1281</v>
      </c>
      <c r="P2077">
        <v>1108</v>
      </c>
      <c r="Q2077">
        <v>0</v>
      </c>
      <c r="R2077">
        <v>1108</v>
      </c>
    </row>
    <row r="2078" spans="1:18" x14ac:dyDescent="0.3">
      <c r="A2078" s="5">
        <v>45971</v>
      </c>
      <c r="B2078" t="s">
        <v>3032</v>
      </c>
      <c r="C2078">
        <v>19</v>
      </c>
      <c r="D2078">
        <v>36</v>
      </c>
      <c r="E2078" s="1">
        <v>1.4583333333333333</v>
      </c>
      <c r="F2078" t="s">
        <v>3029</v>
      </c>
      <c r="G2078">
        <v>0</v>
      </c>
      <c r="H2078">
        <v>1081.2662</v>
      </c>
      <c r="I2078">
        <v>2.5</v>
      </c>
      <c r="J2078">
        <v>1163.79</v>
      </c>
      <c r="K2078">
        <v>1.9580666999707901</v>
      </c>
      <c r="L2078">
        <v>1158.8800000000001</v>
      </c>
      <c r="M2078" t="s">
        <v>27</v>
      </c>
      <c r="N2078">
        <v>1</v>
      </c>
      <c r="O2078">
        <v>1281</v>
      </c>
      <c r="P2078">
        <v>1108</v>
      </c>
      <c r="Q2078">
        <v>0</v>
      </c>
      <c r="R2078">
        <v>1108</v>
      </c>
    </row>
    <row r="2079" spans="1:18" x14ac:dyDescent="0.3">
      <c r="A2079" s="5">
        <v>45971</v>
      </c>
      <c r="B2079" t="s">
        <v>3033</v>
      </c>
      <c r="C2079">
        <v>36</v>
      </c>
      <c r="D2079">
        <v>36</v>
      </c>
      <c r="E2079" s="1">
        <v>1.9652777777777777</v>
      </c>
      <c r="F2079" t="s">
        <v>3034</v>
      </c>
      <c r="G2079">
        <v>5</v>
      </c>
      <c r="H2079">
        <v>1080.6674</v>
      </c>
      <c r="I2079">
        <v>0</v>
      </c>
      <c r="J2079">
        <v>1163.79</v>
      </c>
      <c r="K2079">
        <v>0</v>
      </c>
      <c r="L2079">
        <v>1158.8800000000001</v>
      </c>
      <c r="M2079" t="s">
        <v>27</v>
      </c>
      <c r="N2079">
        <v>1</v>
      </c>
      <c r="O2079">
        <v>1254</v>
      </c>
      <c r="P2079">
        <v>1081</v>
      </c>
      <c r="Q2079">
        <v>0</v>
      </c>
      <c r="R2079">
        <v>1081</v>
      </c>
    </row>
    <row r="2080" spans="1:18" x14ac:dyDescent="0.3">
      <c r="A2080" s="5">
        <v>45971</v>
      </c>
      <c r="B2080" t="s">
        <v>3035</v>
      </c>
      <c r="C2080">
        <v>16</v>
      </c>
      <c r="D2080">
        <v>36</v>
      </c>
      <c r="E2080" s="1">
        <v>1.9993055555555554</v>
      </c>
      <c r="F2080" t="s">
        <v>3036</v>
      </c>
      <c r="G2080">
        <v>4</v>
      </c>
      <c r="H2080">
        <v>1081.0924</v>
      </c>
      <c r="I2080">
        <v>7</v>
      </c>
      <c r="J2080">
        <v>1163.79</v>
      </c>
      <c r="K2080">
        <v>5.4825867599182097</v>
      </c>
      <c r="L2080">
        <v>1158.8800000000001</v>
      </c>
      <c r="M2080" t="s">
        <v>27</v>
      </c>
      <c r="N2080">
        <v>1</v>
      </c>
      <c r="O2080">
        <v>1330</v>
      </c>
      <c r="P2080">
        <v>1157</v>
      </c>
      <c r="Q2080">
        <v>0</v>
      </c>
      <c r="R2080">
        <v>1157</v>
      </c>
    </row>
    <row r="2081" spans="1:18" x14ac:dyDescent="0.3">
      <c r="A2081" s="5">
        <v>45971</v>
      </c>
      <c r="B2081" t="s">
        <v>3037</v>
      </c>
      <c r="C2081">
        <v>7</v>
      </c>
      <c r="D2081">
        <v>36</v>
      </c>
      <c r="E2081" s="1">
        <v>1.9993055555555554</v>
      </c>
      <c r="F2081" t="s">
        <v>3038</v>
      </c>
      <c r="G2081">
        <v>1</v>
      </c>
      <c r="H2081">
        <v>1081.3077000000001</v>
      </c>
      <c r="I2081">
        <v>8.5</v>
      </c>
      <c r="J2081">
        <v>1163.79</v>
      </c>
      <c r="K2081">
        <v>6.6574267799006801</v>
      </c>
      <c r="L2081">
        <v>1219.83</v>
      </c>
      <c r="M2081" t="s">
        <v>27</v>
      </c>
      <c r="N2081">
        <v>1</v>
      </c>
      <c r="O2081">
        <v>1346</v>
      </c>
      <c r="P2081">
        <v>1173</v>
      </c>
      <c r="Q2081">
        <v>0</v>
      </c>
      <c r="R2081">
        <v>1173</v>
      </c>
    </row>
    <row r="2082" spans="1:18" x14ac:dyDescent="0.3">
      <c r="A2082" s="5">
        <v>45971</v>
      </c>
      <c r="B2082" t="s">
        <v>1924</v>
      </c>
      <c r="C2082">
        <v>7</v>
      </c>
      <c r="D2082">
        <v>36</v>
      </c>
      <c r="E2082" s="1">
        <v>1.9652777777777777</v>
      </c>
      <c r="F2082" t="s">
        <v>1925</v>
      </c>
      <c r="G2082">
        <v>0</v>
      </c>
      <c r="H2082">
        <v>1081.2543000000001</v>
      </c>
      <c r="I2082">
        <v>2.5</v>
      </c>
      <c r="J2082">
        <v>1163.79</v>
      </c>
      <c r="K2082">
        <v>1.9580666999707901</v>
      </c>
      <c r="L2082">
        <v>1097.8399999999999</v>
      </c>
      <c r="M2082" t="s">
        <v>27</v>
      </c>
      <c r="N2082">
        <v>1</v>
      </c>
      <c r="O2082">
        <v>1281</v>
      </c>
      <c r="P2082">
        <v>1108</v>
      </c>
      <c r="Q2082">
        <v>0</v>
      </c>
      <c r="R2082">
        <v>1108</v>
      </c>
    </row>
    <row r="2083" spans="1:18" x14ac:dyDescent="0.3">
      <c r="A2083" s="5">
        <v>45971</v>
      </c>
      <c r="B2083" t="s">
        <v>3039</v>
      </c>
      <c r="C2083">
        <v>16</v>
      </c>
      <c r="D2083">
        <v>36</v>
      </c>
      <c r="E2083" s="1">
        <v>1.25</v>
      </c>
      <c r="F2083" t="s">
        <v>3040</v>
      </c>
      <c r="G2083">
        <v>2</v>
      </c>
      <c r="H2083">
        <v>1081.3163</v>
      </c>
      <c r="I2083">
        <v>5</v>
      </c>
      <c r="J2083">
        <v>1163.79</v>
      </c>
      <c r="K2083">
        <v>3.9161333999415802</v>
      </c>
      <c r="L2083">
        <v>609.91</v>
      </c>
      <c r="M2083" t="s">
        <v>60</v>
      </c>
      <c r="N2083">
        <v>1</v>
      </c>
      <c r="O2083">
        <v>1308</v>
      </c>
      <c r="P2083">
        <v>1135</v>
      </c>
      <c r="Q2083">
        <v>0.5</v>
      </c>
      <c r="R2083">
        <v>567.5</v>
      </c>
    </row>
    <row r="2084" spans="1:18" x14ac:dyDescent="0.3">
      <c r="A2084" s="5">
        <v>45971</v>
      </c>
      <c r="B2084" t="s">
        <v>3041</v>
      </c>
      <c r="C2084">
        <v>16</v>
      </c>
      <c r="D2084">
        <v>36</v>
      </c>
      <c r="E2084" s="1">
        <v>1.9791666666666665</v>
      </c>
      <c r="F2084" t="s">
        <v>1557</v>
      </c>
      <c r="G2084">
        <v>0</v>
      </c>
      <c r="H2084">
        <v>1081.1577</v>
      </c>
      <c r="I2084">
        <v>2.5</v>
      </c>
      <c r="J2084">
        <v>1163.79</v>
      </c>
      <c r="K2084">
        <v>1.9580666999707901</v>
      </c>
      <c r="L2084">
        <v>1158.8800000000001</v>
      </c>
      <c r="M2084" t="s">
        <v>27</v>
      </c>
      <c r="N2084">
        <v>1</v>
      </c>
      <c r="O2084">
        <v>1281</v>
      </c>
      <c r="P2084">
        <v>1108</v>
      </c>
      <c r="Q2084">
        <v>0</v>
      </c>
      <c r="R2084">
        <v>1108</v>
      </c>
    </row>
    <row r="2085" spans="1:18" x14ac:dyDescent="0.3">
      <c r="A2085" s="5">
        <v>45971</v>
      </c>
      <c r="B2085" t="s">
        <v>3042</v>
      </c>
      <c r="C2085">
        <v>27</v>
      </c>
      <c r="D2085">
        <v>36</v>
      </c>
      <c r="E2085" s="1">
        <v>1.9791666666666665</v>
      </c>
      <c r="F2085" t="s">
        <v>3043</v>
      </c>
      <c r="G2085">
        <v>5</v>
      </c>
      <c r="H2085">
        <v>1080.8268</v>
      </c>
      <c r="I2085">
        <v>0</v>
      </c>
      <c r="J2085">
        <v>1163.79</v>
      </c>
      <c r="K2085">
        <v>0</v>
      </c>
      <c r="L2085">
        <v>1158.8800000000001</v>
      </c>
      <c r="M2085" t="s">
        <v>27</v>
      </c>
      <c r="N2085">
        <v>1</v>
      </c>
      <c r="O2085">
        <v>1254</v>
      </c>
      <c r="P2085">
        <v>1081</v>
      </c>
      <c r="Q2085">
        <v>0</v>
      </c>
      <c r="R2085">
        <v>1081</v>
      </c>
    </row>
    <row r="2086" spans="1:18" x14ac:dyDescent="0.3">
      <c r="A2086" s="5">
        <v>45971</v>
      </c>
      <c r="B2086" t="s">
        <v>3044</v>
      </c>
      <c r="C2086">
        <v>24</v>
      </c>
      <c r="D2086">
        <v>36</v>
      </c>
      <c r="E2086" s="1">
        <v>1.9791666666666665</v>
      </c>
      <c r="F2086" t="s">
        <v>3043</v>
      </c>
      <c r="G2086">
        <v>5</v>
      </c>
      <c r="H2086">
        <v>1080.8806999999999</v>
      </c>
      <c r="I2086">
        <v>0</v>
      </c>
      <c r="J2086">
        <v>1163.79</v>
      </c>
      <c r="K2086">
        <v>0</v>
      </c>
      <c r="L2086">
        <v>1158.8800000000001</v>
      </c>
      <c r="M2086" t="s">
        <v>27</v>
      </c>
      <c r="N2086">
        <v>1</v>
      </c>
      <c r="O2086">
        <v>1254</v>
      </c>
      <c r="P2086">
        <v>1081</v>
      </c>
      <c r="Q2086">
        <v>0</v>
      </c>
      <c r="R2086">
        <v>1081</v>
      </c>
    </row>
    <row r="2087" spans="1:18" x14ac:dyDescent="0.3">
      <c r="A2087" s="5">
        <v>45971</v>
      </c>
      <c r="B2087" t="s">
        <v>3045</v>
      </c>
      <c r="C2087">
        <v>36</v>
      </c>
      <c r="D2087">
        <v>36</v>
      </c>
      <c r="E2087" s="1">
        <v>1.9791666666666665</v>
      </c>
      <c r="F2087" t="s">
        <v>3043</v>
      </c>
      <c r="G2087">
        <v>5</v>
      </c>
      <c r="H2087">
        <v>1080.665</v>
      </c>
      <c r="I2087">
        <v>0</v>
      </c>
      <c r="J2087">
        <v>1163.79</v>
      </c>
      <c r="K2087">
        <v>0</v>
      </c>
      <c r="L2087">
        <v>609.91</v>
      </c>
      <c r="M2087" t="s">
        <v>60</v>
      </c>
      <c r="N2087">
        <v>1</v>
      </c>
      <c r="O2087">
        <v>1254</v>
      </c>
      <c r="P2087">
        <v>1081</v>
      </c>
      <c r="Q2087">
        <v>0.5</v>
      </c>
      <c r="R2087">
        <v>540.5</v>
      </c>
    </row>
    <row r="2088" spans="1:18" x14ac:dyDescent="0.3">
      <c r="A2088" s="5">
        <v>45971</v>
      </c>
      <c r="B2088" t="s">
        <v>3046</v>
      </c>
      <c r="C2088">
        <v>13</v>
      </c>
      <c r="D2088">
        <v>36</v>
      </c>
      <c r="E2088" s="1">
        <v>1.9791666666666665</v>
      </c>
      <c r="F2088" t="s">
        <v>3047</v>
      </c>
      <c r="G2088">
        <v>5</v>
      </c>
      <c r="H2088">
        <v>1081.211</v>
      </c>
      <c r="I2088">
        <v>0</v>
      </c>
      <c r="J2088">
        <v>1163.79</v>
      </c>
      <c r="K2088">
        <v>0</v>
      </c>
      <c r="L2088">
        <v>1158.8800000000001</v>
      </c>
      <c r="M2088" t="s">
        <v>27</v>
      </c>
      <c r="N2088">
        <v>1</v>
      </c>
      <c r="O2088">
        <v>1254</v>
      </c>
      <c r="P2088">
        <v>1081</v>
      </c>
      <c r="Q2088">
        <v>0</v>
      </c>
      <c r="R2088">
        <v>1081</v>
      </c>
    </row>
    <row r="2089" spans="1:18" x14ac:dyDescent="0.3">
      <c r="A2089" s="5">
        <v>45971</v>
      </c>
      <c r="B2089" t="s">
        <v>3048</v>
      </c>
      <c r="C2089">
        <v>20</v>
      </c>
      <c r="D2089">
        <v>36</v>
      </c>
      <c r="E2089" s="1">
        <v>1.9652777777777777</v>
      </c>
      <c r="F2089" t="s">
        <v>3049</v>
      </c>
      <c r="G2089">
        <v>5</v>
      </c>
      <c r="H2089">
        <v>1081.0844</v>
      </c>
      <c r="I2089">
        <v>0</v>
      </c>
      <c r="J2089">
        <v>1163.79</v>
      </c>
      <c r="K2089">
        <v>0</v>
      </c>
      <c r="L2089">
        <v>1158.8800000000001</v>
      </c>
      <c r="M2089" t="s">
        <v>27</v>
      </c>
      <c r="N2089">
        <v>1</v>
      </c>
      <c r="O2089">
        <v>1254</v>
      </c>
      <c r="P2089">
        <v>1081</v>
      </c>
      <c r="Q2089">
        <v>0</v>
      </c>
      <c r="R2089">
        <v>1081</v>
      </c>
    </row>
    <row r="2090" spans="1:18" x14ac:dyDescent="0.3">
      <c r="A2090" s="5">
        <v>45971</v>
      </c>
      <c r="B2090" t="s">
        <v>3050</v>
      </c>
      <c r="C2090">
        <v>21</v>
      </c>
      <c r="D2090">
        <v>36</v>
      </c>
      <c r="E2090" s="1">
        <v>1.9791666666666665</v>
      </c>
      <c r="F2090" t="s">
        <v>3047</v>
      </c>
      <c r="G2090">
        <v>5</v>
      </c>
      <c r="H2090">
        <v>1081.0663</v>
      </c>
      <c r="I2090">
        <v>0</v>
      </c>
      <c r="J2090">
        <v>1163.79</v>
      </c>
      <c r="K2090">
        <v>0</v>
      </c>
      <c r="L2090">
        <v>609.91</v>
      </c>
      <c r="M2090" t="s">
        <v>77</v>
      </c>
      <c r="N2090">
        <v>1</v>
      </c>
      <c r="O2090">
        <v>1254</v>
      </c>
      <c r="P2090">
        <v>1081</v>
      </c>
      <c r="Q2090">
        <v>0.5</v>
      </c>
      <c r="R2090">
        <v>540.5</v>
      </c>
    </row>
    <row r="2091" spans="1:18" x14ac:dyDescent="0.3">
      <c r="A2091" s="5">
        <v>45971</v>
      </c>
      <c r="B2091" t="s">
        <v>3051</v>
      </c>
      <c r="C2091">
        <v>17</v>
      </c>
      <c r="D2091">
        <v>36</v>
      </c>
      <c r="E2091" s="1">
        <v>1.9993055555555554</v>
      </c>
      <c r="F2091" t="s">
        <v>3052</v>
      </c>
      <c r="G2091">
        <v>5</v>
      </c>
      <c r="H2091">
        <v>1081.1380999999999</v>
      </c>
      <c r="I2091">
        <v>0</v>
      </c>
      <c r="J2091">
        <v>1163.79</v>
      </c>
      <c r="K2091">
        <v>0</v>
      </c>
      <c r="L2091">
        <v>1158.8800000000001</v>
      </c>
      <c r="M2091" t="s">
        <v>27</v>
      </c>
      <c r="N2091">
        <v>1</v>
      </c>
      <c r="O2091">
        <v>1254</v>
      </c>
      <c r="P2091">
        <v>1081</v>
      </c>
      <c r="Q2091">
        <v>0</v>
      </c>
      <c r="R2091">
        <v>1081</v>
      </c>
    </row>
    <row r="2092" spans="1:18" x14ac:dyDescent="0.3">
      <c r="A2092" s="5">
        <v>45971</v>
      </c>
      <c r="B2092" t="s">
        <v>3053</v>
      </c>
      <c r="C2092">
        <v>10</v>
      </c>
      <c r="D2092">
        <v>36</v>
      </c>
      <c r="E2092" s="1">
        <v>1.9993055555555554</v>
      </c>
      <c r="F2092" t="s">
        <v>3054</v>
      </c>
      <c r="G2092">
        <v>5</v>
      </c>
      <c r="H2092">
        <v>1081.2643</v>
      </c>
      <c r="I2092">
        <v>0</v>
      </c>
      <c r="J2092">
        <v>1163.79</v>
      </c>
      <c r="K2092">
        <v>0</v>
      </c>
      <c r="L2092">
        <v>1158.8800000000001</v>
      </c>
      <c r="M2092" t="s">
        <v>27</v>
      </c>
      <c r="N2092">
        <v>1</v>
      </c>
      <c r="O2092">
        <v>1254</v>
      </c>
      <c r="P2092">
        <v>1081</v>
      </c>
      <c r="Q2092">
        <v>0</v>
      </c>
      <c r="R2092">
        <v>1081</v>
      </c>
    </row>
    <row r="2093" spans="1:18" x14ac:dyDescent="0.3">
      <c r="A2093" s="5">
        <v>45971</v>
      </c>
      <c r="B2093" t="s">
        <v>3055</v>
      </c>
      <c r="C2093">
        <v>16</v>
      </c>
      <c r="D2093">
        <v>36</v>
      </c>
      <c r="E2093" s="1">
        <v>1.9993055555555554</v>
      </c>
      <c r="F2093" t="s">
        <v>3056</v>
      </c>
      <c r="G2093">
        <v>1</v>
      </c>
      <c r="H2093">
        <v>1080.4509</v>
      </c>
      <c r="I2093">
        <v>8.5</v>
      </c>
      <c r="J2093">
        <v>1163.79</v>
      </c>
      <c r="K2093">
        <v>6.6574267799006801</v>
      </c>
      <c r="L2093">
        <v>1219.83</v>
      </c>
      <c r="M2093" t="s">
        <v>27</v>
      </c>
      <c r="N2093">
        <v>1</v>
      </c>
      <c r="O2093">
        <v>1345</v>
      </c>
      <c r="P2093">
        <v>1172</v>
      </c>
      <c r="Q2093">
        <v>0</v>
      </c>
      <c r="R2093">
        <v>1172</v>
      </c>
    </row>
    <row r="2094" spans="1:18" x14ac:dyDescent="0.3">
      <c r="A2094" s="5">
        <v>45971</v>
      </c>
      <c r="B2094" t="s">
        <v>3057</v>
      </c>
      <c r="C2094">
        <v>25</v>
      </c>
      <c r="D2094">
        <v>36</v>
      </c>
      <c r="E2094" s="1">
        <v>1.9993055555555554</v>
      </c>
      <c r="F2094" t="s">
        <v>3058</v>
      </c>
      <c r="G2094">
        <v>5</v>
      </c>
      <c r="H2094">
        <v>1080.8619000000001</v>
      </c>
      <c r="I2094">
        <v>0</v>
      </c>
      <c r="J2094">
        <v>1163.79</v>
      </c>
      <c r="K2094">
        <v>0</v>
      </c>
      <c r="L2094">
        <v>1158.8800000000001</v>
      </c>
      <c r="M2094" t="s">
        <v>27</v>
      </c>
      <c r="N2094">
        <v>1</v>
      </c>
      <c r="O2094">
        <v>1254</v>
      </c>
      <c r="P2094">
        <v>1081</v>
      </c>
      <c r="Q2094">
        <v>0</v>
      </c>
      <c r="R2094">
        <v>1081</v>
      </c>
    </row>
    <row r="2095" spans="1:18" x14ac:dyDescent="0.3">
      <c r="A2095" s="5">
        <v>45971</v>
      </c>
      <c r="B2095" t="s">
        <v>3057</v>
      </c>
      <c r="C2095">
        <v>25</v>
      </c>
      <c r="D2095">
        <v>36</v>
      </c>
      <c r="E2095" s="1">
        <v>1.9993055555555554</v>
      </c>
      <c r="F2095" t="s">
        <v>3058</v>
      </c>
      <c r="G2095">
        <v>5</v>
      </c>
      <c r="H2095">
        <v>1080.8619000000001</v>
      </c>
      <c r="I2095">
        <v>0</v>
      </c>
      <c r="J2095">
        <v>1163.79</v>
      </c>
      <c r="K2095">
        <v>0</v>
      </c>
      <c r="L2095">
        <v>1158.8800000000001</v>
      </c>
      <c r="M2095" t="s">
        <v>27</v>
      </c>
      <c r="N2095">
        <v>1</v>
      </c>
      <c r="O2095">
        <v>1254</v>
      </c>
      <c r="P2095">
        <v>1081</v>
      </c>
      <c r="Q2095">
        <v>0</v>
      </c>
      <c r="R2095">
        <v>1081</v>
      </c>
    </row>
    <row r="2096" spans="1:18" x14ac:dyDescent="0.3">
      <c r="A2096" s="5">
        <v>45971</v>
      </c>
      <c r="B2096" t="s">
        <v>3057</v>
      </c>
      <c r="C2096">
        <v>25</v>
      </c>
      <c r="D2096">
        <v>36</v>
      </c>
      <c r="E2096" s="1">
        <v>1.9993055555555554</v>
      </c>
      <c r="F2096" t="s">
        <v>3058</v>
      </c>
      <c r="G2096">
        <v>5</v>
      </c>
      <c r="H2096">
        <v>1080.8619000000001</v>
      </c>
      <c r="I2096">
        <v>0</v>
      </c>
      <c r="J2096">
        <v>1163.79</v>
      </c>
      <c r="K2096">
        <v>0</v>
      </c>
      <c r="L2096">
        <v>1158.8800000000001</v>
      </c>
      <c r="M2096" t="s">
        <v>27</v>
      </c>
      <c r="N2096">
        <v>1</v>
      </c>
      <c r="O2096">
        <v>1254</v>
      </c>
      <c r="P2096">
        <v>1081</v>
      </c>
      <c r="Q2096">
        <v>0</v>
      </c>
      <c r="R2096">
        <v>1081</v>
      </c>
    </row>
    <row r="2097" spans="1:18" x14ac:dyDescent="0.3">
      <c r="A2097" s="5">
        <v>45971</v>
      </c>
      <c r="B2097" t="s">
        <v>3059</v>
      </c>
      <c r="C2097">
        <v>27</v>
      </c>
      <c r="D2097">
        <v>36</v>
      </c>
      <c r="E2097" s="1">
        <v>1.9993055555555554</v>
      </c>
      <c r="F2097" t="s">
        <v>3058</v>
      </c>
      <c r="G2097">
        <v>5</v>
      </c>
      <c r="H2097">
        <v>1080.826</v>
      </c>
      <c r="I2097">
        <v>0</v>
      </c>
      <c r="J2097">
        <v>1163.79</v>
      </c>
      <c r="K2097">
        <v>0</v>
      </c>
      <c r="L2097">
        <v>1158.8800000000001</v>
      </c>
      <c r="M2097" t="s">
        <v>27</v>
      </c>
      <c r="N2097">
        <v>1</v>
      </c>
      <c r="O2097">
        <v>1254</v>
      </c>
      <c r="P2097">
        <v>1081</v>
      </c>
      <c r="Q2097">
        <v>0</v>
      </c>
      <c r="R2097">
        <v>1081</v>
      </c>
    </row>
    <row r="2098" spans="1:18" x14ac:dyDescent="0.3">
      <c r="A2098" s="5">
        <v>45971</v>
      </c>
      <c r="B2098" t="s">
        <v>3059</v>
      </c>
      <c r="C2098">
        <v>27</v>
      </c>
      <c r="D2098">
        <v>36</v>
      </c>
      <c r="E2098" s="1">
        <v>1.9993055555555554</v>
      </c>
      <c r="F2098" t="s">
        <v>3058</v>
      </c>
      <c r="G2098">
        <v>5</v>
      </c>
      <c r="H2098">
        <v>1080.826</v>
      </c>
      <c r="I2098">
        <v>0</v>
      </c>
      <c r="J2098">
        <v>1163.79</v>
      </c>
      <c r="K2098">
        <v>0</v>
      </c>
      <c r="L2098">
        <v>1158.8800000000001</v>
      </c>
      <c r="M2098" t="s">
        <v>27</v>
      </c>
      <c r="N2098">
        <v>1</v>
      </c>
      <c r="O2098">
        <v>1254</v>
      </c>
      <c r="P2098">
        <v>1081</v>
      </c>
      <c r="Q2098">
        <v>0</v>
      </c>
      <c r="R2098">
        <v>1081</v>
      </c>
    </row>
    <row r="2099" spans="1:18" x14ac:dyDescent="0.3">
      <c r="A2099" s="5">
        <v>45971</v>
      </c>
      <c r="B2099" t="s">
        <v>3059</v>
      </c>
      <c r="C2099">
        <v>27</v>
      </c>
      <c r="D2099">
        <v>36</v>
      </c>
      <c r="E2099" s="1">
        <v>1.9993055555555554</v>
      </c>
      <c r="F2099" t="s">
        <v>3058</v>
      </c>
      <c r="G2099">
        <v>5</v>
      </c>
      <c r="H2099">
        <v>1080.826</v>
      </c>
      <c r="I2099">
        <v>0</v>
      </c>
      <c r="J2099">
        <v>1163.79</v>
      </c>
      <c r="K2099">
        <v>0</v>
      </c>
      <c r="L2099">
        <v>1158.8800000000001</v>
      </c>
      <c r="M2099" t="s">
        <v>27</v>
      </c>
      <c r="N2099">
        <v>1</v>
      </c>
      <c r="O2099">
        <v>1254</v>
      </c>
      <c r="P2099">
        <v>1081</v>
      </c>
      <c r="Q2099">
        <v>0</v>
      </c>
      <c r="R2099">
        <v>1081</v>
      </c>
    </row>
    <row r="2100" spans="1:18" x14ac:dyDescent="0.3">
      <c r="A2100" s="5">
        <v>45971</v>
      </c>
      <c r="B2100" t="s">
        <v>3060</v>
      </c>
      <c r="C2100">
        <v>26</v>
      </c>
      <c r="D2100">
        <v>36</v>
      </c>
      <c r="E2100" s="1">
        <v>1.9993055555555554</v>
      </c>
      <c r="F2100" t="s">
        <v>3058</v>
      </c>
      <c r="G2100">
        <v>5</v>
      </c>
      <c r="H2100">
        <v>1080.8440000000001</v>
      </c>
      <c r="I2100">
        <v>0</v>
      </c>
      <c r="J2100">
        <v>1163.79</v>
      </c>
      <c r="K2100">
        <v>0</v>
      </c>
      <c r="L2100">
        <v>609.91</v>
      </c>
      <c r="M2100" t="s">
        <v>20</v>
      </c>
      <c r="N2100">
        <v>1</v>
      </c>
      <c r="O2100">
        <v>1254</v>
      </c>
      <c r="P2100">
        <v>1081</v>
      </c>
      <c r="Q2100">
        <v>0.5</v>
      </c>
      <c r="R2100">
        <v>540.5</v>
      </c>
    </row>
    <row r="2101" spans="1:18" x14ac:dyDescent="0.3">
      <c r="A2101" s="5">
        <v>45971</v>
      </c>
      <c r="B2101" t="s">
        <v>3060</v>
      </c>
      <c r="C2101">
        <v>26</v>
      </c>
      <c r="D2101">
        <v>36</v>
      </c>
      <c r="E2101" s="1">
        <v>1.9993055555555554</v>
      </c>
      <c r="F2101" t="s">
        <v>3058</v>
      </c>
      <c r="G2101">
        <v>5</v>
      </c>
      <c r="H2101">
        <v>1080.8440000000001</v>
      </c>
      <c r="I2101">
        <v>0</v>
      </c>
      <c r="J2101">
        <v>1163.79</v>
      </c>
      <c r="K2101">
        <v>0</v>
      </c>
      <c r="L2101">
        <v>609.91</v>
      </c>
      <c r="M2101" t="s">
        <v>20</v>
      </c>
      <c r="N2101">
        <v>1</v>
      </c>
      <c r="O2101">
        <v>1254</v>
      </c>
      <c r="P2101">
        <v>1081</v>
      </c>
      <c r="Q2101">
        <v>0.5</v>
      </c>
      <c r="R2101">
        <v>540.5</v>
      </c>
    </row>
    <row r="2102" spans="1:18" x14ac:dyDescent="0.3">
      <c r="A2102" s="5">
        <v>45971</v>
      </c>
      <c r="B2102" t="s">
        <v>3060</v>
      </c>
      <c r="C2102">
        <v>26</v>
      </c>
      <c r="D2102">
        <v>36</v>
      </c>
      <c r="E2102" s="1">
        <v>1.9993055555555554</v>
      </c>
      <c r="F2102" t="s">
        <v>3058</v>
      </c>
      <c r="G2102">
        <v>5</v>
      </c>
      <c r="H2102">
        <v>1080.8440000000001</v>
      </c>
      <c r="I2102">
        <v>0</v>
      </c>
      <c r="J2102">
        <v>1163.79</v>
      </c>
      <c r="K2102">
        <v>0</v>
      </c>
      <c r="L2102">
        <v>609.91</v>
      </c>
      <c r="M2102" t="s">
        <v>20</v>
      </c>
      <c r="N2102">
        <v>1</v>
      </c>
      <c r="O2102">
        <v>1254</v>
      </c>
      <c r="P2102">
        <v>1081</v>
      </c>
      <c r="Q2102">
        <v>0.5</v>
      </c>
      <c r="R2102">
        <v>540.5</v>
      </c>
    </row>
    <row r="2103" spans="1:18" x14ac:dyDescent="0.3">
      <c r="A2103" s="5">
        <v>45971</v>
      </c>
      <c r="B2103" t="s">
        <v>3061</v>
      </c>
      <c r="C2103">
        <v>31</v>
      </c>
      <c r="D2103">
        <v>36</v>
      </c>
      <c r="E2103" s="1">
        <v>1.25</v>
      </c>
      <c r="F2103" t="s">
        <v>3062</v>
      </c>
      <c r="G2103">
        <v>0</v>
      </c>
      <c r="H2103">
        <v>1080.9123999999999</v>
      </c>
      <c r="I2103">
        <v>2.5</v>
      </c>
      <c r="J2103">
        <v>1163.79</v>
      </c>
      <c r="K2103">
        <v>1.9580666999707901</v>
      </c>
      <c r="L2103">
        <v>1158.8800000000001</v>
      </c>
      <c r="M2103" t="s">
        <v>27</v>
      </c>
      <c r="N2103">
        <v>1</v>
      </c>
      <c r="O2103">
        <v>1281</v>
      </c>
      <c r="P2103">
        <v>1108</v>
      </c>
      <c r="Q2103">
        <v>0</v>
      </c>
      <c r="R2103">
        <v>1108</v>
      </c>
    </row>
    <row r="2104" spans="1:18" x14ac:dyDescent="0.3">
      <c r="A2104" s="5">
        <v>45971</v>
      </c>
      <c r="B2104" t="s">
        <v>3061</v>
      </c>
      <c r="C2104">
        <v>31</v>
      </c>
      <c r="D2104">
        <v>36</v>
      </c>
      <c r="E2104" s="1">
        <v>1.25</v>
      </c>
      <c r="F2104" t="s">
        <v>3063</v>
      </c>
      <c r="G2104">
        <v>0</v>
      </c>
      <c r="H2104">
        <v>1080.9123999999999</v>
      </c>
      <c r="I2104">
        <v>2.5</v>
      </c>
      <c r="J2104">
        <v>1163.79</v>
      </c>
      <c r="K2104">
        <v>1.9580666999707901</v>
      </c>
      <c r="L2104">
        <v>1158.8800000000001</v>
      </c>
      <c r="M2104" t="s">
        <v>27</v>
      </c>
      <c r="N2104">
        <v>1</v>
      </c>
      <c r="O2104">
        <v>1281</v>
      </c>
      <c r="P2104">
        <v>1108</v>
      </c>
      <c r="Q2104">
        <v>0</v>
      </c>
      <c r="R2104">
        <v>1108</v>
      </c>
    </row>
    <row r="2105" spans="1:18" x14ac:dyDescent="0.3">
      <c r="A2105" s="5">
        <v>45971</v>
      </c>
      <c r="B2105" t="s">
        <v>3064</v>
      </c>
      <c r="C2105">
        <v>30</v>
      </c>
      <c r="D2105">
        <v>36</v>
      </c>
      <c r="E2105" s="1">
        <v>1.25</v>
      </c>
      <c r="F2105" t="s">
        <v>3062</v>
      </c>
      <c r="G2105">
        <v>0</v>
      </c>
      <c r="H2105">
        <v>1080.9306999999999</v>
      </c>
      <c r="I2105">
        <v>2.5</v>
      </c>
      <c r="J2105">
        <v>1163.79</v>
      </c>
      <c r="K2105">
        <v>1.9580666999707901</v>
      </c>
      <c r="L2105">
        <v>1158.8800000000001</v>
      </c>
      <c r="M2105" t="s">
        <v>27</v>
      </c>
      <c r="N2105">
        <v>1</v>
      </c>
      <c r="O2105">
        <v>1281</v>
      </c>
      <c r="P2105">
        <v>1108</v>
      </c>
      <c r="Q2105">
        <v>0</v>
      </c>
      <c r="R2105">
        <v>1108</v>
      </c>
    </row>
    <row r="2106" spans="1:18" x14ac:dyDescent="0.3">
      <c r="A2106" s="5">
        <v>45971</v>
      </c>
      <c r="B2106" t="s">
        <v>3064</v>
      </c>
      <c r="C2106">
        <v>30</v>
      </c>
      <c r="D2106">
        <v>36</v>
      </c>
      <c r="E2106" s="1">
        <v>1.25</v>
      </c>
      <c r="F2106" t="s">
        <v>3063</v>
      </c>
      <c r="G2106">
        <v>0</v>
      </c>
      <c r="H2106">
        <v>1080.9306999999999</v>
      </c>
      <c r="I2106">
        <v>2.5</v>
      </c>
      <c r="J2106">
        <v>1163.79</v>
      </c>
      <c r="K2106">
        <v>1.9580666999707901</v>
      </c>
      <c r="L2106">
        <v>1158.8800000000001</v>
      </c>
      <c r="M2106" t="s">
        <v>27</v>
      </c>
      <c r="N2106">
        <v>1</v>
      </c>
      <c r="O2106">
        <v>1281</v>
      </c>
      <c r="P2106">
        <v>1108</v>
      </c>
      <c r="Q2106">
        <v>0</v>
      </c>
      <c r="R2106">
        <v>1108</v>
      </c>
    </row>
    <row r="2107" spans="1:18" x14ac:dyDescent="0.3">
      <c r="A2107" s="5">
        <v>45971</v>
      </c>
      <c r="B2107" t="s">
        <v>3065</v>
      </c>
      <c r="C2107">
        <v>2</v>
      </c>
      <c r="D2107">
        <v>36</v>
      </c>
      <c r="E2107" s="1">
        <v>1.25</v>
      </c>
      <c r="F2107" t="s">
        <v>3062</v>
      </c>
      <c r="G2107">
        <v>0</v>
      </c>
      <c r="H2107">
        <v>1081.5663999999999</v>
      </c>
      <c r="I2107">
        <v>2.5</v>
      </c>
      <c r="J2107">
        <v>1163.79</v>
      </c>
      <c r="K2107">
        <v>1.9580666999707901</v>
      </c>
      <c r="L2107">
        <v>1158.8800000000001</v>
      </c>
      <c r="M2107" t="s">
        <v>27</v>
      </c>
      <c r="N2107">
        <v>1</v>
      </c>
      <c r="O2107">
        <v>1282</v>
      </c>
      <c r="P2107">
        <v>1109</v>
      </c>
      <c r="Q2107">
        <v>0</v>
      </c>
      <c r="R2107">
        <v>1109</v>
      </c>
    </row>
    <row r="2108" spans="1:18" x14ac:dyDescent="0.3">
      <c r="A2108" s="5">
        <v>45971</v>
      </c>
      <c r="B2108" t="s">
        <v>3065</v>
      </c>
      <c r="C2108">
        <v>2</v>
      </c>
      <c r="D2108">
        <v>36</v>
      </c>
      <c r="E2108" s="1">
        <v>1.25</v>
      </c>
      <c r="F2108" t="s">
        <v>3063</v>
      </c>
      <c r="G2108">
        <v>0</v>
      </c>
      <c r="H2108">
        <v>1081.5663999999999</v>
      </c>
      <c r="I2108">
        <v>2.5</v>
      </c>
      <c r="J2108">
        <v>1163.79</v>
      </c>
      <c r="K2108">
        <v>1.9580666999707901</v>
      </c>
      <c r="L2108">
        <v>1158.8800000000001</v>
      </c>
      <c r="M2108" t="s">
        <v>27</v>
      </c>
      <c r="N2108">
        <v>1</v>
      </c>
      <c r="O2108">
        <v>1282</v>
      </c>
      <c r="P2108">
        <v>1109</v>
      </c>
      <c r="Q2108">
        <v>0</v>
      </c>
      <c r="R2108">
        <v>1109</v>
      </c>
    </row>
    <row r="2109" spans="1:18" x14ac:dyDescent="0.3">
      <c r="A2109" s="5">
        <v>45971</v>
      </c>
      <c r="B2109" t="s">
        <v>3066</v>
      </c>
      <c r="C2109">
        <v>3</v>
      </c>
      <c r="D2109">
        <v>36</v>
      </c>
      <c r="E2109" s="1">
        <v>1.25</v>
      </c>
      <c r="F2109" t="s">
        <v>3062</v>
      </c>
      <c r="G2109">
        <v>0</v>
      </c>
      <c r="H2109">
        <v>1081.5482999999999</v>
      </c>
      <c r="I2109">
        <v>2.5</v>
      </c>
      <c r="J2109">
        <v>1163.79</v>
      </c>
      <c r="K2109">
        <v>1.9580666999707901</v>
      </c>
      <c r="L2109">
        <v>1158.8800000000001</v>
      </c>
      <c r="M2109" t="s">
        <v>27</v>
      </c>
      <c r="N2109">
        <v>1</v>
      </c>
      <c r="O2109">
        <v>1282</v>
      </c>
      <c r="P2109">
        <v>1109</v>
      </c>
      <c r="Q2109">
        <v>0</v>
      </c>
      <c r="R2109">
        <v>1109</v>
      </c>
    </row>
    <row r="2110" spans="1:18" x14ac:dyDescent="0.3">
      <c r="A2110" s="5">
        <v>45971</v>
      </c>
      <c r="B2110" t="s">
        <v>3066</v>
      </c>
      <c r="C2110">
        <v>3</v>
      </c>
      <c r="D2110">
        <v>36</v>
      </c>
      <c r="E2110" s="1">
        <v>1.25</v>
      </c>
      <c r="F2110" t="s">
        <v>3063</v>
      </c>
      <c r="G2110">
        <v>0</v>
      </c>
      <c r="H2110">
        <v>1081.5482999999999</v>
      </c>
      <c r="I2110">
        <v>2.5</v>
      </c>
      <c r="J2110">
        <v>1163.79</v>
      </c>
      <c r="K2110">
        <v>1.9580666999707901</v>
      </c>
      <c r="L2110">
        <v>1158.8800000000001</v>
      </c>
      <c r="M2110" t="s">
        <v>27</v>
      </c>
      <c r="N2110">
        <v>1</v>
      </c>
      <c r="O2110">
        <v>1282</v>
      </c>
      <c r="P2110">
        <v>1109</v>
      </c>
      <c r="Q2110">
        <v>0</v>
      </c>
      <c r="R2110">
        <v>1109</v>
      </c>
    </row>
    <row r="2111" spans="1:18" x14ac:dyDescent="0.3">
      <c r="A2111" s="5">
        <v>45971</v>
      </c>
      <c r="B2111" t="s">
        <v>3067</v>
      </c>
      <c r="C2111">
        <v>19</v>
      </c>
      <c r="D2111">
        <v>36</v>
      </c>
      <c r="E2111" s="1">
        <v>1.25</v>
      </c>
      <c r="F2111" t="s">
        <v>3068</v>
      </c>
      <c r="G2111">
        <v>4</v>
      </c>
      <c r="H2111">
        <v>1081.2483</v>
      </c>
      <c r="I2111">
        <v>7</v>
      </c>
      <c r="J2111">
        <v>1163.79</v>
      </c>
      <c r="K2111">
        <v>5.4825867599182097</v>
      </c>
      <c r="L2111">
        <v>1219.83</v>
      </c>
      <c r="M2111" t="s">
        <v>27</v>
      </c>
      <c r="N2111">
        <v>1</v>
      </c>
      <c r="O2111">
        <v>1330</v>
      </c>
      <c r="P2111">
        <v>1157</v>
      </c>
      <c r="Q2111">
        <v>0</v>
      </c>
      <c r="R2111">
        <v>1157</v>
      </c>
    </row>
    <row r="2112" spans="1:18" x14ac:dyDescent="0.3">
      <c r="A2112" s="5">
        <v>45971</v>
      </c>
      <c r="B2112" t="s">
        <v>3069</v>
      </c>
      <c r="C2112">
        <v>20</v>
      </c>
      <c r="D2112">
        <v>36</v>
      </c>
      <c r="E2112" s="1">
        <v>1.25</v>
      </c>
      <c r="F2112" t="s">
        <v>3070</v>
      </c>
      <c r="G2112">
        <v>4</v>
      </c>
      <c r="H2112">
        <v>1081.2302999999999</v>
      </c>
      <c r="I2112">
        <v>7</v>
      </c>
      <c r="J2112">
        <v>1163.79</v>
      </c>
      <c r="K2112">
        <v>5.4825867599182097</v>
      </c>
      <c r="L2112">
        <v>1219.83</v>
      </c>
      <c r="M2112" t="s">
        <v>27</v>
      </c>
      <c r="N2112">
        <v>1</v>
      </c>
      <c r="O2112">
        <v>1330</v>
      </c>
      <c r="P2112">
        <v>1157</v>
      </c>
      <c r="Q2112">
        <v>0</v>
      </c>
      <c r="R2112">
        <v>1157</v>
      </c>
    </row>
    <row r="2113" spans="1:18" x14ac:dyDescent="0.3">
      <c r="A2113" s="5">
        <v>45971</v>
      </c>
      <c r="B2113" t="s">
        <v>3071</v>
      </c>
      <c r="C2113">
        <v>19</v>
      </c>
      <c r="D2113">
        <v>36</v>
      </c>
      <c r="E2113" s="1">
        <v>1.9791666666666665</v>
      </c>
      <c r="F2113" t="s">
        <v>3072</v>
      </c>
      <c r="G2113">
        <v>3</v>
      </c>
      <c r="H2113">
        <v>1081.0890999999999</v>
      </c>
      <c r="I2113">
        <v>10</v>
      </c>
      <c r="J2113">
        <v>1163.79</v>
      </c>
      <c r="K2113">
        <v>7.8322667998831603</v>
      </c>
      <c r="L2113">
        <v>609.91</v>
      </c>
      <c r="M2113" t="s">
        <v>20</v>
      </c>
      <c r="N2113">
        <v>1</v>
      </c>
      <c r="O2113">
        <v>1362</v>
      </c>
      <c r="P2113">
        <v>1189</v>
      </c>
      <c r="Q2113">
        <v>0.5</v>
      </c>
      <c r="R2113">
        <v>594.5</v>
      </c>
    </row>
    <row r="2114" spans="1:18" x14ac:dyDescent="0.3">
      <c r="A2114" s="5">
        <v>45971</v>
      </c>
      <c r="B2114" t="s">
        <v>3073</v>
      </c>
      <c r="C2114">
        <v>36</v>
      </c>
      <c r="D2114">
        <v>36</v>
      </c>
      <c r="E2114" s="1">
        <v>1.9993055555555554</v>
      </c>
      <c r="F2114" t="s">
        <v>3074</v>
      </c>
      <c r="G2114">
        <v>0</v>
      </c>
      <c r="H2114">
        <v>1080.5924</v>
      </c>
      <c r="I2114">
        <v>2.5</v>
      </c>
      <c r="J2114">
        <v>1163.79</v>
      </c>
      <c r="K2114">
        <v>1.9580666999707901</v>
      </c>
      <c r="L2114">
        <v>1158.8800000000001</v>
      </c>
      <c r="M2114" t="s">
        <v>27</v>
      </c>
      <c r="N2114">
        <v>1</v>
      </c>
      <c r="O2114">
        <v>1281</v>
      </c>
      <c r="P2114">
        <v>1108</v>
      </c>
      <c r="Q2114">
        <v>0</v>
      </c>
      <c r="R2114">
        <v>1108</v>
      </c>
    </row>
    <row r="2115" spans="1:18" x14ac:dyDescent="0.3">
      <c r="A2115" s="5">
        <v>45971</v>
      </c>
      <c r="B2115" t="s">
        <v>3075</v>
      </c>
      <c r="C2115">
        <v>17</v>
      </c>
      <c r="D2115">
        <v>36</v>
      </c>
      <c r="E2115" s="1">
        <v>1.9652777777777777</v>
      </c>
      <c r="F2115" t="s">
        <v>3076</v>
      </c>
      <c r="G2115">
        <v>0</v>
      </c>
      <c r="H2115">
        <v>1081.0714</v>
      </c>
      <c r="I2115">
        <v>2.5</v>
      </c>
      <c r="J2115">
        <v>1163.79</v>
      </c>
      <c r="K2115">
        <v>1.9580666999707901</v>
      </c>
      <c r="L2115">
        <v>1158.8800000000001</v>
      </c>
      <c r="M2115" t="s">
        <v>27</v>
      </c>
      <c r="N2115">
        <v>1</v>
      </c>
      <c r="O2115">
        <v>1281</v>
      </c>
      <c r="P2115">
        <v>1108</v>
      </c>
      <c r="Q2115">
        <v>0</v>
      </c>
      <c r="R2115">
        <v>1108</v>
      </c>
    </row>
    <row r="2116" spans="1:18" x14ac:dyDescent="0.3">
      <c r="A2116" s="5">
        <v>45971</v>
      </c>
      <c r="B2116" t="s">
        <v>3077</v>
      </c>
      <c r="C2116">
        <v>1</v>
      </c>
      <c r="D2116">
        <v>36</v>
      </c>
      <c r="E2116" s="1">
        <v>1.0833333333333333</v>
      </c>
      <c r="F2116" t="s">
        <v>3078</v>
      </c>
      <c r="G2116">
        <v>0</v>
      </c>
      <c r="H2116">
        <v>1081.5900999999999</v>
      </c>
      <c r="I2116">
        <v>2.5</v>
      </c>
      <c r="J2116">
        <v>1163.79</v>
      </c>
      <c r="K2116">
        <v>1.9580666999707901</v>
      </c>
      <c r="L2116">
        <v>1158.8800000000001</v>
      </c>
      <c r="M2116" t="s">
        <v>27</v>
      </c>
      <c r="N2116">
        <v>1</v>
      </c>
      <c r="O2116">
        <v>1282</v>
      </c>
      <c r="P2116">
        <v>1109</v>
      </c>
      <c r="Q2116">
        <v>0</v>
      </c>
      <c r="R2116">
        <v>1109</v>
      </c>
    </row>
    <row r="2117" spans="1:18" x14ac:dyDescent="0.3">
      <c r="A2117" s="5">
        <v>45971</v>
      </c>
      <c r="B2117" t="s">
        <v>3079</v>
      </c>
      <c r="C2117">
        <v>27</v>
      </c>
      <c r="D2117">
        <v>36</v>
      </c>
      <c r="E2117" s="1">
        <v>1.9652777777777777</v>
      </c>
      <c r="F2117" t="s">
        <v>3076</v>
      </c>
      <c r="G2117">
        <v>0</v>
      </c>
      <c r="H2117">
        <v>1080.7592</v>
      </c>
      <c r="I2117">
        <v>2.5</v>
      </c>
      <c r="J2117">
        <v>1163.79</v>
      </c>
      <c r="K2117">
        <v>1.9580666999707901</v>
      </c>
      <c r="L2117">
        <v>1158.8800000000001</v>
      </c>
      <c r="M2117" t="s">
        <v>27</v>
      </c>
      <c r="N2117">
        <v>1</v>
      </c>
      <c r="O2117">
        <v>1281</v>
      </c>
      <c r="P2117">
        <v>1108</v>
      </c>
      <c r="Q2117">
        <v>0</v>
      </c>
      <c r="R2117">
        <v>1108</v>
      </c>
    </row>
    <row r="2118" spans="1:18" x14ac:dyDescent="0.3">
      <c r="A2118" s="5">
        <v>45971</v>
      </c>
      <c r="B2118" t="s">
        <v>3080</v>
      </c>
      <c r="C2118">
        <v>36</v>
      </c>
      <c r="D2118">
        <v>36</v>
      </c>
      <c r="E2118" s="1">
        <v>1.9993055555555554</v>
      </c>
      <c r="F2118" t="s">
        <v>3081</v>
      </c>
      <c r="G2118">
        <v>5</v>
      </c>
      <c r="H2118">
        <v>1080.6632999999999</v>
      </c>
      <c r="I2118">
        <v>0</v>
      </c>
      <c r="J2118">
        <v>1163.79</v>
      </c>
      <c r="K2118">
        <v>0</v>
      </c>
      <c r="L2118">
        <v>1158.8800000000001</v>
      </c>
      <c r="M2118" t="s">
        <v>27</v>
      </c>
      <c r="N2118">
        <v>1</v>
      </c>
      <c r="O2118">
        <v>1254</v>
      </c>
      <c r="P2118">
        <v>1081</v>
      </c>
      <c r="Q2118">
        <v>0</v>
      </c>
      <c r="R2118">
        <v>1081</v>
      </c>
    </row>
    <row r="2119" spans="1:18" x14ac:dyDescent="0.3">
      <c r="A2119" s="5">
        <v>45971</v>
      </c>
      <c r="B2119" t="s">
        <v>3082</v>
      </c>
      <c r="C2119">
        <v>18</v>
      </c>
      <c r="D2119">
        <v>36</v>
      </c>
      <c r="E2119" s="1">
        <v>1.9791666666666665</v>
      </c>
      <c r="F2119" t="s">
        <v>3083</v>
      </c>
      <c r="G2119">
        <v>5</v>
      </c>
      <c r="H2119">
        <v>1081.1188999999999</v>
      </c>
      <c r="I2119">
        <v>0</v>
      </c>
      <c r="J2119">
        <v>1163.79</v>
      </c>
      <c r="K2119">
        <v>0</v>
      </c>
      <c r="L2119">
        <v>1158.8800000000001</v>
      </c>
      <c r="M2119" t="s">
        <v>27</v>
      </c>
      <c r="N2119">
        <v>1</v>
      </c>
      <c r="O2119">
        <v>1254</v>
      </c>
      <c r="P2119">
        <v>1081</v>
      </c>
      <c r="Q2119">
        <v>0</v>
      </c>
      <c r="R2119">
        <v>1081</v>
      </c>
    </row>
    <row r="2120" spans="1:18" x14ac:dyDescent="0.3">
      <c r="A2120" s="5">
        <v>45971</v>
      </c>
      <c r="B2120" t="s">
        <v>3084</v>
      </c>
      <c r="C2120">
        <v>13</v>
      </c>
      <c r="D2120">
        <v>36</v>
      </c>
      <c r="E2120" s="1">
        <v>1.9791666666666665</v>
      </c>
      <c r="F2120" t="s">
        <v>3085</v>
      </c>
      <c r="G2120">
        <v>4</v>
      </c>
      <c r="H2120">
        <v>1081.1298999999999</v>
      </c>
      <c r="I2120">
        <v>7</v>
      </c>
      <c r="J2120">
        <v>1163.79</v>
      </c>
      <c r="K2120">
        <v>5.4825867599182097</v>
      </c>
      <c r="L2120">
        <v>1219.83</v>
      </c>
      <c r="M2120" t="s">
        <v>27</v>
      </c>
      <c r="N2120">
        <v>1</v>
      </c>
      <c r="O2120">
        <v>1330</v>
      </c>
      <c r="P2120">
        <v>1157</v>
      </c>
      <c r="Q2120">
        <v>0</v>
      </c>
      <c r="R2120">
        <v>1157</v>
      </c>
    </row>
    <row r="2121" spans="1:18" x14ac:dyDescent="0.3">
      <c r="A2121" s="5">
        <v>45971</v>
      </c>
      <c r="B2121" t="s">
        <v>3086</v>
      </c>
      <c r="C2121">
        <v>21</v>
      </c>
      <c r="D2121">
        <v>36</v>
      </c>
      <c r="E2121" s="1">
        <v>1.9993055555555554</v>
      </c>
      <c r="F2121" t="s">
        <v>3087</v>
      </c>
      <c r="G2121">
        <v>5</v>
      </c>
      <c r="H2121">
        <v>1081.0650000000001</v>
      </c>
      <c r="I2121">
        <v>0</v>
      </c>
      <c r="J2121">
        <v>1163.79</v>
      </c>
      <c r="K2121">
        <v>0</v>
      </c>
      <c r="L2121">
        <v>1158.8800000000001</v>
      </c>
      <c r="M2121" t="s">
        <v>27</v>
      </c>
      <c r="N2121">
        <v>1</v>
      </c>
      <c r="O2121">
        <v>1254</v>
      </c>
      <c r="P2121">
        <v>1081</v>
      </c>
      <c r="Q2121">
        <v>0</v>
      </c>
      <c r="R2121">
        <v>1081</v>
      </c>
    </row>
    <row r="2122" spans="1:18" x14ac:dyDescent="0.3">
      <c r="A2122" s="5">
        <v>45971</v>
      </c>
      <c r="B2122" t="s">
        <v>3086</v>
      </c>
      <c r="C2122">
        <v>21</v>
      </c>
      <c r="D2122">
        <v>36</v>
      </c>
      <c r="E2122" s="1">
        <v>1.9993055555555554</v>
      </c>
      <c r="F2122" t="s">
        <v>3087</v>
      </c>
      <c r="G2122">
        <v>5</v>
      </c>
      <c r="H2122">
        <v>1081.0650000000001</v>
      </c>
      <c r="I2122">
        <v>0</v>
      </c>
      <c r="J2122">
        <v>1163.79</v>
      </c>
      <c r="K2122">
        <v>0</v>
      </c>
      <c r="L2122">
        <v>1158.8800000000001</v>
      </c>
      <c r="M2122" t="s">
        <v>27</v>
      </c>
      <c r="N2122">
        <v>1</v>
      </c>
      <c r="O2122">
        <v>1254</v>
      </c>
      <c r="P2122">
        <v>1081</v>
      </c>
      <c r="Q2122">
        <v>0</v>
      </c>
      <c r="R2122">
        <v>1081</v>
      </c>
    </row>
    <row r="2123" spans="1:18" x14ac:dyDescent="0.3">
      <c r="A2123" s="5">
        <v>45971</v>
      </c>
      <c r="B2123" t="s">
        <v>3088</v>
      </c>
      <c r="C2123">
        <v>24</v>
      </c>
      <c r="D2123">
        <v>36</v>
      </c>
      <c r="E2123" s="1">
        <v>1.9993055555555554</v>
      </c>
      <c r="F2123" t="s">
        <v>3087</v>
      </c>
      <c r="G2123">
        <v>5</v>
      </c>
      <c r="H2123">
        <v>1080.8783000000001</v>
      </c>
      <c r="I2123">
        <v>0</v>
      </c>
      <c r="J2123">
        <v>1163.79</v>
      </c>
      <c r="K2123">
        <v>0</v>
      </c>
      <c r="L2123">
        <v>1158.8800000000001</v>
      </c>
      <c r="M2123" t="s">
        <v>27</v>
      </c>
      <c r="N2123">
        <v>1</v>
      </c>
      <c r="O2123">
        <v>1254</v>
      </c>
      <c r="P2123">
        <v>1081</v>
      </c>
      <c r="Q2123">
        <v>0</v>
      </c>
      <c r="R2123">
        <v>1081</v>
      </c>
    </row>
    <row r="2124" spans="1:18" x14ac:dyDescent="0.3">
      <c r="A2124" s="5">
        <v>45971</v>
      </c>
      <c r="B2124" t="s">
        <v>3088</v>
      </c>
      <c r="C2124">
        <v>24</v>
      </c>
      <c r="D2124">
        <v>36</v>
      </c>
      <c r="E2124" s="1">
        <v>1.9993055555555554</v>
      </c>
      <c r="F2124" t="s">
        <v>3087</v>
      </c>
      <c r="G2124">
        <v>5</v>
      </c>
      <c r="H2124">
        <v>1080.8783000000001</v>
      </c>
      <c r="I2124">
        <v>0</v>
      </c>
      <c r="J2124">
        <v>1163.79</v>
      </c>
      <c r="K2124">
        <v>0</v>
      </c>
      <c r="L2124">
        <v>1158.8800000000001</v>
      </c>
      <c r="M2124" t="s">
        <v>27</v>
      </c>
      <c r="N2124">
        <v>1</v>
      </c>
      <c r="O2124">
        <v>1254</v>
      </c>
      <c r="P2124">
        <v>1081</v>
      </c>
      <c r="Q2124">
        <v>0</v>
      </c>
      <c r="R2124">
        <v>1081</v>
      </c>
    </row>
    <row r="2125" spans="1:18" x14ac:dyDescent="0.3">
      <c r="A2125" s="5">
        <v>45971</v>
      </c>
      <c r="B2125" t="s">
        <v>3089</v>
      </c>
      <c r="C2125">
        <v>1</v>
      </c>
      <c r="D2125">
        <v>36</v>
      </c>
      <c r="E2125" s="1">
        <v>1.0833333333333333</v>
      </c>
      <c r="F2125" t="s">
        <v>3090</v>
      </c>
      <c r="G2125">
        <v>0</v>
      </c>
      <c r="H2125">
        <v>1081.5839000000001</v>
      </c>
      <c r="I2125">
        <v>2.5</v>
      </c>
      <c r="J2125">
        <v>1163.79</v>
      </c>
      <c r="K2125">
        <v>1.9580666999707901</v>
      </c>
      <c r="L2125">
        <v>1158.8800000000001</v>
      </c>
      <c r="M2125" t="s">
        <v>27</v>
      </c>
      <c r="N2125">
        <v>1</v>
      </c>
      <c r="O2125">
        <v>1282</v>
      </c>
      <c r="P2125">
        <v>1109</v>
      </c>
      <c r="Q2125">
        <v>0</v>
      </c>
      <c r="R2125">
        <v>1109</v>
      </c>
    </row>
    <row r="2126" spans="1:18" x14ac:dyDescent="0.3">
      <c r="A2126" s="5">
        <v>45971</v>
      </c>
      <c r="B2126" t="s">
        <v>3091</v>
      </c>
      <c r="C2126">
        <v>17</v>
      </c>
      <c r="D2126">
        <v>36</v>
      </c>
      <c r="E2126" s="1">
        <v>1.9791666666666665</v>
      </c>
      <c r="F2126" t="s">
        <v>3092</v>
      </c>
      <c r="G2126">
        <v>5</v>
      </c>
      <c r="H2126">
        <v>1081.1359</v>
      </c>
      <c r="I2126">
        <v>0</v>
      </c>
      <c r="J2126">
        <v>1163.79</v>
      </c>
      <c r="K2126">
        <v>0</v>
      </c>
      <c r="L2126">
        <v>1158.8800000000001</v>
      </c>
      <c r="M2126" t="s">
        <v>27</v>
      </c>
      <c r="N2126">
        <v>1</v>
      </c>
      <c r="O2126">
        <v>1254</v>
      </c>
      <c r="P2126">
        <v>1081</v>
      </c>
      <c r="Q2126">
        <v>0</v>
      </c>
      <c r="R2126">
        <v>1081</v>
      </c>
    </row>
    <row r="2127" spans="1:18" x14ac:dyDescent="0.3">
      <c r="A2127" s="5">
        <v>45971</v>
      </c>
      <c r="B2127" t="s">
        <v>3093</v>
      </c>
      <c r="C2127">
        <v>1</v>
      </c>
      <c r="D2127">
        <v>36</v>
      </c>
      <c r="E2127" s="1">
        <v>1.9791666666666665</v>
      </c>
      <c r="F2127" t="s">
        <v>3094</v>
      </c>
      <c r="G2127">
        <v>5</v>
      </c>
      <c r="H2127">
        <v>1081.4236000000001</v>
      </c>
      <c r="I2127">
        <v>0</v>
      </c>
      <c r="J2127">
        <v>1163.79</v>
      </c>
      <c r="K2127">
        <v>0</v>
      </c>
      <c r="L2127">
        <v>1158.8800000000001</v>
      </c>
      <c r="M2127" t="s">
        <v>27</v>
      </c>
      <c r="N2127">
        <v>1</v>
      </c>
      <c r="O2127">
        <v>1254</v>
      </c>
      <c r="P2127">
        <v>1081</v>
      </c>
      <c r="Q2127">
        <v>0</v>
      </c>
      <c r="R2127">
        <v>1081</v>
      </c>
    </row>
    <row r="2128" spans="1:18" x14ac:dyDescent="0.3">
      <c r="A2128" s="5">
        <v>45971</v>
      </c>
      <c r="B2128" t="s">
        <v>3095</v>
      </c>
      <c r="C2128">
        <v>2</v>
      </c>
      <c r="D2128">
        <v>36</v>
      </c>
      <c r="E2128" s="1">
        <v>1.9791666666666665</v>
      </c>
      <c r="F2128" t="s">
        <v>3096</v>
      </c>
      <c r="G2128">
        <v>1</v>
      </c>
      <c r="H2128">
        <v>1081.393</v>
      </c>
      <c r="I2128">
        <v>8.5</v>
      </c>
      <c r="J2128">
        <v>1163.79</v>
      </c>
      <c r="K2128">
        <v>6.6574267799006801</v>
      </c>
      <c r="L2128">
        <v>1219.83</v>
      </c>
      <c r="M2128" t="s">
        <v>27</v>
      </c>
      <c r="N2128">
        <v>1</v>
      </c>
      <c r="O2128">
        <v>1346</v>
      </c>
      <c r="P2128">
        <v>1173</v>
      </c>
      <c r="Q2128">
        <v>0</v>
      </c>
      <c r="R2128">
        <v>1173</v>
      </c>
    </row>
    <row r="2129" spans="1:18" x14ac:dyDescent="0.3">
      <c r="A2129" s="5">
        <v>45971</v>
      </c>
      <c r="B2129" t="s">
        <v>3097</v>
      </c>
      <c r="C2129">
        <v>3</v>
      </c>
      <c r="D2129">
        <v>36</v>
      </c>
      <c r="E2129" s="1">
        <v>1.9791666666666665</v>
      </c>
      <c r="F2129" t="s">
        <v>3098</v>
      </c>
      <c r="G2129">
        <v>1</v>
      </c>
      <c r="H2129">
        <v>1081.3751999999999</v>
      </c>
      <c r="I2129">
        <v>8.5</v>
      </c>
      <c r="J2129">
        <v>1163.79</v>
      </c>
      <c r="K2129">
        <v>6.6574267799006801</v>
      </c>
      <c r="L2129">
        <v>1219.83</v>
      </c>
      <c r="M2129" t="s">
        <v>27</v>
      </c>
      <c r="N2129">
        <v>1</v>
      </c>
      <c r="O2129">
        <v>1346</v>
      </c>
      <c r="P2129">
        <v>1173</v>
      </c>
      <c r="Q2129">
        <v>0</v>
      </c>
      <c r="R2129">
        <v>1173</v>
      </c>
    </row>
    <row r="2130" spans="1:18" x14ac:dyDescent="0.3">
      <c r="A2130" s="5">
        <v>45971</v>
      </c>
      <c r="B2130" t="s">
        <v>3099</v>
      </c>
      <c r="C2130">
        <v>13</v>
      </c>
      <c r="D2130">
        <v>36</v>
      </c>
      <c r="E2130" s="1">
        <v>1.9993055555555554</v>
      </c>
      <c r="F2130" t="s">
        <v>3100</v>
      </c>
      <c r="G2130">
        <v>5</v>
      </c>
      <c r="H2130">
        <v>1081.2076</v>
      </c>
      <c r="I2130">
        <v>0</v>
      </c>
      <c r="J2130">
        <v>1163.79</v>
      </c>
      <c r="K2130">
        <v>0</v>
      </c>
      <c r="L2130">
        <v>1158.8800000000001</v>
      </c>
      <c r="M2130" t="s">
        <v>27</v>
      </c>
      <c r="N2130">
        <v>1</v>
      </c>
      <c r="O2130">
        <v>1254</v>
      </c>
      <c r="P2130">
        <v>1081</v>
      </c>
      <c r="Q2130">
        <v>0</v>
      </c>
      <c r="R2130">
        <v>1081</v>
      </c>
    </row>
    <row r="2131" spans="1:18" x14ac:dyDescent="0.3">
      <c r="A2131" s="5">
        <v>45971</v>
      </c>
      <c r="B2131" t="s">
        <v>3101</v>
      </c>
      <c r="C2131">
        <v>2</v>
      </c>
      <c r="D2131">
        <v>36</v>
      </c>
      <c r="E2131" s="1">
        <v>1.9993055555555554</v>
      </c>
      <c r="F2131" t="s">
        <v>3102</v>
      </c>
      <c r="G2131">
        <v>5</v>
      </c>
      <c r="H2131">
        <v>1081.4049</v>
      </c>
      <c r="I2131">
        <v>0</v>
      </c>
      <c r="J2131">
        <v>1163.79</v>
      </c>
      <c r="K2131">
        <v>0</v>
      </c>
      <c r="L2131">
        <v>1158.8800000000001</v>
      </c>
      <c r="M2131" t="s">
        <v>27</v>
      </c>
      <c r="N2131">
        <v>1</v>
      </c>
      <c r="O2131">
        <v>1254</v>
      </c>
      <c r="P2131">
        <v>1081</v>
      </c>
      <c r="Q2131">
        <v>0</v>
      </c>
      <c r="R2131">
        <v>1081</v>
      </c>
    </row>
    <row r="2132" spans="1:18" x14ac:dyDescent="0.3">
      <c r="A2132" s="5">
        <v>45971</v>
      </c>
      <c r="B2132" t="s">
        <v>3103</v>
      </c>
      <c r="C2132">
        <v>21</v>
      </c>
      <c r="D2132">
        <v>36</v>
      </c>
      <c r="E2132" s="1">
        <v>1.9993055555555554</v>
      </c>
      <c r="F2132" t="s">
        <v>3104</v>
      </c>
      <c r="G2132">
        <v>2</v>
      </c>
      <c r="H2132">
        <v>1080.9971</v>
      </c>
      <c r="I2132">
        <v>5</v>
      </c>
      <c r="J2132">
        <v>1163.79</v>
      </c>
      <c r="K2132">
        <v>3.9161333999415802</v>
      </c>
      <c r="L2132">
        <v>609.91</v>
      </c>
      <c r="M2132" t="s">
        <v>60</v>
      </c>
      <c r="N2132">
        <v>1</v>
      </c>
      <c r="O2132">
        <v>1308</v>
      </c>
      <c r="P2132">
        <v>1135</v>
      </c>
      <c r="Q2132">
        <v>0.5</v>
      </c>
      <c r="R2132">
        <v>567.5</v>
      </c>
    </row>
    <row r="2133" spans="1:18" x14ac:dyDescent="0.3">
      <c r="A2133" s="5">
        <v>45971</v>
      </c>
      <c r="B2133" t="s">
        <v>3105</v>
      </c>
      <c r="C2133">
        <v>29</v>
      </c>
      <c r="D2133">
        <v>36</v>
      </c>
      <c r="E2133" s="1">
        <v>1.9791666666666665</v>
      </c>
      <c r="F2133" t="s">
        <v>3106</v>
      </c>
      <c r="G2133">
        <v>4</v>
      </c>
      <c r="H2133">
        <v>1080.7860000000001</v>
      </c>
      <c r="I2133">
        <v>7</v>
      </c>
      <c r="J2133">
        <v>1163.79</v>
      </c>
      <c r="K2133">
        <v>5.4825867599182097</v>
      </c>
      <c r="L2133">
        <v>1158.8800000000001</v>
      </c>
      <c r="M2133" t="s">
        <v>27</v>
      </c>
      <c r="N2133">
        <v>1</v>
      </c>
      <c r="O2133">
        <v>1329</v>
      </c>
      <c r="P2133">
        <v>1156</v>
      </c>
      <c r="Q2133">
        <v>0</v>
      </c>
      <c r="R2133">
        <v>1156</v>
      </c>
    </row>
    <row r="2134" spans="1:18" x14ac:dyDescent="0.3">
      <c r="A2134" s="5">
        <v>45971</v>
      </c>
      <c r="B2134" t="s">
        <v>3107</v>
      </c>
      <c r="C2134">
        <v>32</v>
      </c>
      <c r="D2134">
        <v>36</v>
      </c>
      <c r="E2134" s="1">
        <v>1.9993055555555554</v>
      </c>
      <c r="F2134" t="s">
        <v>3108</v>
      </c>
      <c r="G2134">
        <v>5</v>
      </c>
      <c r="H2134">
        <v>1080.7322999999999</v>
      </c>
      <c r="I2134">
        <v>0</v>
      </c>
      <c r="J2134">
        <v>1163.79</v>
      </c>
      <c r="K2134">
        <v>0</v>
      </c>
      <c r="L2134">
        <v>1158.8800000000001</v>
      </c>
      <c r="M2134" t="s">
        <v>27</v>
      </c>
      <c r="N2134">
        <v>1</v>
      </c>
      <c r="O2134">
        <v>1254</v>
      </c>
      <c r="P2134">
        <v>1081</v>
      </c>
      <c r="Q2134">
        <v>0</v>
      </c>
      <c r="R2134">
        <v>1081</v>
      </c>
    </row>
    <row r="2135" spans="1:18" x14ac:dyDescent="0.3">
      <c r="A2135" s="5">
        <v>45971</v>
      </c>
      <c r="B2135" t="s">
        <v>3109</v>
      </c>
      <c r="C2135">
        <v>21</v>
      </c>
      <c r="D2135">
        <v>36</v>
      </c>
      <c r="E2135" s="1">
        <v>1.0833333333333333</v>
      </c>
      <c r="F2135" t="s">
        <v>3008</v>
      </c>
      <c r="G2135">
        <v>5</v>
      </c>
      <c r="H2135">
        <v>1081.2275</v>
      </c>
      <c r="I2135">
        <v>0</v>
      </c>
      <c r="J2135">
        <v>1163.79</v>
      </c>
      <c r="K2135">
        <v>0</v>
      </c>
      <c r="L2135">
        <v>1158.8800000000001</v>
      </c>
      <c r="M2135" t="s">
        <v>27</v>
      </c>
      <c r="N2135">
        <v>1</v>
      </c>
      <c r="O2135">
        <v>1254</v>
      </c>
      <c r="P2135">
        <v>1081</v>
      </c>
      <c r="Q2135">
        <v>0</v>
      </c>
      <c r="R2135">
        <v>1081</v>
      </c>
    </row>
    <row r="2136" spans="1:18" x14ac:dyDescent="0.3">
      <c r="A2136" s="5">
        <v>45971</v>
      </c>
      <c r="B2136" t="s">
        <v>3110</v>
      </c>
      <c r="C2136">
        <v>32</v>
      </c>
      <c r="D2136">
        <v>36</v>
      </c>
      <c r="E2136" s="1">
        <v>1.9791666666666665</v>
      </c>
      <c r="F2136" t="s">
        <v>3111</v>
      </c>
      <c r="G2136">
        <v>3</v>
      </c>
      <c r="H2136">
        <v>1080.7335</v>
      </c>
      <c r="I2136">
        <v>10</v>
      </c>
      <c r="J2136">
        <v>1163.79</v>
      </c>
      <c r="K2136">
        <v>7.8322667998831603</v>
      </c>
      <c r="L2136">
        <v>609.91</v>
      </c>
      <c r="M2136" t="s">
        <v>20</v>
      </c>
      <c r="N2136">
        <v>1</v>
      </c>
      <c r="O2136">
        <v>1362</v>
      </c>
      <c r="P2136">
        <v>1189</v>
      </c>
      <c r="Q2136">
        <v>0.5</v>
      </c>
      <c r="R2136">
        <v>594.5</v>
      </c>
    </row>
    <row r="2137" spans="1:18" x14ac:dyDescent="0.3">
      <c r="A2137" s="5">
        <v>45971</v>
      </c>
      <c r="B2137" t="s">
        <v>3112</v>
      </c>
      <c r="C2137">
        <v>30</v>
      </c>
      <c r="D2137">
        <v>36</v>
      </c>
      <c r="E2137" s="1">
        <v>1.9791666666666665</v>
      </c>
      <c r="F2137" t="s">
        <v>3113</v>
      </c>
      <c r="G2137">
        <v>1</v>
      </c>
      <c r="H2137">
        <v>1080.7692999999999</v>
      </c>
      <c r="I2137">
        <v>8.5</v>
      </c>
      <c r="J2137">
        <v>1163.79</v>
      </c>
      <c r="K2137">
        <v>6.6574267799006801</v>
      </c>
      <c r="L2137">
        <v>1219.83</v>
      </c>
      <c r="M2137" t="s">
        <v>27</v>
      </c>
      <c r="N2137">
        <v>1</v>
      </c>
      <c r="O2137">
        <v>1346</v>
      </c>
      <c r="P2137">
        <v>1173</v>
      </c>
      <c r="Q2137">
        <v>0</v>
      </c>
      <c r="R2137">
        <v>1173</v>
      </c>
    </row>
    <row r="2138" spans="1:18" x14ac:dyDescent="0.3">
      <c r="A2138" s="5">
        <v>45971</v>
      </c>
      <c r="B2138" t="s">
        <v>3114</v>
      </c>
      <c r="C2138">
        <v>31</v>
      </c>
      <c r="D2138">
        <v>36</v>
      </c>
      <c r="E2138" s="1">
        <v>1.9791666666666665</v>
      </c>
      <c r="F2138" t="s">
        <v>3115</v>
      </c>
      <c r="G2138">
        <v>1</v>
      </c>
      <c r="H2138">
        <v>1080.7511999999999</v>
      </c>
      <c r="I2138">
        <v>8.5</v>
      </c>
      <c r="J2138">
        <v>1163.79</v>
      </c>
      <c r="K2138">
        <v>6.6574267799006801</v>
      </c>
      <c r="L2138">
        <v>1219.83</v>
      </c>
      <c r="M2138" t="s">
        <v>27</v>
      </c>
      <c r="N2138">
        <v>1</v>
      </c>
      <c r="O2138">
        <v>1346</v>
      </c>
      <c r="P2138">
        <v>1173</v>
      </c>
      <c r="Q2138">
        <v>0</v>
      </c>
      <c r="R2138">
        <v>1173</v>
      </c>
    </row>
    <row r="2139" spans="1:18" x14ac:dyDescent="0.3">
      <c r="A2139" s="5">
        <v>45971</v>
      </c>
      <c r="B2139" t="s">
        <v>3116</v>
      </c>
      <c r="C2139">
        <v>29</v>
      </c>
      <c r="D2139">
        <v>36</v>
      </c>
      <c r="E2139" s="1">
        <v>1.4583333333333333</v>
      </c>
      <c r="F2139" t="s">
        <v>3117</v>
      </c>
      <c r="G2139">
        <v>0</v>
      </c>
      <c r="H2139">
        <v>1080.9467999999999</v>
      </c>
      <c r="I2139">
        <v>2.5</v>
      </c>
      <c r="J2139">
        <v>1163.79</v>
      </c>
      <c r="K2139">
        <v>1.9580666999707901</v>
      </c>
      <c r="L2139">
        <v>1158.8800000000001</v>
      </c>
      <c r="M2139" t="s">
        <v>27</v>
      </c>
      <c r="N2139">
        <v>1</v>
      </c>
      <c r="O2139">
        <v>1281</v>
      </c>
      <c r="P2139">
        <v>1108</v>
      </c>
      <c r="Q2139">
        <v>0</v>
      </c>
      <c r="R2139">
        <v>1108</v>
      </c>
    </row>
    <row r="2140" spans="1:18" x14ac:dyDescent="0.3">
      <c r="A2140" s="5">
        <v>45971</v>
      </c>
      <c r="B2140" t="s">
        <v>3118</v>
      </c>
      <c r="C2140">
        <v>25</v>
      </c>
      <c r="D2140">
        <v>36</v>
      </c>
      <c r="E2140" s="1">
        <v>1.25</v>
      </c>
      <c r="F2140" t="s">
        <v>3119</v>
      </c>
      <c r="G2140">
        <v>0</v>
      </c>
      <c r="H2140">
        <v>1081.0165</v>
      </c>
      <c r="I2140">
        <v>2.5</v>
      </c>
      <c r="J2140">
        <v>1163.79</v>
      </c>
      <c r="K2140">
        <v>1.9580666999707901</v>
      </c>
      <c r="L2140">
        <v>1158.8800000000001</v>
      </c>
      <c r="M2140" t="s">
        <v>27</v>
      </c>
      <c r="N2140">
        <v>1</v>
      </c>
      <c r="O2140">
        <v>1281</v>
      </c>
      <c r="P2140">
        <v>1108</v>
      </c>
      <c r="Q2140">
        <v>0</v>
      </c>
      <c r="R2140">
        <v>1108</v>
      </c>
    </row>
    <row r="2141" spans="1:18" x14ac:dyDescent="0.3">
      <c r="A2141" s="5">
        <v>45971</v>
      </c>
      <c r="B2141" t="s">
        <v>3120</v>
      </c>
      <c r="C2141">
        <v>4</v>
      </c>
      <c r="D2141">
        <v>36</v>
      </c>
      <c r="E2141" s="1">
        <v>1.9791666666666665</v>
      </c>
      <c r="F2141" t="s">
        <v>3121</v>
      </c>
      <c r="G2141">
        <v>1</v>
      </c>
      <c r="H2141">
        <v>1081.2372</v>
      </c>
      <c r="I2141">
        <v>8.5</v>
      </c>
      <c r="J2141">
        <v>1163.79</v>
      </c>
      <c r="K2141">
        <v>6.6574267799006801</v>
      </c>
      <c r="L2141">
        <v>1219.83</v>
      </c>
      <c r="M2141" t="s">
        <v>27</v>
      </c>
      <c r="N2141">
        <v>1</v>
      </c>
      <c r="O2141">
        <v>1346</v>
      </c>
      <c r="P2141">
        <v>1173</v>
      </c>
      <c r="Q2141">
        <v>0</v>
      </c>
      <c r="R2141">
        <v>1173</v>
      </c>
    </row>
    <row r="2142" spans="1:18" x14ac:dyDescent="0.3">
      <c r="A2142" s="5">
        <v>45971</v>
      </c>
      <c r="B2142" t="s">
        <v>3122</v>
      </c>
      <c r="C2142">
        <v>25</v>
      </c>
      <c r="D2142">
        <v>36</v>
      </c>
      <c r="E2142" s="1">
        <v>1.9652777777777777</v>
      </c>
      <c r="F2142" t="s">
        <v>3123</v>
      </c>
      <c r="G2142">
        <v>3</v>
      </c>
      <c r="H2142">
        <v>1080.8586</v>
      </c>
      <c r="I2142">
        <v>10</v>
      </c>
      <c r="J2142">
        <v>1163.79</v>
      </c>
      <c r="K2142">
        <v>7.8322667998831603</v>
      </c>
      <c r="L2142">
        <v>609.91</v>
      </c>
      <c r="M2142" t="s">
        <v>20</v>
      </c>
      <c r="N2142">
        <v>1</v>
      </c>
      <c r="O2142">
        <v>1362</v>
      </c>
      <c r="P2142">
        <v>1189</v>
      </c>
      <c r="Q2142">
        <v>0.5</v>
      </c>
      <c r="R2142">
        <v>594.5</v>
      </c>
    </row>
    <row r="2143" spans="1:18" x14ac:dyDescent="0.3">
      <c r="A2143" s="5">
        <v>45971</v>
      </c>
      <c r="B2143" t="s">
        <v>3124</v>
      </c>
      <c r="C2143">
        <v>22</v>
      </c>
      <c r="D2143">
        <v>36</v>
      </c>
      <c r="E2143" s="1">
        <v>1.9652777777777777</v>
      </c>
      <c r="F2143" t="s">
        <v>3125</v>
      </c>
      <c r="G2143">
        <v>2</v>
      </c>
      <c r="H2143">
        <v>1080.9127000000001</v>
      </c>
      <c r="I2143">
        <v>5</v>
      </c>
      <c r="J2143">
        <v>1163.79</v>
      </c>
      <c r="K2143">
        <v>3.9161333999415802</v>
      </c>
      <c r="L2143">
        <v>609.91</v>
      </c>
      <c r="M2143" t="s">
        <v>60</v>
      </c>
      <c r="N2143">
        <v>1</v>
      </c>
      <c r="O2143">
        <v>1308</v>
      </c>
      <c r="P2143">
        <v>1135</v>
      </c>
      <c r="Q2143">
        <v>0.5</v>
      </c>
      <c r="R2143">
        <v>567.5</v>
      </c>
    </row>
    <row r="2144" spans="1:18" x14ac:dyDescent="0.3">
      <c r="A2144" s="5">
        <v>45971</v>
      </c>
      <c r="B2144" t="s">
        <v>3126</v>
      </c>
      <c r="C2144">
        <v>9</v>
      </c>
      <c r="D2144">
        <v>36</v>
      </c>
      <c r="E2144" s="1">
        <v>1.9791666666666665</v>
      </c>
      <c r="F2144" t="s">
        <v>3127</v>
      </c>
      <c r="G2144">
        <v>2</v>
      </c>
      <c r="H2144">
        <v>1081.2648999999999</v>
      </c>
      <c r="I2144">
        <v>5</v>
      </c>
      <c r="J2144">
        <v>1163.79</v>
      </c>
      <c r="K2144">
        <v>3.9161333999415802</v>
      </c>
      <c r="L2144">
        <v>609.91</v>
      </c>
      <c r="M2144" t="s">
        <v>60</v>
      </c>
      <c r="N2144">
        <v>1</v>
      </c>
      <c r="O2144">
        <v>1308</v>
      </c>
      <c r="P2144">
        <v>1135</v>
      </c>
      <c r="Q2144">
        <v>0.5</v>
      </c>
      <c r="R2144">
        <v>567.5</v>
      </c>
    </row>
    <row r="2145" spans="1:18" x14ac:dyDescent="0.3">
      <c r="A2145" s="5">
        <v>45971</v>
      </c>
      <c r="B2145" t="s">
        <v>3128</v>
      </c>
      <c r="C2145">
        <v>20</v>
      </c>
      <c r="D2145">
        <v>36</v>
      </c>
      <c r="E2145" s="1">
        <v>1.9791666666666665</v>
      </c>
      <c r="F2145" t="s">
        <v>3129</v>
      </c>
      <c r="G2145">
        <v>1</v>
      </c>
      <c r="H2145">
        <v>1081.0671</v>
      </c>
      <c r="I2145">
        <v>8.5</v>
      </c>
      <c r="J2145">
        <v>1163.79</v>
      </c>
      <c r="K2145">
        <v>6.6574267799006801</v>
      </c>
      <c r="L2145">
        <v>1219.83</v>
      </c>
      <c r="M2145" t="s">
        <v>27</v>
      </c>
      <c r="N2145">
        <v>1</v>
      </c>
      <c r="O2145">
        <v>1346</v>
      </c>
      <c r="P2145">
        <v>1173</v>
      </c>
      <c r="Q2145">
        <v>0</v>
      </c>
      <c r="R2145">
        <v>1173</v>
      </c>
    </row>
    <row r="2146" spans="1:18" x14ac:dyDescent="0.3">
      <c r="A2146" s="5">
        <v>45971</v>
      </c>
      <c r="B2146" t="s">
        <v>3130</v>
      </c>
      <c r="C2146">
        <v>15</v>
      </c>
      <c r="D2146">
        <v>36</v>
      </c>
      <c r="E2146" s="1">
        <v>1.9791666666666665</v>
      </c>
      <c r="F2146" t="s">
        <v>3131</v>
      </c>
      <c r="G2146">
        <v>1</v>
      </c>
      <c r="H2146">
        <v>1079.1256000000001</v>
      </c>
      <c r="I2146">
        <v>8.5</v>
      </c>
      <c r="J2146">
        <v>1163.79</v>
      </c>
      <c r="K2146">
        <v>6.6574267799006801</v>
      </c>
      <c r="L2146">
        <v>1219.83</v>
      </c>
      <c r="M2146" t="s">
        <v>27</v>
      </c>
      <c r="N2146">
        <v>1</v>
      </c>
      <c r="O2146">
        <v>1344</v>
      </c>
      <c r="P2146">
        <v>1171</v>
      </c>
      <c r="Q2146">
        <v>0</v>
      </c>
      <c r="R2146">
        <v>1171</v>
      </c>
    </row>
    <row r="2147" spans="1:18" x14ac:dyDescent="0.3">
      <c r="A2147" s="5">
        <v>45971</v>
      </c>
      <c r="B2147" t="s">
        <v>3132</v>
      </c>
      <c r="C2147">
        <v>7</v>
      </c>
      <c r="D2147">
        <v>36</v>
      </c>
      <c r="E2147" s="1">
        <v>1.9993055555555554</v>
      </c>
      <c r="F2147" t="s">
        <v>3133</v>
      </c>
      <c r="G2147">
        <v>4</v>
      </c>
      <c r="H2147">
        <v>1081.2472</v>
      </c>
      <c r="I2147">
        <v>7</v>
      </c>
      <c r="J2147">
        <v>1163.79</v>
      </c>
      <c r="K2147">
        <v>5.4825867599182097</v>
      </c>
      <c r="L2147">
        <v>1158.8800000000001</v>
      </c>
      <c r="M2147" t="s">
        <v>27</v>
      </c>
      <c r="N2147">
        <v>1</v>
      </c>
      <c r="O2147">
        <v>1330</v>
      </c>
      <c r="P2147">
        <v>1157</v>
      </c>
      <c r="Q2147">
        <v>0</v>
      </c>
      <c r="R2147">
        <v>1157</v>
      </c>
    </row>
    <row r="2148" spans="1:18" x14ac:dyDescent="0.3">
      <c r="A2148" s="5">
        <v>45971</v>
      </c>
      <c r="B2148" t="s">
        <v>3134</v>
      </c>
      <c r="C2148">
        <v>23</v>
      </c>
      <c r="D2148">
        <v>36</v>
      </c>
      <c r="E2148" s="1">
        <v>1.9791666666666665</v>
      </c>
      <c r="F2148" t="s">
        <v>1020</v>
      </c>
      <c r="G2148">
        <v>5</v>
      </c>
      <c r="H2148">
        <v>1080.8931</v>
      </c>
      <c r="I2148">
        <v>0</v>
      </c>
      <c r="J2148">
        <v>1163.79</v>
      </c>
      <c r="K2148">
        <v>0</v>
      </c>
      <c r="L2148">
        <v>1158.8800000000001</v>
      </c>
      <c r="M2148" t="s">
        <v>27</v>
      </c>
      <c r="N2148">
        <v>1</v>
      </c>
      <c r="O2148">
        <v>1254</v>
      </c>
      <c r="P2148">
        <v>1081</v>
      </c>
      <c r="Q2148">
        <v>0</v>
      </c>
      <c r="R2148">
        <v>1081</v>
      </c>
    </row>
    <row r="2149" spans="1:18" x14ac:dyDescent="0.3">
      <c r="A2149" s="5">
        <v>45971</v>
      </c>
      <c r="B2149" t="s">
        <v>3134</v>
      </c>
      <c r="C2149">
        <v>23</v>
      </c>
      <c r="D2149">
        <v>36</v>
      </c>
      <c r="E2149" s="1">
        <v>1.9791666666666665</v>
      </c>
      <c r="F2149" t="s">
        <v>1020</v>
      </c>
      <c r="G2149">
        <v>5</v>
      </c>
      <c r="H2149">
        <v>1080.8931</v>
      </c>
      <c r="I2149">
        <v>0</v>
      </c>
      <c r="J2149">
        <v>1163.79</v>
      </c>
      <c r="K2149">
        <v>0</v>
      </c>
      <c r="L2149">
        <v>1158.8800000000001</v>
      </c>
      <c r="M2149" t="s">
        <v>27</v>
      </c>
      <c r="N2149">
        <v>1</v>
      </c>
      <c r="O2149">
        <v>1254</v>
      </c>
      <c r="P2149">
        <v>1081</v>
      </c>
      <c r="Q2149">
        <v>0</v>
      </c>
      <c r="R2149">
        <v>1081</v>
      </c>
    </row>
    <row r="2150" spans="1:18" x14ac:dyDescent="0.3">
      <c r="A2150" s="5">
        <v>45971</v>
      </c>
      <c r="B2150" t="s">
        <v>3135</v>
      </c>
      <c r="C2150">
        <v>22</v>
      </c>
      <c r="D2150">
        <v>36</v>
      </c>
      <c r="E2150" s="1">
        <v>1.9791666666666665</v>
      </c>
      <c r="F2150" t="s">
        <v>1020</v>
      </c>
      <c r="G2150">
        <v>5</v>
      </c>
      <c r="H2150">
        <v>1080.9113</v>
      </c>
      <c r="I2150">
        <v>0</v>
      </c>
      <c r="J2150">
        <v>1163.79</v>
      </c>
      <c r="K2150">
        <v>0</v>
      </c>
      <c r="L2150">
        <v>1158.8800000000001</v>
      </c>
      <c r="M2150" t="s">
        <v>27</v>
      </c>
      <c r="N2150">
        <v>1</v>
      </c>
      <c r="O2150">
        <v>1254</v>
      </c>
      <c r="P2150">
        <v>1081</v>
      </c>
      <c r="Q2150">
        <v>0</v>
      </c>
      <c r="R2150">
        <v>1081</v>
      </c>
    </row>
    <row r="2151" spans="1:18" x14ac:dyDescent="0.3">
      <c r="A2151" s="5">
        <v>45971</v>
      </c>
      <c r="B2151" t="s">
        <v>3135</v>
      </c>
      <c r="C2151">
        <v>22</v>
      </c>
      <c r="D2151">
        <v>36</v>
      </c>
      <c r="E2151" s="1">
        <v>1.9791666666666665</v>
      </c>
      <c r="F2151" t="s">
        <v>1020</v>
      </c>
      <c r="G2151">
        <v>5</v>
      </c>
      <c r="H2151">
        <v>1080.9113</v>
      </c>
      <c r="I2151">
        <v>0</v>
      </c>
      <c r="J2151">
        <v>1163.79</v>
      </c>
      <c r="K2151">
        <v>0</v>
      </c>
      <c r="L2151">
        <v>1158.8800000000001</v>
      </c>
      <c r="M2151" t="s">
        <v>27</v>
      </c>
      <c r="N2151">
        <v>1</v>
      </c>
      <c r="O2151">
        <v>1254</v>
      </c>
      <c r="P2151">
        <v>1081</v>
      </c>
      <c r="Q2151">
        <v>0</v>
      </c>
      <c r="R2151">
        <v>1081</v>
      </c>
    </row>
    <row r="2152" spans="1:18" x14ac:dyDescent="0.3">
      <c r="A2152" s="5">
        <v>45971</v>
      </c>
      <c r="B2152" t="s">
        <v>3130</v>
      </c>
      <c r="C2152">
        <v>15</v>
      </c>
      <c r="D2152">
        <v>36</v>
      </c>
      <c r="E2152" s="1">
        <v>1.9791666666666665</v>
      </c>
      <c r="F2152" t="s">
        <v>3131</v>
      </c>
      <c r="G2152">
        <v>1</v>
      </c>
      <c r="H2152">
        <v>1081.1570999999999</v>
      </c>
      <c r="I2152">
        <v>8.5</v>
      </c>
      <c r="J2152">
        <v>1163.79</v>
      </c>
      <c r="K2152">
        <v>6.6574267799006801</v>
      </c>
      <c r="L2152">
        <v>1219.83</v>
      </c>
      <c r="M2152" t="s">
        <v>27</v>
      </c>
      <c r="N2152">
        <v>1</v>
      </c>
      <c r="O2152">
        <v>1346</v>
      </c>
      <c r="P2152">
        <v>1173</v>
      </c>
      <c r="Q2152">
        <v>0</v>
      </c>
      <c r="R2152">
        <v>1173</v>
      </c>
    </row>
    <row r="2153" spans="1:18" x14ac:dyDescent="0.3">
      <c r="A2153" s="5">
        <v>45971</v>
      </c>
      <c r="B2153" t="s">
        <v>3136</v>
      </c>
      <c r="C2153">
        <v>5</v>
      </c>
      <c r="D2153">
        <v>36</v>
      </c>
      <c r="E2153" s="1">
        <v>1.9791666666666665</v>
      </c>
      <c r="F2153" t="s">
        <v>3137</v>
      </c>
      <c r="G2153">
        <v>5</v>
      </c>
      <c r="H2153">
        <v>1081.3371999999999</v>
      </c>
      <c r="I2153">
        <v>0</v>
      </c>
      <c r="J2153">
        <v>1163.79</v>
      </c>
      <c r="K2153">
        <v>0</v>
      </c>
      <c r="L2153">
        <v>975.86</v>
      </c>
      <c r="M2153" t="s">
        <v>44</v>
      </c>
      <c r="N2153">
        <v>1</v>
      </c>
      <c r="O2153">
        <v>1254</v>
      </c>
      <c r="P2153">
        <v>1081</v>
      </c>
      <c r="Q2153">
        <v>0</v>
      </c>
      <c r="R2153">
        <v>1081</v>
      </c>
    </row>
    <row r="2154" spans="1:18" x14ac:dyDescent="0.3">
      <c r="A2154" s="5">
        <v>45971</v>
      </c>
      <c r="B2154" t="s">
        <v>3138</v>
      </c>
      <c r="C2154">
        <v>12</v>
      </c>
      <c r="D2154">
        <v>36</v>
      </c>
      <c r="E2154" s="1">
        <v>1.9993055555555554</v>
      </c>
      <c r="F2154" t="s">
        <v>3139</v>
      </c>
      <c r="G2154">
        <v>5</v>
      </c>
      <c r="H2154">
        <v>1081.2225000000001</v>
      </c>
      <c r="I2154">
        <v>0</v>
      </c>
      <c r="J2154">
        <v>1163.79</v>
      </c>
      <c r="K2154">
        <v>0</v>
      </c>
      <c r="L2154">
        <v>1158.8800000000001</v>
      </c>
      <c r="M2154" t="s">
        <v>27</v>
      </c>
      <c r="N2154">
        <v>1</v>
      </c>
      <c r="O2154">
        <v>1254</v>
      </c>
      <c r="P2154">
        <v>1081</v>
      </c>
      <c r="Q2154">
        <v>0</v>
      </c>
      <c r="R2154">
        <v>1081</v>
      </c>
    </row>
    <row r="2155" spans="1:18" x14ac:dyDescent="0.3">
      <c r="A2155" s="5">
        <v>45971</v>
      </c>
      <c r="B2155" t="s">
        <v>3140</v>
      </c>
      <c r="C2155">
        <v>14</v>
      </c>
      <c r="D2155">
        <v>36</v>
      </c>
      <c r="E2155" s="1">
        <v>1.9791666666666665</v>
      </c>
      <c r="F2155" t="s">
        <v>3141</v>
      </c>
      <c r="G2155">
        <v>5</v>
      </c>
      <c r="H2155">
        <v>1081.1747</v>
      </c>
      <c r="I2155">
        <v>0</v>
      </c>
      <c r="J2155">
        <v>1163.79</v>
      </c>
      <c r="K2155">
        <v>0</v>
      </c>
      <c r="L2155">
        <v>975.86</v>
      </c>
      <c r="M2155" t="s">
        <v>44</v>
      </c>
      <c r="N2155">
        <v>1</v>
      </c>
      <c r="O2155">
        <v>1254</v>
      </c>
      <c r="P2155">
        <v>1081</v>
      </c>
      <c r="Q2155">
        <v>0</v>
      </c>
      <c r="R2155">
        <v>1081</v>
      </c>
    </row>
    <row r="2156" spans="1:18" x14ac:dyDescent="0.3">
      <c r="A2156" s="5">
        <v>45971</v>
      </c>
      <c r="B2156" t="s">
        <v>3142</v>
      </c>
      <c r="C2156">
        <v>6</v>
      </c>
      <c r="D2156">
        <v>36</v>
      </c>
      <c r="E2156" s="1">
        <v>1.25</v>
      </c>
      <c r="F2156" t="s">
        <v>3143</v>
      </c>
      <c r="G2156">
        <v>0</v>
      </c>
      <c r="H2156">
        <v>1081.4938999999999</v>
      </c>
      <c r="I2156">
        <v>2.5</v>
      </c>
      <c r="J2156">
        <v>1163.79</v>
      </c>
      <c r="K2156">
        <v>1.9580666999707901</v>
      </c>
      <c r="L2156">
        <v>1158.8800000000001</v>
      </c>
      <c r="M2156" t="s">
        <v>27</v>
      </c>
      <c r="N2156">
        <v>1</v>
      </c>
      <c r="O2156">
        <v>1282</v>
      </c>
      <c r="P2156">
        <v>1109</v>
      </c>
      <c r="Q2156">
        <v>0</v>
      </c>
      <c r="R2156">
        <v>1109</v>
      </c>
    </row>
    <row r="2157" spans="1:18" x14ac:dyDescent="0.3">
      <c r="A2157" s="5">
        <v>45971</v>
      </c>
      <c r="B2157" t="s">
        <v>3142</v>
      </c>
      <c r="C2157">
        <v>6</v>
      </c>
      <c r="D2157">
        <v>36</v>
      </c>
      <c r="E2157" s="1">
        <v>1.25</v>
      </c>
      <c r="F2157" t="s">
        <v>3143</v>
      </c>
      <c r="G2157">
        <v>0</v>
      </c>
      <c r="H2157">
        <v>1081.4938999999999</v>
      </c>
      <c r="I2157">
        <v>2.5</v>
      </c>
      <c r="J2157">
        <v>1163.79</v>
      </c>
      <c r="K2157">
        <v>1.9580666999707901</v>
      </c>
      <c r="L2157">
        <v>1158.8800000000001</v>
      </c>
      <c r="M2157" t="s">
        <v>27</v>
      </c>
      <c r="N2157">
        <v>1</v>
      </c>
      <c r="O2157">
        <v>1282</v>
      </c>
      <c r="P2157">
        <v>1109</v>
      </c>
      <c r="Q2157">
        <v>0</v>
      </c>
      <c r="R2157">
        <v>1109</v>
      </c>
    </row>
    <row r="2158" spans="1:18" x14ac:dyDescent="0.3">
      <c r="A2158" s="5">
        <v>45971</v>
      </c>
      <c r="B2158" t="s">
        <v>3144</v>
      </c>
      <c r="C2158">
        <v>5</v>
      </c>
      <c r="D2158">
        <v>36</v>
      </c>
      <c r="E2158" s="1">
        <v>1.25</v>
      </c>
      <c r="F2158" t="s">
        <v>3143</v>
      </c>
      <c r="G2158">
        <v>0</v>
      </c>
      <c r="H2158">
        <v>1081.5118</v>
      </c>
      <c r="I2158">
        <v>2.5</v>
      </c>
      <c r="J2158">
        <v>1163.79</v>
      </c>
      <c r="K2158">
        <v>1.9580666999707901</v>
      </c>
      <c r="L2158">
        <v>1158.8800000000001</v>
      </c>
      <c r="M2158" t="s">
        <v>27</v>
      </c>
      <c r="N2158">
        <v>1</v>
      </c>
      <c r="O2158">
        <v>1282</v>
      </c>
      <c r="P2158">
        <v>1109</v>
      </c>
      <c r="Q2158">
        <v>0</v>
      </c>
      <c r="R2158">
        <v>1109</v>
      </c>
    </row>
    <row r="2159" spans="1:18" x14ac:dyDescent="0.3">
      <c r="A2159" s="5">
        <v>45971</v>
      </c>
      <c r="B2159" t="s">
        <v>3144</v>
      </c>
      <c r="C2159">
        <v>5</v>
      </c>
      <c r="D2159">
        <v>36</v>
      </c>
      <c r="E2159" s="1">
        <v>1.25</v>
      </c>
      <c r="F2159" t="s">
        <v>3143</v>
      </c>
      <c r="G2159">
        <v>0</v>
      </c>
      <c r="H2159">
        <v>1081.5118</v>
      </c>
      <c r="I2159">
        <v>2.5</v>
      </c>
      <c r="J2159">
        <v>1163.79</v>
      </c>
      <c r="K2159">
        <v>1.9580666999707901</v>
      </c>
      <c r="L2159">
        <v>1158.8800000000001</v>
      </c>
      <c r="M2159" t="s">
        <v>27</v>
      </c>
      <c r="N2159">
        <v>1</v>
      </c>
      <c r="O2159">
        <v>1282</v>
      </c>
      <c r="P2159">
        <v>1109</v>
      </c>
      <c r="Q2159">
        <v>0</v>
      </c>
      <c r="R2159">
        <v>1109</v>
      </c>
    </row>
    <row r="2160" spans="1:18" x14ac:dyDescent="0.3">
      <c r="A2160" s="5">
        <v>45971</v>
      </c>
      <c r="B2160" t="s">
        <v>3145</v>
      </c>
      <c r="C2160">
        <v>33</v>
      </c>
      <c r="D2160">
        <v>36</v>
      </c>
      <c r="E2160" s="1">
        <v>1.9993055555555554</v>
      </c>
      <c r="F2160" t="s">
        <v>3146</v>
      </c>
      <c r="G2160">
        <v>1</v>
      </c>
      <c r="H2160">
        <v>1080.7144000000001</v>
      </c>
      <c r="I2160">
        <v>8.5</v>
      </c>
      <c r="J2160">
        <v>1163.79</v>
      </c>
      <c r="K2160">
        <v>6.6574267799006801</v>
      </c>
      <c r="L2160">
        <v>1219.83</v>
      </c>
      <c r="M2160" t="s">
        <v>27</v>
      </c>
      <c r="N2160">
        <v>1</v>
      </c>
      <c r="O2160">
        <v>1345</v>
      </c>
      <c r="P2160">
        <v>1173</v>
      </c>
      <c r="Q2160">
        <v>0</v>
      </c>
      <c r="R2160">
        <v>1173</v>
      </c>
    </row>
    <row r="2161" spans="1:18" x14ac:dyDescent="0.3">
      <c r="A2161" s="5">
        <v>45971</v>
      </c>
      <c r="B2161" t="s">
        <v>3147</v>
      </c>
      <c r="C2161">
        <v>6</v>
      </c>
      <c r="D2161">
        <v>36</v>
      </c>
      <c r="E2161" s="1">
        <v>1.9993055555555554</v>
      </c>
      <c r="F2161" t="s">
        <v>3148</v>
      </c>
      <c r="G2161">
        <v>1</v>
      </c>
      <c r="H2161">
        <v>1081.3186000000001</v>
      </c>
      <c r="I2161">
        <v>8.5</v>
      </c>
      <c r="J2161">
        <v>1163.79</v>
      </c>
      <c r="K2161">
        <v>6.6574267799006801</v>
      </c>
      <c r="L2161">
        <v>1219.83</v>
      </c>
      <c r="M2161" t="s">
        <v>27</v>
      </c>
      <c r="N2161">
        <v>1</v>
      </c>
      <c r="O2161">
        <v>1346</v>
      </c>
      <c r="P2161">
        <v>1173</v>
      </c>
      <c r="Q2161">
        <v>0</v>
      </c>
      <c r="R2161">
        <v>1173</v>
      </c>
    </row>
    <row r="2162" spans="1:18" x14ac:dyDescent="0.3">
      <c r="A2162" s="5">
        <v>45972</v>
      </c>
      <c r="B2162" t="s">
        <v>3149</v>
      </c>
      <c r="C2162">
        <v>32</v>
      </c>
      <c r="D2162">
        <v>36</v>
      </c>
      <c r="E2162" s="1">
        <v>1.0833333333333333</v>
      </c>
      <c r="F2162" t="s">
        <v>3150</v>
      </c>
      <c r="G2162">
        <v>4</v>
      </c>
      <c r="H2162">
        <v>1080.8823</v>
      </c>
      <c r="I2162">
        <v>7</v>
      </c>
      <c r="J2162">
        <v>1163.79</v>
      </c>
      <c r="K2162">
        <v>5.4825867599182097</v>
      </c>
      <c r="L2162">
        <v>1219.83</v>
      </c>
      <c r="M2162" t="s">
        <v>27</v>
      </c>
      <c r="N2162">
        <v>1</v>
      </c>
      <c r="O2162">
        <v>1329</v>
      </c>
      <c r="P2162">
        <v>1157</v>
      </c>
      <c r="Q2162">
        <v>0</v>
      </c>
      <c r="R2162">
        <v>1157</v>
      </c>
    </row>
    <row r="2163" spans="1:18" x14ac:dyDescent="0.3">
      <c r="A2163" s="5">
        <v>45972</v>
      </c>
      <c r="B2163" t="s">
        <v>3151</v>
      </c>
      <c r="C2163">
        <v>6</v>
      </c>
      <c r="D2163">
        <v>36</v>
      </c>
      <c r="E2163" s="1">
        <v>1.0833333333333333</v>
      </c>
      <c r="F2163" t="s">
        <v>3152</v>
      </c>
      <c r="G2163">
        <v>4</v>
      </c>
      <c r="H2163">
        <v>1081.4825000000001</v>
      </c>
      <c r="I2163">
        <v>7</v>
      </c>
      <c r="J2163">
        <v>1163.79</v>
      </c>
      <c r="K2163">
        <v>5.4825867599182097</v>
      </c>
      <c r="L2163">
        <v>1219.83</v>
      </c>
      <c r="M2163" t="s">
        <v>27</v>
      </c>
      <c r="N2163">
        <v>1</v>
      </c>
      <c r="O2163">
        <v>1330</v>
      </c>
      <c r="P2163">
        <v>1157</v>
      </c>
      <c r="Q2163">
        <v>0</v>
      </c>
      <c r="R2163">
        <v>1157</v>
      </c>
    </row>
    <row r="2164" spans="1:18" x14ac:dyDescent="0.3">
      <c r="A2164" s="5">
        <v>45972</v>
      </c>
      <c r="B2164" t="s">
        <v>3153</v>
      </c>
      <c r="C2164">
        <v>35</v>
      </c>
      <c r="D2164">
        <v>36</v>
      </c>
      <c r="E2164" s="1">
        <v>1.0833333333333333</v>
      </c>
      <c r="F2164" t="s">
        <v>3154</v>
      </c>
      <c r="G2164">
        <v>4</v>
      </c>
      <c r="H2164">
        <v>1080.8279</v>
      </c>
      <c r="I2164">
        <v>7</v>
      </c>
      <c r="J2164">
        <v>1163.79</v>
      </c>
      <c r="K2164">
        <v>5.4825867599182097</v>
      </c>
      <c r="L2164">
        <v>1219.83</v>
      </c>
      <c r="M2164" t="s">
        <v>27</v>
      </c>
      <c r="N2164">
        <v>1</v>
      </c>
      <c r="O2164">
        <v>1329</v>
      </c>
      <c r="P2164">
        <v>1156</v>
      </c>
      <c r="Q2164">
        <v>0</v>
      </c>
      <c r="R2164">
        <v>1156</v>
      </c>
    </row>
    <row r="2165" spans="1:18" x14ac:dyDescent="0.3">
      <c r="A2165" s="5">
        <v>45972</v>
      </c>
      <c r="B2165" t="s">
        <v>3155</v>
      </c>
      <c r="C2165">
        <v>7</v>
      </c>
      <c r="D2165">
        <v>36</v>
      </c>
      <c r="E2165" s="1">
        <v>1.0833333333333333</v>
      </c>
      <c r="F2165" t="s">
        <v>3156</v>
      </c>
      <c r="G2165">
        <v>2</v>
      </c>
      <c r="H2165">
        <v>1081.4635000000001</v>
      </c>
      <c r="I2165">
        <v>5</v>
      </c>
      <c r="J2165">
        <v>1163.79</v>
      </c>
      <c r="K2165">
        <v>3.9161333999415802</v>
      </c>
      <c r="L2165">
        <v>609.91</v>
      </c>
      <c r="M2165" t="s">
        <v>60</v>
      </c>
      <c r="N2165">
        <v>1</v>
      </c>
      <c r="O2165">
        <v>1309</v>
      </c>
      <c r="P2165">
        <v>1136</v>
      </c>
      <c r="Q2165">
        <v>0.5</v>
      </c>
      <c r="R2165">
        <v>568</v>
      </c>
    </row>
    <row r="2166" spans="1:18" x14ac:dyDescent="0.3">
      <c r="A2166" s="5">
        <v>45972</v>
      </c>
      <c r="B2166" t="s">
        <v>3157</v>
      </c>
      <c r="C2166">
        <v>8</v>
      </c>
      <c r="D2166">
        <v>36</v>
      </c>
      <c r="E2166" s="1">
        <v>1.0833333333333333</v>
      </c>
      <c r="F2166" t="s">
        <v>3158</v>
      </c>
      <c r="G2166">
        <v>3</v>
      </c>
      <c r="H2166">
        <v>1081.4454000000001</v>
      </c>
      <c r="I2166">
        <v>10</v>
      </c>
      <c r="J2166">
        <v>1163.79</v>
      </c>
      <c r="K2166">
        <v>7.8322667998831603</v>
      </c>
      <c r="L2166">
        <v>609.91</v>
      </c>
      <c r="M2166" t="s">
        <v>20</v>
      </c>
      <c r="N2166">
        <v>1</v>
      </c>
      <c r="O2166">
        <v>1363</v>
      </c>
      <c r="P2166">
        <v>1190</v>
      </c>
      <c r="Q2166">
        <v>0.5</v>
      </c>
      <c r="R2166">
        <v>595</v>
      </c>
    </row>
    <row r="2167" spans="1:18" x14ac:dyDescent="0.3">
      <c r="A2167" s="5">
        <v>45972</v>
      </c>
      <c r="B2167" t="s">
        <v>3159</v>
      </c>
      <c r="C2167">
        <v>9</v>
      </c>
      <c r="D2167">
        <v>36</v>
      </c>
      <c r="E2167" s="1">
        <v>1.0833333333333333</v>
      </c>
      <c r="F2167" t="s">
        <v>3160</v>
      </c>
      <c r="G2167">
        <v>4</v>
      </c>
      <c r="H2167">
        <v>1081.4276</v>
      </c>
      <c r="I2167">
        <v>7</v>
      </c>
      <c r="J2167">
        <v>1163.79</v>
      </c>
      <c r="K2167">
        <v>5.4825867599182097</v>
      </c>
      <c r="L2167">
        <v>1219.83</v>
      </c>
      <c r="M2167" t="s">
        <v>27</v>
      </c>
      <c r="N2167">
        <v>1</v>
      </c>
      <c r="O2167">
        <v>1330</v>
      </c>
      <c r="P2167">
        <v>1157</v>
      </c>
      <c r="Q2167">
        <v>0</v>
      </c>
      <c r="R2167">
        <v>1157</v>
      </c>
    </row>
    <row r="2168" spans="1:18" x14ac:dyDescent="0.3">
      <c r="A2168" s="5">
        <v>45972</v>
      </c>
      <c r="B2168" t="s">
        <v>3161</v>
      </c>
      <c r="C2168">
        <v>10</v>
      </c>
      <c r="D2168">
        <v>36</v>
      </c>
      <c r="E2168" s="1">
        <v>1.0833333333333333</v>
      </c>
      <c r="F2168" t="s">
        <v>3162</v>
      </c>
      <c r="G2168">
        <v>4</v>
      </c>
      <c r="H2168">
        <v>1081.4096999999999</v>
      </c>
      <c r="I2168">
        <v>7</v>
      </c>
      <c r="J2168">
        <v>1163.79</v>
      </c>
      <c r="K2168">
        <v>5.4825867599182097</v>
      </c>
      <c r="L2168">
        <v>1219.83</v>
      </c>
      <c r="M2168" t="s">
        <v>27</v>
      </c>
      <c r="N2168">
        <v>1</v>
      </c>
      <c r="O2168">
        <v>1330</v>
      </c>
      <c r="P2168">
        <v>1157</v>
      </c>
      <c r="Q2168">
        <v>0</v>
      </c>
      <c r="R2168">
        <v>1157</v>
      </c>
    </row>
    <row r="2169" spans="1:18" x14ac:dyDescent="0.3">
      <c r="A2169" s="5">
        <v>45972</v>
      </c>
      <c r="B2169" t="s">
        <v>3163</v>
      </c>
      <c r="C2169">
        <v>31</v>
      </c>
      <c r="D2169">
        <v>36</v>
      </c>
      <c r="E2169" s="1">
        <v>1.0833333333333333</v>
      </c>
      <c r="F2169" t="s">
        <v>3164</v>
      </c>
      <c r="G2169">
        <v>1</v>
      </c>
      <c r="H2169">
        <v>1080.8995</v>
      </c>
      <c r="I2169">
        <v>8.5</v>
      </c>
      <c r="J2169">
        <v>1163.79</v>
      </c>
      <c r="K2169">
        <v>6.6574267799006801</v>
      </c>
      <c r="L2169">
        <v>1219.83</v>
      </c>
      <c r="M2169" t="s">
        <v>27</v>
      </c>
      <c r="N2169">
        <v>1</v>
      </c>
      <c r="O2169">
        <v>1346</v>
      </c>
      <c r="P2169">
        <v>1173</v>
      </c>
      <c r="Q2169">
        <v>0</v>
      </c>
      <c r="R2169">
        <v>1173</v>
      </c>
    </row>
    <row r="2170" spans="1:18" x14ac:dyDescent="0.3">
      <c r="A2170" s="5">
        <v>45972</v>
      </c>
      <c r="B2170" t="s">
        <v>3165</v>
      </c>
      <c r="C2170">
        <v>23</v>
      </c>
      <c r="D2170">
        <v>36</v>
      </c>
      <c r="E2170" s="1">
        <v>1.0833333333333333</v>
      </c>
      <c r="F2170" t="s">
        <v>3166</v>
      </c>
      <c r="G2170">
        <v>4</v>
      </c>
      <c r="H2170">
        <v>1081.0435</v>
      </c>
      <c r="I2170">
        <v>7</v>
      </c>
      <c r="J2170">
        <v>1163.79</v>
      </c>
      <c r="K2170">
        <v>5.4825867599182097</v>
      </c>
      <c r="L2170">
        <v>1219.83</v>
      </c>
      <c r="M2170" t="s">
        <v>27</v>
      </c>
      <c r="N2170">
        <v>1</v>
      </c>
      <c r="O2170">
        <v>1330</v>
      </c>
      <c r="P2170">
        <v>1157</v>
      </c>
      <c r="Q2170">
        <v>0</v>
      </c>
      <c r="R2170">
        <v>1157</v>
      </c>
    </row>
    <row r="2171" spans="1:18" x14ac:dyDescent="0.3">
      <c r="A2171" s="5">
        <v>45972</v>
      </c>
      <c r="B2171" t="s">
        <v>3167</v>
      </c>
      <c r="C2171">
        <v>33</v>
      </c>
      <c r="D2171">
        <v>36</v>
      </c>
      <c r="E2171" s="1">
        <v>1.0833333333333333</v>
      </c>
      <c r="F2171" t="s">
        <v>3168</v>
      </c>
      <c r="G2171">
        <v>4</v>
      </c>
      <c r="H2171">
        <v>1080.8635999999999</v>
      </c>
      <c r="I2171">
        <v>7</v>
      </c>
      <c r="J2171">
        <v>1163.79</v>
      </c>
      <c r="K2171">
        <v>5.4825867599182097</v>
      </c>
      <c r="L2171">
        <v>1219.83</v>
      </c>
      <c r="M2171" t="s">
        <v>27</v>
      </c>
      <c r="N2171">
        <v>1</v>
      </c>
      <c r="O2171">
        <v>1329</v>
      </c>
      <c r="P2171">
        <v>1157</v>
      </c>
      <c r="Q2171">
        <v>0</v>
      </c>
      <c r="R2171">
        <v>1157</v>
      </c>
    </row>
    <row r="2172" spans="1:18" x14ac:dyDescent="0.3">
      <c r="A2172" s="5">
        <v>45972</v>
      </c>
      <c r="B2172" t="s">
        <v>3169</v>
      </c>
      <c r="C2172">
        <v>16</v>
      </c>
      <c r="D2172">
        <v>36</v>
      </c>
      <c r="E2172" s="1">
        <v>1.0833333333333333</v>
      </c>
      <c r="F2172" t="s">
        <v>3170</v>
      </c>
      <c r="G2172">
        <v>5</v>
      </c>
      <c r="H2172">
        <v>1081.3151</v>
      </c>
      <c r="I2172">
        <v>0</v>
      </c>
      <c r="J2172">
        <v>1163.79</v>
      </c>
      <c r="K2172">
        <v>0</v>
      </c>
      <c r="L2172">
        <v>1158.8800000000001</v>
      </c>
      <c r="M2172" t="s">
        <v>27</v>
      </c>
      <c r="N2172">
        <v>1</v>
      </c>
      <c r="O2172">
        <v>1254</v>
      </c>
      <c r="P2172">
        <v>1081</v>
      </c>
      <c r="Q2172">
        <v>0</v>
      </c>
      <c r="R2172">
        <v>1081</v>
      </c>
    </row>
    <row r="2173" spans="1:18" x14ac:dyDescent="0.3">
      <c r="A2173" s="5">
        <v>45972</v>
      </c>
      <c r="B2173" t="s">
        <v>3171</v>
      </c>
      <c r="C2173">
        <v>4</v>
      </c>
      <c r="D2173">
        <v>36</v>
      </c>
      <c r="E2173" s="1">
        <v>1.0833333333333333</v>
      </c>
      <c r="F2173" t="s">
        <v>3172</v>
      </c>
      <c r="G2173">
        <v>5</v>
      </c>
      <c r="H2173">
        <v>1081.3982000000001</v>
      </c>
      <c r="I2173">
        <v>0</v>
      </c>
      <c r="J2173">
        <v>1163.79</v>
      </c>
      <c r="K2173">
        <v>0</v>
      </c>
      <c r="L2173">
        <v>1158.8800000000001</v>
      </c>
      <c r="M2173" t="s">
        <v>27</v>
      </c>
      <c r="N2173">
        <v>1</v>
      </c>
      <c r="O2173">
        <v>1254</v>
      </c>
      <c r="P2173">
        <v>1081</v>
      </c>
      <c r="Q2173">
        <v>0</v>
      </c>
      <c r="R2173">
        <v>1081</v>
      </c>
    </row>
    <row r="2174" spans="1:18" x14ac:dyDescent="0.3">
      <c r="A2174" s="5">
        <v>45972</v>
      </c>
      <c r="B2174" t="s">
        <v>3173</v>
      </c>
      <c r="C2174">
        <v>24</v>
      </c>
      <c r="D2174">
        <v>36</v>
      </c>
      <c r="E2174" s="1">
        <v>1.4583333333333333</v>
      </c>
      <c r="F2174" t="s">
        <v>3174</v>
      </c>
      <c r="G2174">
        <v>0</v>
      </c>
      <c r="H2174">
        <v>1081.0343</v>
      </c>
      <c r="I2174">
        <v>2.5</v>
      </c>
      <c r="J2174">
        <v>1163.79</v>
      </c>
      <c r="K2174">
        <v>1.9580666999707901</v>
      </c>
      <c r="L2174">
        <v>1158.8800000000001</v>
      </c>
      <c r="M2174" t="s">
        <v>27</v>
      </c>
      <c r="N2174">
        <v>1</v>
      </c>
      <c r="O2174">
        <v>1281</v>
      </c>
      <c r="P2174">
        <v>1108</v>
      </c>
      <c r="Q2174">
        <v>0</v>
      </c>
      <c r="R2174">
        <v>1108</v>
      </c>
    </row>
    <row r="2175" spans="1:18" x14ac:dyDescent="0.3">
      <c r="A2175" s="5">
        <v>45972</v>
      </c>
      <c r="B2175" t="s">
        <v>3175</v>
      </c>
      <c r="C2175">
        <v>8</v>
      </c>
      <c r="D2175">
        <v>36</v>
      </c>
      <c r="E2175" s="1">
        <v>1.4583333333333333</v>
      </c>
      <c r="F2175" t="s">
        <v>3176</v>
      </c>
      <c r="G2175">
        <v>4</v>
      </c>
      <c r="H2175">
        <v>1081.4536000000001</v>
      </c>
      <c r="I2175">
        <v>7</v>
      </c>
      <c r="J2175">
        <v>1163.79</v>
      </c>
      <c r="K2175">
        <v>5.4825867599182097</v>
      </c>
      <c r="L2175">
        <v>1158.8800000000001</v>
      </c>
      <c r="M2175" t="s">
        <v>27</v>
      </c>
      <c r="N2175">
        <v>1</v>
      </c>
      <c r="O2175">
        <v>1330</v>
      </c>
      <c r="P2175">
        <v>1157</v>
      </c>
      <c r="Q2175">
        <v>0</v>
      </c>
      <c r="R2175">
        <v>1157</v>
      </c>
    </row>
    <row r="2176" spans="1:18" x14ac:dyDescent="0.3">
      <c r="A2176" s="5">
        <v>45972</v>
      </c>
      <c r="B2176" t="s">
        <v>3177</v>
      </c>
      <c r="C2176">
        <v>35</v>
      </c>
      <c r="D2176">
        <v>36</v>
      </c>
      <c r="E2176" s="1">
        <v>1.9791666666666665</v>
      </c>
      <c r="F2176" t="s">
        <v>3178</v>
      </c>
      <c r="G2176">
        <v>5</v>
      </c>
      <c r="H2176">
        <v>1080.6066000000001</v>
      </c>
      <c r="I2176">
        <v>0</v>
      </c>
      <c r="J2176">
        <v>1163.79</v>
      </c>
      <c r="K2176">
        <v>0</v>
      </c>
      <c r="L2176">
        <v>1158.8800000000001</v>
      </c>
      <c r="M2176" t="s">
        <v>27</v>
      </c>
      <c r="N2176">
        <v>1</v>
      </c>
      <c r="O2176">
        <v>1254</v>
      </c>
      <c r="P2176">
        <v>1081</v>
      </c>
      <c r="Q2176">
        <v>0</v>
      </c>
      <c r="R2176">
        <v>1081</v>
      </c>
    </row>
    <row r="2177" spans="1:18" x14ac:dyDescent="0.3">
      <c r="A2177" s="5">
        <v>45972</v>
      </c>
      <c r="B2177" t="s">
        <v>3179</v>
      </c>
      <c r="C2177">
        <v>4</v>
      </c>
      <c r="D2177">
        <v>36</v>
      </c>
      <c r="E2177" s="1">
        <v>1.25</v>
      </c>
      <c r="F2177" t="s">
        <v>3180</v>
      </c>
      <c r="G2177">
        <v>2</v>
      </c>
      <c r="H2177">
        <v>1081.3823</v>
      </c>
      <c r="I2177">
        <v>5</v>
      </c>
      <c r="J2177">
        <v>1163.79</v>
      </c>
      <c r="K2177">
        <v>3.9161333999415802</v>
      </c>
      <c r="L2177">
        <v>609.91</v>
      </c>
      <c r="M2177" t="s">
        <v>60</v>
      </c>
      <c r="N2177">
        <v>1</v>
      </c>
      <c r="O2177">
        <v>1308</v>
      </c>
      <c r="P2177">
        <v>1135</v>
      </c>
      <c r="Q2177">
        <v>0.5</v>
      </c>
      <c r="R2177">
        <v>567.5</v>
      </c>
    </row>
    <row r="2178" spans="1:18" x14ac:dyDescent="0.3">
      <c r="A2178" s="5">
        <v>45972</v>
      </c>
      <c r="B2178" t="s">
        <v>1408</v>
      </c>
      <c r="C2178">
        <v>15</v>
      </c>
      <c r="D2178">
        <v>36</v>
      </c>
      <c r="E2178" s="1">
        <v>1.25</v>
      </c>
      <c r="F2178" t="s">
        <v>1409</v>
      </c>
      <c r="G2178">
        <v>4</v>
      </c>
      <c r="H2178">
        <v>1081.3148000000001</v>
      </c>
      <c r="I2178">
        <v>7</v>
      </c>
      <c r="J2178">
        <v>1163.79</v>
      </c>
      <c r="K2178">
        <v>5.4825867599182097</v>
      </c>
      <c r="L2178">
        <v>1219.83</v>
      </c>
      <c r="M2178" t="s">
        <v>27</v>
      </c>
      <c r="N2178">
        <v>1</v>
      </c>
      <c r="O2178">
        <v>1330</v>
      </c>
      <c r="P2178">
        <v>1157</v>
      </c>
      <c r="Q2178">
        <v>0</v>
      </c>
      <c r="R2178">
        <v>1157</v>
      </c>
    </row>
    <row r="2179" spans="1:18" x14ac:dyDescent="0.3">
      <c r="A2179" s="5">
        <v>45972</v>
      </c>
      <c r="B2179" t="s">
        <v>3181</v>
      </c>
      <c r="C2179">
        <v>13</v>
      </c>
      <c r="D2179">
        <v>36</v>
      </c>
      <c r="E2179" s="1">
        <v>1.25</v>
      </c>
      <c r="F2179" t="s">
        <v>3182</v>
      </c>
      <c r="G2179">
        <v>1</v>
      </c>
      <c r="H2179">
        <v>1081.3506</v>
      </c>
      <c r="I2179">
        <v>8.5</v>
      </c>
      <c r="J2179">
        <v>1163.79</v>
      </c>
      <c r="K2179">
        <v>6.6574267799006801</v>
      </c>
      <c r="L2179">
        <v>1219.83</v>
      </c>
      <c r="M2179" t="s">
        <v>27</v>
      </c>
      <c r="N2179">
        <v>1</v>
      </c>
      <c r="O2179">
        <v>1346</v>
      </c>
      <c r="P2179">
        <v>1173</v>
      </c>
      <c r="Q2179">
        <v>0</v>
      </c>
      <c r="R2179">
        <v>1173</v>
      </c>
    </row>
    <row r="2180" spans="1:18" x14ac:dyDescent="0.3">
      <c r="A2180" s="5">
        <v>45972</v>
      </c>
      <c r="B2180" t="s">
        <v>3183</v>
      </c>
      <c r="C2180">
        <v>35</v>
      </c>
      <c r="D2180">
        <v>36</v>
      </c>
      <c r="E2180" s="1">
        <v>1.25</v>
      </c>
      <c r="F2180" t="s">
        <v>3184</v>
      </c>
      <c r="G2180">
        <v>1</v>
      </c>
      <c r="H2180">
        <v>1080.8241</v>
      </c>
      <c r="I2180">
        <v>8.5</v>
      </c>
      <c r="J2180">
        <v>1163.79</v>
      </c>
      <c r="K2180">
        <v>6.6574267799006801</v>
      </c>
      <c r="L2180">
        <v>609.91</v>
      </c>
      <c r="M2180" t="s">
        <v>20</v>
      </c>
      <c r="N2180">
        <v>1</v>
      </c>
      <c r="O2180">
        <v>1346</v>
      </c>
      <c r="P2180">
        <v>1173</v>
      </c>
      <c r="Q2180">
        <v>0.5</v>
      </c>
      <c r="R2180">
        <v>586.5</v>
      </c>
    </row>
    <row r="2181" spans="1:18" x14ac:dyDescent="0.3">
      <c r="A2181" s="5">
        <v>45972</v>
      </c>
      <c r="B2181" t="s">
        <v>3185</v>
      </c>
      <c r="C2181">
        <v>33</v>
      </c>
      <c r="D2181">
        <v>36</v>
      </c>
      <c r="E2181" s="1">
        <v>1.4583333333333333</v>
      </c>
      <c r="F2181" t="s">
        <v>3186</v>
      </c>
      <c r="G2181">
        <v>1</v>
      </c>
      <c r="H2181">
        <v>1080.8615</v>
      </c>
      <c r="I2181">
        <v>8.5</v>
      </c>
      <c r="J2181">
        <v>1163.79</v>
      </c>
      <c r="K2181">
        <v>6.6574267799006801</v>
      </c>
      <c r="L2181">
        <v>1097.8399999999999</v>
      </c>
      <c r="M2181" t="s">
        <v>27</v>
      </c>
      <c r="N2181">
        <v>1</v>
      </c>
      <c r="O2181">
        <v>1346</v>
      </c>
      <c r="P2181">
        <v>1173</v>
      </c>
      <c r="Q2181">
        <v>0</v>
      </c>
      <c r="R2181">
        <v>1173</v>
      </c>
    </row>
    <row r="2182" spans="1:18" x14ac:dyDescent="0.3">
      <c r="A2182" s="5">
        <v>45972</v>
      </c>
      <c r="B2182" t="s">
        <v>3187</v>
      </c>
      <c r="C2182">
        <v>34</v>
      </c>
      <c r="D2182">
        <v>36</v>
      </c>
      <c r="E2182" s="1">
        <v>1.4583333333333333</v>
      </c>
      <c r="F2182" t="s">
        <v>3188</v>
      </c>
      <c r="G2182">
        <v>1</v>
      </c>
      <c r="H2182">
        <v>1080.8434</v>
      </c>
      <c r="I2182">
        <v>8.5</v>
      </c>
      <c r="J2182">
        <v>1163.79</v>
      </c>
      <c r="K2182">
        <v>6.6574267799006801</v>
      </c>
      <c r="L2182">
        <v>1097.8399999999999</v>
      </c>
      <c r="M2182" t="s">
        <v>27</v>
      </c>
      <c r="N2182">
        <v>1</v>
      </c>
      <c r="O2182">
        <v>1346</v>
      </c>
      <c r="P2182">
        <v>1173</v>
      </c>
      <c r="Q2182">
        <v>0</v>
      </c>
      <c r="R2182">
        <v>1173</v>
      </c>
    </row>
    <row r="2183" spans="1:18" x14ac:dyDescent="0.3">
      <c r="A2183" s="5">
        <v>45972</v>
      </c>
      <c r="B2183" t="s">
        <v>3189</v>
      </c>
      <c r="C2183">
        <v>3</v>
      </c>
      <c r="D2183">
        <v>36</v>
      </c>
      <c r="E2183" s="1">
        <v>1.4583333333333333</v>
      </c>
      <c r="F2183" t="s">
        <v>3190</v>
      </c>
      <c r="G2183">
        <v>1</v>
      </c>
      <c r="H2183">
        <v>1081.5238999999999</v>
      </c>
      <c r="I2183">
        <v>8.5</v>
      </c>
      <c r="J2183">
        <v>1163.79</v>
      </c>
      <c r="K2183">
        <v>6.6574267799006801</v>
      </c>
      <c r="L2183">
        <v>1219.83</v>
      </c>
      <c r="M2183" t="s">
        <v>27</v>
      </c>
      <c r="N2183">
        <v>1</v>
      </c>
      <c r="O2183">
        <v>1346</v>
      </c>
      <c r="P2183">
        <v>1173</v>
      </c>
      <c r="Q2183">
        <v>0</v>
      </c>
      <c r="R2183">
        <v>1173</v>
      </c>
    </row>
    <row r="2184" spans="1:18" x14ac:dyDescent="0.3">
      <c r="A2184" s="5">
        <v>45972</v>
      </c>
      <c r="B2184" t="s">
        <v>3191</v>
      </c>
      <c r="C2184">
        <v>9</v>
      </c>
      <c r="D2184">
        <v>36</v>
      </c>
      <c r="E2184" s="1">
        <v>1.4583333333333333</v>
      </c>
      <c r="F2184" t="s">
        <v>3192</v>
      </c>
      <c r="G2184">
        <v>1</v>
      </c>
      <c r="H2184">
        <v>1081.4160999999999</v>
      </c>
      <c r="I2184">
        <v>8.5</v>
      </c>
      <c r="J2184">
        <v>1163.79</v>
      </c>
      <c r="K2184">
        <v>6.6574267799006801</v>
      </c>
      <c r="L2184">
        <v>1219.83</v>
      </c>
      <c r="M2184" t="s">
        <v>27</v>
      </c>
      <c r="N2184">
        <v>1</v>
      </c>
      <c r="O2184">
        <v>1346</v>
      </c>
      <c r="P2184">
        <v>1173</v>
      </c>
      <c r="Q2184">
        <v>0</v>
      </c>
      <c r="R2184">
        <v>1173</v>
      </c>
    </row>
    <row r="2185" spans="1:18" x14ac:dyDescent="0.3">
      <c r="A2185" s="5">
        <v>45972</v>
      </c>
      <c r="B2185" t="s">
        <v>2815</v>
      </c>
      <c r="C2185">
        <v>16</v>
      </c>
      <c r="D2185">
        <v>36</v>
      </c>
      <c r="E2185" s="1">
        <v>1.9791666666666665</v>
      </c>
      <c r="F2185" t="s">
        <v>2816</v>
      </c>
      <c r="G2185">
        <v>1</v>
      </c>
      <c r="H2185">
        <v>1081.0579</v>
      </c>
      <c r="I2185">
        <v>8.5</v>
      </c>
      <c r="J2185">
        <v>1163.79</v>
      </c>
      <c r="K2185">
        <v>6.6574267799006801</v>
      </c>
      <c r="L2185">
        <v>609.91</v>
      </c>
      <c r="M2185" t="s">
        <v>60</v>
      </c>
      <c r="N2185">
        <v>1</v>
      </c>
      <c r="O2185">
        <v>1346</v>
      </c>
      <c r="P2185">
        <v>1173</v>
      </c>
      <c r="Q2185">
        <v>0.5</v>
      </c>
      <c r="R2185">
        <v>586.5</v>
      </c>
    </row>
    <row r="2186" spans="1:18" x14ac:dyDescent="0.3">
      <c r="A2186" s="5">
        <v>45972</v>
      </c>
      <c r="B2186" t="s">
        <v>3193</v>
      </c>
      <c r="C2186">
        <v>7</v>
      </c>
      <c r="D2186">
        <v>36</v>
      </c>
      <c r="E2186" s="1">
        <v>1.9791666666666665</v>
      </c>
      <c r="F2186" t="s">
        <v>3194</v>
      </c>
      <c r="G2186">
        <v>0</v>
      </c>
      <c r="H2186">
        <v>1081.2316000000001</v>
      </c>
      <c r="I2186">
        <v>2.5</v>
      </c>
      <c r="J2186">
        <v>1163.79</v>
      </c>
      <c r="K2186">
        <v>1.9580666999707901</v>
      </c>
      <c r="L2186">
        <v>1158.8800000000001</v>
      </c>
      <c r="M2186" t="s">
        <v>27</v>
      </c>
      <c r="N2186">
        <v>1</v>
      </c>
      <c r="O2186">
        <v>1281</v>
      </c>
      <c r="P2186">
        <v>1108</v>
      </c>
      <c r="Q2186">
        <v>0</v>
      </c>
      <c r="R2186">
        <v>1108</v>
      </c>
    </row>
    <row r="2187" spans="1:18" x14ac:dyDescent="0.3">
      <c r="A2187" s="5">
        <v>45972</v>
      </c>
      <c r="B2187" t="s">
        <v>3195</v>
      </c>
      <c r="C2187">
        <v>12</v>
      </c>
      <c r="D2187">
        <v>36</v>
      </c>
      <c r="E2187" s="1">
        <v>1.25</v>
      </c>
      <c r="F2187" t="s">
        <v>3196</v>
      </c>
      <c r="G2187">
        <v>0</v>
      </c>
      <c r="H2187">
        <v>1081.3701000000001</v>
      </c>
      <c r="I2187">
        <v>2.5</v>
      </c>
      <c r="J2187">
        <v>1163.79</v>
      </c>
      <c r="K2187">
        <v>1.9580666999707901</v>
      </c>
      <c r="L2187">
        <v>1158.8800000000001</v>
      </c>
      <c r="M2187" t="s">
        <v>27</v>
      </c>
      <c r="N2187">
        <v>1</v>
      </c>
      <c r="O2187">
        <v>1281</v>
      </c>
      <c r="P2187">
        <v>1108</v>
      </c>
      <c r="Q2187">
        <v>0</v>
      </c>
      <c r="R2187">
        <v>1108</v>
      </c>
    </row>
    <row r="2188" spans="1:18" x14ac:dyDescent="0.3">
      <c r="A2188" s="5">
        <v>45972</v>
      </c>
      <c r="B2188" t="s">
        <v>3195</v>
      </c>
      <c r="C2188">
        <v>12</v>
      </c>
      <c r="D2188">
        <v>36</v>
      </c>
      <c r="E2188" s="1">
        <v>1.25</v>
      </c>
      <c r="F2188" t="s">
        <v>3196</v>
      </c>
      <c r="G2188">
        <v>0</v>
      </c>
      <c r="H2188">
        <v>1081.3701000000001</v>
      </c>
      <c r="I2188">
        <v>2.5</v>
      </c>
      <c r="J2188">
        <v>1163.79</v>
      </c>
      <c r="K2188">
        <v>1.9580666999707901</v>
      </c>
      <c r="L2188">
        <v>1158.8800000000001</v>
      </c>
      <c r="M2188" t="s">
        <v>27</v>
      </c>
      <c r="N2188">
        <v>1</v>
      </c>
      <c r="O2188">
        <v>1281</v>
      </c>
      <c r="P2188">
        <v>1108</v>
      </c>
      <c r="Q2188">
        <v>0</v>
      </c>
      <c r="R2188">
        <v>1108</v>
      </c>
    </row>
    <row r="2189" spans="1:18" x14ac:dyDescent="0.3">
      <c r="A2189" s="5">
        <v>45972</v>
      </c>
      <c r="B2189" t="s">
        <v>3197</v>
      </c>
      <c r="C2189">
        <v>11</v>
      </c>
      <c r="D2189">
        <v>36</v>
      </c>
      <c r="E2189" s="1">
        <v>1.25</v>
      </c>
      <c r="F2189" t="s">
        <v>3196</v>
      </c>
      <c r="G2189">
        <v>0</v>
      </c>
      <c r="H2189">
        <v>1081.3882000000001</v>
      </c>
      <c r="I2189">
        <v>2.5</v>
      </c>
      <c r="J2189">
        <v>1163.79</v>
      </c>
      <c r="K2189">
        <v>1.9580666999707901</v>
      </c>
      <c r="L2189">
        <v>1158.8800000000001</v>
      </c>
      <c r="M2189" t="s">
        <v>27</v>
      </c>
      <c r="N2189">
        <v>1</v>
      </c>
      <c r="O2189">
        <v>1281</v>
      </c>
      <c r="P2189">
        <v>1108</v>
      </c>
      <c r="Q2189">
        <v>0</v>
      </c>
      <c r="R2189">
        <v>1108</v>
      </c>
    </row>
    <row r="2190" spans="1:18" x14ac:dyDescent="0.3">
      <c r="A2190" s="5">
        <v>45972</v>
      </c>
      <c r="B2190" t="s">
        <v>3197</v>
      </c>
      <c r="C2190">
        <v>11</v>
      </c>
      <c r="D2190">
        <v>36</v>
      </c>
      <c r="E2190" s="1">
        <v>1.25</v>
      </c>
      <c r="F2190" t="s">
        <v>3196</v>
      </c>
      <c r="G2190">
        <v>0</v>
      </c>
      <c r="H2190">
        <v>1081.3882000000001</v>
      </c>
      <c r="I2190">
        <v>2.5</v>
      </c>
      <c r="J2190">
        <v>1163.79</v>
      </c>
      <c r="K2190">
        <v>1.9580666999707901</v>
      </c>
      <c r="L2190">
        <v>1158.8800000000001</v>
      </c>
      <c r="M2190" t="s">
        <v>27</v>
      </c>
      <c r="N2190">
        <v>1</v>
      </c>
      <c r="O2190">
        <v>1281</v>
      </c>
      <c r="P2190">
        <v>1108</v>
      </c>
      <c r="Q2190">
        <v>0</v>
      </c>
      <c r="R2190">
        <v>1108</v>
      </c>
    </row>
    <row r="2191" spans="1:18" x14ac:dyDescent="0.3">
      <c r="A2191" s="5">
        <v>45972</v>
      </c>
      <c r="B2191" t="s">
        <v>1019</v>
      </c>
      <c r="C2191">
        <v>24</v>
      </c>
      <c r="D2191">
        <v>36</v>
      </c>
      <c r="E2191" s="1">
        <v>1.9993055555555554</v>
      </c>
      <c r="F2191" t="s">
        <v>1020</v>
      </c>
      <c r="G2191">
        <v>5</v>
      </c>
      <c r="H2191">
        <v>1080.7971</v>
      </c>
      <c r="I2191">
        <v>0</v>
      </c>
      <c r="J2191">
        <v>1163.79</v>
      </c>
      <c r="K2191">
        <v>0</v>
      </c>
      <c r="L2191">
        <v>1158.8800000000001</v>
      </c>
      <c r="M2191" t="s">
        <v>27</v>
      </c>
      <c r="N2191">
        <v>1</v>
      </c>
      <c r="O2191">
        <v>1254</v>
      </c>
      <c r="P2191">
        <v>1081</v>
      </c>
      <c r="Q2191">
        <v>0</v>
      </c>
      <c r="R2191">
        <v>1081</v>
      </c>
    </row>
    <row r="2192" spans="1:18" x14ac:dyDescent="0.3">
      <c r="A2192" s="5">
        <v>45972</v>
      </c>
      <c r="B2192" t="s">
        <v>3198</v>
      </c>
      <c r="C2192">
        <v>13</v>
      </c>
      <c r="D2192">
        <v>36</v>
      </c>
      <c r="E2192" s="1">
        <v>1.9993055555555554</v>
      </c>
      <c r="F2192" t="s">
        <v>3199</v>
      </c>
      <c r="G2192">
        <v>2</v>
      </c>
      <c r="H2192">
        <v>1081.1274000000001</v>
      </c>
      <c r="I2192">
        <v>5</v>
      </c>
      <c r="J2192">
        <v>1163.79</v>
      </c>
      <c r="K2192">
        <v>3.9161333999415802</v>
      </c>
      <c r="L2192">
        <v>609.91</v>
      </c>
      <c r="M2192" t="s">
        <v>60</v>
      </c>
      <c r="N2192">
        <v>1</v>
      </c>
      <c r="O2192">
        <v>1308</v>
      </c>
      <c r="P2192">
        <v>1135</v>
      </c>
      <c r="Q2192">
        <v>0.5</v>
      </c>
      <c r="R2192">
        <v>567.5</v>
      </c>
    </row>
    <row r="2193" spans="1:18" x14ac:dyDescent="0.3">
      <c r="A2193" s="5">
        <v>45972</v>
      </c>
      <c r="B2193" t="s">
        <v>3200</v>
      </c>
      <c r="C2193">
        <v>7</v>
      </c>
      <c r="D2193">
        <v>36</v>
      </c>
      <c r="E2193" s="1">
        <v>1.9791666666666665</v>
      </c>
      <c r="F2193" t="s">
        <v>2294</v>
      </c>
      <c r="G2193">
        <v>5</v>
      </c>
      <c r="H2193">
        <v>1081.2347</v>
      </c>
      <c r="I2193">
        <v>0</v>
      </c>
      <c r="J2193">
        <v>1163.79</v>
      </c>
      <c r="K2193">
        <v>0</v>
      </c>
      <c r="L2193">
        <v>1158.8800000000001</v>
      </c>
      <c r="M2193" t="s">
        <v>27</v>
      </c>
      <c r="N2193">
        <v>1</v>
      </c>
      <c r="O2193">
        <v>1254</v>
      </c>
      <c r="P2193">
        <v>1081</v>
      </c>
      <c r="Q2193">
        <v>0</v>
      </c>
      <c r="R2193">
        <v>1081</v>
      </c>
    </row>
    <row r="2194" spans="1:18" x14ac:dyDescent="0.3">
      <c r="A2194" s="5">
        <v>45972</v>
      </c>
      <c r="B2194" t="s">
        <v>3201</v>
      </c>
      <c r="C2194">
        <v>5</v>
      </c>
      <c r="D2194">
        <v>36</v>
      </c>
      <c r="E2194" s="1">
        <v>1.9993055555555554</v>
      </c>
      <c r="F2194" t="s">
        <v>3202</v>
      </c>
      <c r="G2194">
        <v>4</v>
      </c>
      <c r="H2194">
        <v>1081.2705000000001</v>
      </c>
      <c r="I2194">
        <v>7</v>
      </c>
      <c r="J2194">
        <v>1163.79</v>
      </c>
      <c r="K2194">
        <v>5.4825867599182097</v>
      </c>
      <c r="L2194">
        <v>1158.8800000000001</v>
      </c>
      <c r="M2194" t="s">
        <v>27</v>
      </c>
      <c r="N2194">
        <v>1</v>
      </c>
      <c r="O2194">
        <v>1330</v>
      </c>
      <c r="P2194">
        <v>1157</v>
      </c>
      <c r="Q2194">
        <v>0</v>
      </c>
      <c r="R2194">
        <v>1157</v>
      </c>
    </row>
    <row r="2195" spans="1:18" x14ac:dyDescent="0.3">
      <c r="A2195" s="5">
        <v>45972</v>
      </c>
      <c r="B2195" t="s">
        <v>3201</v>
      </c>
      <c r="C2195">
        <v>5</v>
      </c>
      <c r="D2195">
        <v>36</v>
      </c>
      <c r="E2195" s="1">
        <v>1.9993055555555554</v>
      </c>
      <c r="F2195" t="s">
        <v>3202</v>
      </c>
      <c r="G2195">
        <v>4</v>
      </c>
      <c r="H2195">
        <v>1081.2705000000001</v>
      </c>
      <c r="I2195">
        <v>7</v>
      </c>
      <c r="J2195">
        <v>1163.79</v>
      </c>
      <c r="K2195">
        <v>5.4825867599182097</v>
      </c>
      <c r="L2195">
        <v>1158.8800000000001</v>
      </c>
      <c r="M2195" t="s">
        <v>27</v>
      </c>
      <c r="N2195">
        <v>1</v>
      </c>
      <c r="O2195">
        <v>1330</v>
      </c>
      <c r="P2195">
        <v>1157</v>
      </c>
      <c r="Q2195">
        <v>0</v>
      </c>
      <c r="R2195">
        <v>1157</v>
      </c>
    </row>
    <row r="2196" spans="1:18" x14ac:dyDescent="0.3">
      <c r="A2196" s="5">
        <v>45972</v>
      </c>
      <c r="B2196" t="s">
        <v>3201</v>
      </c>
      <c r="C2196">
        <v>5</v>
      </c>
      <c r="D2196">
        <v>36</v>
      </c>
      <c r="E2196" s="1">
        <v>1.9993055555555554</v>
      </c>
      <c r="F2196" t="s">
        <v>3202</v>
      </c>
      <c r="G2196">
        <v>4</v>
      </c>
      <c r="H2196">
        <v>1081.2705000000001</v>
      </c>
      <c r="I2196">
        <v>7</v>
      </c>
      <c r="J2196">
        <v>1163.79</v>
      </c>
      <c r="K2196">
        <v>5.4825867599182097</v>
      </c>
      <c r="L2196">
        <v>1158.8800000000001</v>
      </c>
      <c r="M2196" t="s">
        <v>27</v>
      </c>
      <c r="N2196">
        <v>1</v>
      </c>
      <c r="O2196">
        <v>1330</v>
      </c>
      <c r="P2196">
        <v>1157</v>
      </c>
      <c r="Q2196">
        <v>0</v>
      </c>
      <c r="R2196">
        <v>1157</v>
      </c>
    </row>
    <row r="2197" spans="1:18" x14ac:dyDescent="0.3">
      <c r="A2197" s="5">
        <v>45972</v>
      </c>
      <c r="B2197" t="s">
        <v>3203</v>
      </c>
      <c r="C2197">
        <v>3</v>
      </c>
      <c r="D2197">
        <v>36</v>
      </c>
      <c r="E2197" s="1">
        <v>1.9993055555555554</v>
      </c>
      <c r="F2197" t="s">
        <v>3202</v>
      </c>
      <c r="G2197">
        <v>4</v>
      </c>
      <c r="H2197">
        <v>1081.3064999999999</v>
      </c>
      <c r="I2197">
        <v>7</v>
      </c>
      <c r="J2197">
        <v>1163.79</v>
      </c>
      <c r="K2197">
        <v>5.4825867599182097</v>
      </c>
      <c r="L2197">
        <v>1158.8800000000001</v>
      </c>
      <c r="M2197" t="s">
        <v>27</v>
      </c>
      <c r="N2197">
        <v>1</v>
      </c>
      <c r="O2197">
        <v>1330</v>
      </c>
      <c r="P2197">
        <v>1157</v>
      </c>
      <c r="Q2197">
        <v>0</v>
      </c>
      <c r="R2197">
        <v>1157</v>
      </c>
    </row>
    <row r="2198" spans="1:18" x14ac:dyDescent="0.3">
      <c r="A2198" s="5">
        <v>45972</v>
      </c>
      <c r="B2198" t="s">
        <v>3203</v>
      </c>
      <c r="C2198">
        <v>3</v>
      </c>
      <c r="D2198">
        <v>36</v>
      </c>
      <c r="E2198" s="1">
        <v>1.9993055555555554</v>
      </c>
      <c r="F2198" t="s">
        <v>3202</v>
      </c>
      <c r="G2198">
        <v>4</v>
      </c>
      <c r="H2198">
        <v>1081.3064999999999</v>
      </c>
      <c r="I2198">
        <v>7</v>
      </c>
      <c r="J2198">
        <v>1163.79</v>
      </c>
      <c r="K2198">
        <v>5.4825867599182097</v>
      </c>
      <c r="L2198">
        <v>1158.8800000000001</v>
      </c>
      <c r="M2198" t="s">
        <v>27</v>
      </c>
      <c r="N2198">
        <v>1</v>
      </c>
      <c r="O2198">
        <v>1330</v>
      </c>
      <c r="P2198">
        <v>1157</v>
      </c>
      <c r="Q2198">
        <v>0</v>
      </c>
      <c r="R2198">
        <v>1157</v>
      </c>
    </row>
    <row r="2199" spans="1:18" x14ac:dyDescent="0.3">
      <c r="A2199" s="5">
        <v>45972</v>
      </c>
      <c r="B2199" t="s">
        <v>3203</v>
      </c>
      <c r="C2199">
        <v>3</v>
      </c>
      <c r="D2199">
        <v>36</v>
      </c>
      <c r="E2199" s="1">
        <v>1.9993055555555554</v>
      </c>
      <c r="F2199" t="s">
        <v>3202</v>
      </c>
      <c r="G2199">
        <v>4</v>
      </c>
      <c r="H2199">
        <v>1081.3064999999999</v>
      </c>
      <c r="I2199">
        <v>7</v>
      </c>
      <c r="J2199">
        <v>1163.79</v>
      </c>
      <c r="K2199">
        <v>5.4825867599182097</v>
      </c>
      <c r="L2199">
        <v>1158.8800000000001</v>
      </c>
      <c r="M2199" t="s">
        <v>27</v>
      </c>
      <c r="N2199">
        <v>1</v>
      </c>
      <c r="O2199">
        <v>1330</v>
      </c>
      <c r="P2199">
        <v>1157</v>
      </c>
      <c r="Q2199">
        <v>0</v>
      </c>
      <c r="R2199">
        <v>1157</v>
      </c>
    </row>
    <row r="2200" spans="1:18" x14ac:dyDescent="0.3">
      <c r="A2200" s="5">
        <v>45972</v>
      </c>
      <c r="B2200" t="s">
        <v>3204</v>
      </c>
      <c r="C2200">
        <v>6</v>
      </c>
      <c r="D2200">
        <v>36</v>
      </c>
      <c r="E2200" s="1">
        <v>1.9993055555555554</v>
      </c>
      <c r="F2200" t="s">
        <v>3202</v>
      </c>
      <c r="G2200">
        <v>4</v>
      </c>
      <c r="H2200">
        <v>1081.2527</v>
      </c>
      <c r="I2200">
        <v>7</v>
      </c>
      <c r="J2200">
        <v>1163.79</v>
      </c>
      <c r="K2200">
        <v>5.4825867599182097</v>
      </c>
      <c r="L2200">
        <v>1158.8800000000001</v>
      </c>
      <c r="M2200" t="s">
        <v>27</v>
      </c>
      <c r="N2200">
        <v>1</v>
      </c>
      <c r="O2200">
        <v>1330</v>
      </c>
      <c r="P2200">
        <v>1157</v>
      </c>
      <c r="Q2200">
        <v>0</v>
      </c>
      <c r="R2200">
        <v>1157</v>
      </c>
    </row>
    <row r="2201" spans="1:18" x14ac:dyDescent="0.3">
      <c r="A2201" s="5">
        <v>45972</v>
      </c>
      <c r="B2201" t="s">
        <v>3204</v>
      </c>
      <c r="C2201">
        <v>6</v>
      </c>
      <c r="D2201">
        <v>36</v>
      </c>
      <c r="E2201" s="1">
        <v>1.9993055555555554</v>
      </c>
      <c r="F2201" t="s">
        <v>3202</v>
      </c>
      <c r="G2201">
        <v>4</v>
      </c>
      <c r="H2201">
        <v>1081.2527</v>
      </c>
      <c r="I2201">
        <v>7</v>
      </c>
      <c r="J2201">
        <v>1163.79</v>
      </c>
      <c r="K2201">
        <v>5.4825867599182097</v>
      </c>
      <c r="L2201">
        <v>1158.8800000000001</v>
      </c>
      <c r="M2201" t="s">
        <v>27</v>
      </c>
      <c r="N2201">
        <v>1</v>
      </c>
      <c r="O2201">
        <v>1330</v>
      </c>
      <c r="P2201">
        <v>1157</v>
      </c>
      <c r="Q2201">
        <v>0</v>
      </c>
      <c r="R2201">
        <v>1157</v>
      </c>
    </row>
    <row r="2202" spans="1:18" x14ac:dyDescent="0.3">
      <c r="A2202" s="5">
        <v>45972</v>
      </c>
      <c r="B2202" t="s">
        <v>3204</v>
      </c>
      <c r="C2202">
        <v>6</v>
      </c>
      <c r="D2202">
        <v>36</v>
      </c>
      <c r="E2202" s="1">
        <v>1.9993055555555554</v>
      </c>
      <c r="F2202" t="s">
        <v>3202</v>
      </c>
      <c r="G2202">
        <v>4</v>
      </c>
      <c r="H2202">
        <v>1081.2527</v>
      </c>
      <c r="I2202">
        <v>7</v>
      </c>
      <c r="J2202">
        <v>1163.79</v>
      </c>
      <c r="K2202">
        <v>5.4825867599182097</v>
      </c>
      <c r="L2202">
        <v>1158.8800000000001</v>
      </c>
      <c r="M2202" t="s">
        <v>27</v>
      </c>
      <c r="N2202">
        <v>1</v>
      </c>
      <c r="O2202">
        <v>1330</v>
      </c>
      <c r="P2202">
        <v>1157</v>
      </c>
      <c r="Q2202">
        <v>0</v>
      </c>
      <c r="R2202">
        <v>1157</v>
      </c>
    </row>
    <row r="2203" spans="1:18" x14ac:dyDescent="0.3">
      <c r="A2203" s="5">
        <v>45972</v>
      </c>
      <c r="B2203" t="s">
        <v>3205</v>
      </c>
      <c r="C2203">
        <v>7</v>
      </c>
      <c r="D2203">
        <v>36</v>
      </c>
      <c r="E2203" s="1">
        <v>1.25</v>
      </c>
      <c r="F2203" t="s">
        <v>3062</v>
      </c>
      <c r="G2203">
        <v>0</v>
      </c>
      <c r="H2203">
        <v>1081.4591</v>
      </c>
      <c r="I2203">
        <v>2.5</v>
      </c>
      <c r="J2203">
        <v>1163.79</v>
      </c>
      <c r="K2203">
        <v>1.9580666999707901</v>
      </c>
      <c r="L2203">
        <v>1158.8800000000001</v>
      </c>
      <c r="M2203" t="s">
        <v>27</v>
      </c>
      <c r="N2203">
        <v>1</v>
      </c>
      <c r="O2203">
        <v>1282</v>
      </c>
      <c r="P2203">
        <v>1108</v>
      </c>
      <c r="Q2203">
        <v>0</v>
      </c>
      <c r="R2203">
        <v>1108</v>
      </c>
    </row>
    <row r="2204" spans="1:18" x14ac:dyDescent="0.3">
      <c r="A2204" s="5">
        <v>45972</v>
      </c>
      <c r="B2204" t="s">
        <v>3206</v>
      </c>
      <c r="C2204">
        <v>21</v>
      </c>
      <c r="D2204">
        <v>36</v>
      </c>
      <c r="E2204" s="1">
        <v>1.9791666666666665</v>
      </c>
      <c r="F2204" t="s">
        <v>3207</v>
      </c>
      <c r="G2204">
        <v>5</v>
      </c>
      <c r="H2204">
        <v>1080.9829</v>
      </c>
      <c r="I2204">
        <v>0</v>
      </c>
      <c r="J2204">
        <v>1163.79</v>
      </c>
      <c r="K2204">
        <v>0</v>
      </c>
      <c r="L2204">
        <v>1158.8800000000001</v>
      </c>
      <c r="M2204" t="s">
        <v>27</v>
      </c>
      <c r="N2204">
        <v>1</v>
      </c>
      <c r="O2204">
        <v>1254</v>
      </c>
      <c r="P2204">
        <v>1081</v>
      </c>
      <c r="Q2204">
        <v>0</v>
      </c>
      <c r="R2204">
        <v>1081</v>
      </c>
    </row>
    <row r="2205" spans="1:18" x14ac:dyDescent="0.3">
      <c r="A2205" s="5">
        <v>45972</v>
      </c>
      <c r="B2205" t="s">
        <v>3208</v>
      </c>
      <c r="C2205">
        <v>21</v>
      </c>
      <c r="D2205">
        <v>36</v>
      </c>
      <c r="E2205" s="1">
        <v>1.9791666666666665</v>
      </c>
      <c r="F2205" t="s">
        <v>3209</v>
      </c>
      <c r="G2205">
        <v>4</v>
      </c>
      <c r="H2205">
        <v>1080.9780000000001</v>
      </c>
      <c r="I2205">
        <v>7</v>
      </c>
      <c r="J2205">
        <v>1163.79</v>
      </c>
      <c r="K2205">
        <v>5.4825867599182097</v>
      </c>
      <c r="L2205">
        <v>1158.8800000000001</v>
      </c>
      <c r="M2205" t="s">
        <v>27</v>
      </c>
      <c r="N2205">
        <v>1</v>
      </c>
      <c r="O2205">
        <v>1330</v>
      </c>
      <c r="P2205">
        <v>1157</v>
      </c>
      <c r="Q2205">
        <v>0</v>
      </c>
      <c r="R2205">
        <v>1157</v>
      </c>
    </row>
    <row r="2206" spans="1:18" x14ac:dyDescent="0.3">
      <c r="A2206" s="5">
        <v>45972</v>
      </c>
      <c r="B2206" t="s">
        <v>3208</v>
      </c>
      <c r="C2206">
        <v>21</v>
      </c>
      <c r="D2206">
        <v>36</v>
      </c>
      <c r="E2206" s="1">
        <v>1.9791666666666665</v>
      </c>
      <c r="F2206" t="s">
        <v>3209</v>
      </c>
      <c r="G2206">
        <v>4</v>
      </c>
      <c r="H2206">
        <v>1080.9780000000001</v>
      </c>
      <c r="I2206">
        <v>7</v>
      </c>
      <c r="J2206">
        <v>1163.79</v>
      </c>
      <c r="K2206">
        <v>5.4825867599182097</v>
      </c>
      <c r="L2206">
        <v>1158.8800000000001</v>
      </c>
      <c r="M2206" t="s">
        <v>27</v>
      </c>
      <c r="N2206">
        <v>1</v>
      </c>
      <c r="O2206">
        <v>1330</v>
      </c>
      <c r="P2206">
        <v>1157</v>
      </c>
      <c r="Q2206">
        <v>0</v>
      </c>
      <c r="R2206">
        <v>1157</v>
      </c>
    </row>
    <row r="2207" spans="1:18" x14ac:dyDescent="0.3">
      <c r="A2207" s="5">
        <v>45972</v>
      </c>
      <c r="B2207" t="s">
        <v>3210</v>
      </c>
      <c r="C2207">
        <v>18</v>
      </c>
      <c r="D2207">
        <v>36</v>
      </c>
      <c r="E2207" s="1">
        <v>1.9791666666666665</v>
      </c>
      <c r="F2207" t="s">
        <v>3209</v>
      </c>
      <c r="G2207">
        <v>4</v>
      </c>
      <c r="H2207">
        <v>1081.0322000000001</v>
      </c>
      <c r="I2207">
        <v>7</v>
      </c>
      <c r="J2207">
        <v>1163.79</v>
      </c>
      <c r="K2207">
        <v>5.4825867599182097</v>
      </c>
      <c r="L2207">
        <v>1158.8800000000001</v>
      </c>
      <c r="M2207" t="s">
        <v>27</v>
      </c>
      <c r="N2207">
        <v>1</v>
      </c>
      <c r="O2207">
        <v>1330</v>
      </c>
      <c r="P2207">
        <v>1157</v>
      </c>
      <c r="Q2207">
        <v>0</v>
      </c>
      <c r="R2207">
        <v>1157</v>
      </c>
    </row>
    <row r="2208" spans="1:18" x14ac:dyDescent="0.3">
      <c r="A2208" s="5">
        <v>45972</v>
      </c>
      <c r="B2208" t="s">
        <v>3210</v>
      </c>
      <c r="C2208">
        <v>18</v>
      </c>
      <c r="D2208">
        <v>36</v>
      </c>
      <c r="E2208" s="1">
        <v>1.9791666666666665</v>
      </c>
      <c r="F2208" t="s">
        <v>3209</v>
      </c>
      <c r="G2208">
        <v>4</v>
      </c>
      <c r="H2208">
        <v>1081.0322000000001</v>
      </c>
      <c r="I2208">
        <v>7</v>
      </c>
      <c r="J2208">
        <v>1163.79</v>
      </c>
      <c r="K2208">
        <v>5.4825867599182097</v>
      </c>
      <c r="L2208">
        <v>1158.8800000000001</v>
      </c>
      <c r="M2208" t="s">
        <v>27</v>
      </c>
      <c r="N2208">
        <v>1</v>
      </c>
      <c r="O2208">
        <v>1330</v>
      </c>
      <c r="P2208">
        <v>1157</v>
      </c>
      <c r="Q2208">
        <v>0</v>
      </c>
      <c r="R2208">
        <v>1157</v>
      </c>
    </row>
    <row r="2209" spans="1:18" x14ac:dyDescent="0.3">
      <c r="A2209" s="5">
        <v>45972</v>
      </c>
      <c r="B2209" t="s">
        <v>3211</v>
      </c>
      <c r="C2209">
        <v>17</v>
      </c>
      <c r="D2209">
        <v>36</v>
      </c>
      <c r="E2209" s="1">
        <v>1.9993055555555554</v>
      </c>
      <c r="F2209" t="s">
        <v>3212</v>
      </c>
      <c r="G2209">
        <v>1</v>
      </c>
      <c r="H2209">
        <v>1081.0443</v>
      </c>
      <c r="I2209">
        <v>8.5</v>
      </c>
      <c r="J2209">
        <v>1163.79</v>
      </c>
      <c r="K2209">
        <v>6.6574267799006801</v>
      </c>
      <c r="L2209">
        <v>1219.83</v>
      </c>
      <c r="M2209" t="s">
        <v>27</v>
      </c>
      <c r="N2209">
        <v>1</v>
      </c>
      <c r="O2209">
        <v>1346</v>
      </c>
      <c r="P2209">
        <v>1173</v>
      </c>
      <c r="Q2209">
        <v>0</v>
      </c>
      <c r="R2209">
        <v>1173</v>
      </c>
    </row>
    <row r="2210" spans="1:18" x14ac:dyDescent="0.3">
      <c r="A2210" s="5">
        <v>45972</v>
      </c>
      <c r="B2210" t="s">
        <v>3213</v>
      </c>
      <c r="C2210">
        <v>1</v>
      </c>
      <c r="D2210">
        <v>36</v>
      </c>
      <c r="E2210" s="1">
        <v>1.9993055555555554</v>
      </c>
      <c r="F2210" t="s">
        <v>3214</v>
      </c>
      <c r="G2210">
        <v>0</v>
      </c>
      <c r="H2210">
        <v>1081.3368</v>
      </c>
      <c r="I2210">
        <v>2.5</v>
      </c>
      <c r="J2210">
        <v>1163.79</v>
      </c>
      <c r="K2210">
        <v>1.9580666999707901</v>
      </c>
      <c r="L2210">
        <v>1158.8800000000001</v>
      </c>
      <c r="M2210" t="s">
        <v>27</v>
      </c>
      <c r="N2210">
        <v>1</v>
      </c>
      <c r="O2210">
        <v>1281</v>
      </c>
      <c r="P2210">
        <v>1108</v>
      </c>
      <c r="Q2210">
        <v>0</v>
      </c>
      <c r="R2210">
        <v>1108</v>
      </c>
    </row>
    <row r="2211" spans="1:18" x14ac:dyDescent="0.3">
      <c r="A2211" s="5">
        <v>45972</v>
      </c>
      <c r="B2211" t="s">
        <v>1591</v>
      </c>
      <c r="C2211">
        <v>22</v>
      </c>
      <c r="D2211">
        <v>36</v>
      </c>
      <c r="E2211" s="1">
        <v>1.9993055555555554</v>
      </c>
      <c r="F2211" t="s">
        <v>1592</v>
      </c>
      <c r="G2211">
        <v>5</v>
      </c>
      <c r="H2211">
        <v>1080.8315</v>
      </c>
      <c r="I2211">
        <v>0</v>
      </c>
      <c r="J2211">
        <v>1163.79</v>
      </c>
      <c r="K2211">
        <v>0</v>
      </c>
      <c r="L2211">
        <v>1158.8800000000001</v>
      </c>
      <c r="M2211" t="s">
        <v>27</v>
      </c>
      <c r="N2211">
        <v>1</v>
      </c>
      <c r="O2211">
        <v>1254</v>
      </c>
      <c r="P2211">
        <v>1081</v>
      </c>
      <c r="Q2211">
        <v>0</v>
      </c>
      <c r="R2211">
        <v>1081</v>
      </c>
    </row>
    <row r="2212" spans="1:18" x14ac:dyDescent="0.3">
      <c r="A2212" s="5">
        <v>45972</v>
      </c>
      <c r="B2212" t="s">
        <v>3215</v>
      </c>
      <c r="C2212">
        <v>36</v>
      </c>
      <c r="D2212">
        <v>36</v>
      </c>
      <c r="E2212" s="1">
        <v>1.9993055555555554</v>
      </c>
      <c r="F2212" t="s">
        <v>3216</v>
      </c>
      <c r="G2212">
        <v>4</v>
      </c>
      <c r="H2212">
        <v>1080.5800999999999</v>
      </c>
      <c r="I2212">
        <v>7</v>
      </c>
      <c r="J2212">
        <v>1163.79</v>
      </c>
      <c r="K2212">
        <v>5.4825867599182097</v>
      </c>
      <c r="L2212">
        <v>1158.8800000000001</v>
      </c>
      <c r="M2212" t="s">
        <v>27</v>
      </c>
      <c r="N2212">
        <v>1</v>
      </c>
      <c r="O2212">
        <v>1329</v>
      </c>
      <c r="P2212">
        <v>1156</v>
      </c>
      <c r="Q2212">
        <v>0</v>
      </c>
      <c r="R2212">
        <v>1156</v>
      </c>
    </row>
    <row r="2213" spans="1:18" x14ac:dyDescent="0.3">
      <c r="A2213" s="5">
        <v>45972</v>
      </c>
      <c r="B2213" t="s">
        <v>3217</v>
      </c>
      <c r="C2213">
        <v>26</v>
      </c>
      <c r="D2213">
        <v>36</v>
      </c>
      <c r="E2213" s="1">
        <v>1.9652777777777777</v>
      </c>
      <c r="F2213" t="s">
        <v>3218</v>
      </c>
      <c r="G2213">
        <v>5</v>
      </c>
      <c r="H2213">
        <v>1080.7596000000001</v>
      </c>
      <c r="I2213">
        <v>0</v>
      </c>
      <c r="J2213">
        <v>1163.79</v>
      </c>
      <c r="K2213">
        <v>0</v>
      </c>
      <c r="L2213">
        <v>1158.8800000000001</v>
      </c>
      <c r="M2213" t="s">
        <v>27</v>
      </c>
      <c r="N2213">
        <v>1</v>
      </c>
      <c r="O2213">
        <v>1254</v>
      </c>
      <c r="P2213">
        <v>1081</v>
      </c>
      <c r="Q2213">
        <v>0</v>
      </c>
      <c r="R2213">
        <v>1081</v>
      </c>
    </row>
    <row r="2214" spans="1:18" x14ac:dyDescent="0.3">
      <c r="A2214" s="5">
        <v>45972</v>
      </c>
      <c r="B2214" t="s">
        <v>3219</v>
      </c>
      <c r="C2214">
        <v>14</v>
      </c>
      <c r="D2214">
        <v>36</v>
      </c>
      <c r="E2214" s="1">
        <v>1.9652777777777777</v>
      </c>
      <c r="F2214" t="s">
        <v>3220</v>
      </c>
      <c r="G2214">
        <v>0</v>
      </c>
      <c r="H2214">
        <v>1081.1071999999999</v>
      </c>
      <c r="I2214">
        <v>2.5</v>
      </c>
      <c r="J2214">
        <v>1163.79</v>
      </c>
      <c r="K2214">
        <v>1.9580666999707901</v>
      </c>
      <c r="L2214">
        <v>1158.8800000000001</v>
      </c>
      <c r="M2214" t="s">
        <v>27</v>
      </c>
      <c r="N2214">
        <v>1</v>
      </c>
      <c r="O2214">
        <v>1281</v>
      </c>
      <c r="P2214">
        <v>1108</v>
      </c>
      <c r="Q2214">
        <v>0</v>
      </c>
      <c r="R2214">
        <v>1108</v>
      </c>
    </row>
    <row r="2215" spans="1:18" x14ac:dyDescent="0.3">
      <c r="A2215" s="5">
        <v>45972</v>
      </c>
      <c r="B2215" t="s">
        <v>3221</v>
      </c>
      <c r="C2215">
        <v>14</v>
      </c>
      <c r="D2215">
        <v>36</v>
      </c>
      <c r="E2215" s="1">
        <v>1.9993055555555554</v>
      </c>
      <c r="F2215" t="s">
        <v>3222</v>
      </c>
      <c r="G2215">
        <v>5</v>
      </c>
      <c r="H2215">
        <v>1081.1071999999999</v>
      </c>
      <c r="I2215">
        <v>0</v>
      </c>
      <c r="J2215">
        <v>1163.79</v>
      </c>
      <c r="K2215">
        <v>0</v>
      </c>
      <c r="L2215">
        <v>1158.8800000000001</v>
      </c>
      <c r="M2215" t="s">
        <v>27</v>
      </c>
      <c r="N2215">
        <v>1</v>
      </c>
      <c r="O2215">
        <v>1254</v>
      </c>
      <c r="P2215">
        <v>1081</v>
      </c>
      <c r="Q2215">
        <v>0</v>
      </c>
      <c r="R2215">
        <v>1081</v>
      </c>
    </row>
    <row r="2216" spans="1:18" x14ac:dyDescent="0.3">
      <c r="A2216" s="5">
        <v>45972</v>
      </c>
      <c r="B2216" t="s">
        <v>3221</v>
      </c>
      <c r="C2216">
        <v>14</v>
      </c>
      <c r="D2216">
        <v>36</v>
      </c>
      <c r="E2216" s="1">
        <v>1.9993055555555554</v>
      </c>
      <c r="F2216" t="s">
        <v>3222</v>
      </c>
      <c r="G2216">
        <v>5</v>
      </c>
      <c r="H2216">
        <v>1081.1071999999999</v>
      </c>
      <c r="I2216">
        <v>0</v>
      </c>
      <c r="J2216">
        <v>1163.79</v>
      </c>
      <c r="K2216">
        <v>0</v>
      </c>
      <c r="L2216">
        <v>1158.8800000000001</v>
      </c>
      <c r="M2216" t="s">
        <v>27</v>
      </c>
      <c r="N2216">
        <v>1</v>
      </c>
      <c r="O2216">
        <v>1254</v>
      </c>
      <c r="P2216">
        <v>1081</v>
      </c>
      <c r="Q2216">
        <v>0</v>
      </c>
      <c r="R2216">
        <v>1081</v>
      </c>
    </row>
    <row r="2217" spans="1:18" x14ac:dyDescent="0.3">
      <c r="A2217" s="5">
        <v>45972</v>
      </c>
      <c r="B2217" t="s">
        <v>3223</v>
      </c>
      <c r="C2217">
        <v>15</v>
      </c>
      <c r="D2217">
        <v>36</v>
      </c>
      <c r="E2217" s="1">
        <v>1.9993055555555554</v>
      </c>
      <c r="F2217" t="s">
        <v>3222</v>
      </c>
      <c r="G2217">
        <v>5</v>
      </c>
      <c r="H2217">
        <v>1081.0890999999999</v>
      </c>
      <c r="I2217">
        <v>0</v>
      </c>
      <c r="J2217">
        <v>1163.79</v>
      </c>
      <c r="K2217">
        <v>0</v>
      </c>
      <c r="L2217">
        <v>1158.8800000000001</v>
      </c>
      <c r="M2217" t="s">
        <v>27</v>
      </c>
      <c r="N2217">
        <v>1</v>
      </c>
      <c r="O2217">
        <v>1254</v>
      </c>
      <c r="P2217">
        <v>1081</v>
      </c>
      <c r="Q2217">
        <v>0</v>
      </c>
      <c r="R2217">
        <v>1081</v>
      </c>
    </row>
    <row r="2218" spans="1:18" x14ac:dyDescent="0.3">
      <c r="A2218" s="5">
        <v>45972</v>
      </c>
      <c r="B2218" t="s">
        <v>3223</v>
      </c>
      <c r="C2218">
        <v>15</v>
      </c>
      <c r="D2218">
        <v>36</v>
      </c>
      <c r="E2218" s="1">
        <v>1.9993055555555554</v>
      </c>
      <c r="F2218" t="s">
        <v>3222</v>
      </c>
      <c r="G2218">
        <v>5</v>
      </c>
      <c r="H2218">
        <v>1081.0890999999999</v>
      </c>
      <c r="I2218">
        <v>0</v>
      </c>
      <c r="J2218">
        <v>1163.79</v>
      </c>
      <c r="K2218">
        <v>0</v>
      </c>
      <c r="L2218">
        <v>1158.8800000000001</v>
      </c>
      <c r="M2218" t="s">
        <v>27</v>
      </c>
      <c r="N2218">
        <v>1</v>
      </c>
      <c r="O2218">
        <v>1254</v>
      </c>
      <c r="P2218">
        <v>1081</v>
      </c>
      <c r="Q2218">
        <v>0</v>
      </c>
      <c r="R2218">
        <v>1081</v>
      </c>
    </row>
    <row r="2219" spans="1:18" x14ac:dyDescent="0.3">
      <c r="A2219" s="5">
        <v>45972</v>
      </c>
      <c r="B2219" t="s">
        <v>1589</v>
      </c>
      <c r="C2219">
        <v>23</v>
      </c>
      <c r="D2219">
        <v>36</v>
      </c>
      <c r="E2219" s="1">
        <v>1.9993055555555554</v>
      </c>
      <c r="F2219" t="s">
        <v>1590</v>
      </c>
      <c r="G2219">
        <v>4</v>
      </c>
      <c r="H2219">
        <v>1080.8126</v>
      </c>
      <c r="I2219">
        <v>7</v>
      </c>
      <c r="J2219">
        <v>1163.79</v>
      </c>
      <c r="K2219">
        <v>5.4825867599182097</v>
      </c>
      <c r="L2219">
        <v>1158.8800000000001</v>
      </c>
      <c r="M2219" t="s">
        <v>27</v>
      </c>
      <c r="N2219">
        <v>1</v>
      </c>
      <c r="O2219">
        <v>1329</v>
      </c>
      <c r="P2219">
        <v>1156</v>
      </c>
      <c r="Q2219">
        <v>0</v>
      </c>
      <c r="R2219">
        <v>1156</v>
      </c>
    </row>
    <row r="2220" spans="1:18" x14ac:dyDescent="0.3">
      <c r="A2220" s="5">
        <v>45972</v>
      </c>
      <c r="B2220" t="s">
        <v>3224</v>
      </c>
      <c r="C2220">
        <v>35</v>
      </c>
      <c r="D2220">
        <v>36</v>
      </c>
      <c r="E2220" s="1">
        <v>1.9652777777777777</v>
      </c>
      <c r="F2220" t="s">
        <v>3225</v>
      </c>
      <c r="G2220">
        <v>2</v>
      </c>
      <c r="H2220">
        <v>1080.6017999999999</v>
      </c>
      <c r="I2220">
        <v>5</v>
      </c>
      <c r="J2220">
        <v>1163.79</v>
      </c>
      <c r="K2220">
        <v>3.9161333999415802</v>
      </c>
      <c r="L2220">
        <v>609.91</v>
      </c>
      <c r="M2220" t="s">
        <v>60</v>
      </c>
      <c r="N2220">
        <v>1</v>
      </c>
      <c r="O2220">
        <v>1308</v>
      </c>
      <c r="P2220">
        <v>1135</v>
      </c>
      <c r="Q2220">
        <v>0.5</v>
      </c>
      <c r="R2220">
        <v>567.5</v>
      </c>
    </row>
    <row r="2221" spans="1:18" x14ac:dyDescent="0.3">
      <c r="A2221" s="5">
        <v>45972</v>
      </c>
      <c r="B2221" t="s">
        <v>3226</v>
      </c>
      <c r="C2221">
        <v>13</v>
      </c>
      <c r="D2221">
        <v>36</v>
      </c>
      <c r="E2221" s="1">
        <v>1.0833333333333333</v>
      </c>
      <c r="F2221" t="s">
        <v>3227</v>
      </c>
      <c r="G2221">
        <v>0</v>
      </c>
      <c r="H2221">
        <v>1081.3516999999999</v>
      </c>
      <c r="I2221">
        <v>2.5</v>
      </c>
      <c r="J2221">
        <v>1163.79</v>
      </c>
      <c r="K2221">
        <v>1.9580666999707901</v>
      </c>
      <c r="L2221">
        <v>1158.8800000000001</v>
      </c>
      <c r="M2221" t="s">
        <v>27</v>
      </c>
      <c r="N2221">
        <v>1</v>
      </c>
      <c r="O2221">
        <v>1281</v>
      </c>
      <c r="P2221">
        <v>1108</v>
      </c>
      <c r="Q2221">
        <v>0</v>
      </c>
      <c r="R2221">
        <v>1108</v>
      </c>
    </row>
    <row r="2222" spans="1:18" x14ac:dyDescent="0.3">
      <c r="A2222" s="5">
        <v>45972</v>
      </c>
      <c r="B2222" t="s">
        <v>3228</v>
      </c>
      <c r="C2222">
        <v>18</v>
      </c>
      <c r="D2222">
        <v>36</v>
      </c>
      <c r="E2222" s="1">
        <v>1.9993055555555554</v>
      </c>
      <c r="F2222" t="s">
        <v>3229</v>
      </c>
      <c r="G2222">
        <v>5</v>
      </c>
      <c r="H2222">
        <v>1081.0353</v>
      </c>
      <c r="I2222">
        <v>0</v>
      </c>
      <c r="J2222">
        <v>1163.79</v>
      </c>
      <c r="K2222">
        <v>0</v>
      </c>
      <c r="L2222">
        <v>1158.8800000000001</v>
      </c>
      <c r="M2222" t="s">
        <v>27</v>
      </c>
      <c r="N2222">
        <v>1</v>
      </c>
      <c r="O2222">
        <v>1254</v>
      </c>
      <c r="P2222">
        <v>1081</v>
      </c>
      <c r="Q2222">
        <v>0</v>
      </c>
      <c r="R2222">
        <v>1081</v>
      </c>
    </row>
    <row r="2223" spans="1:18" x14ac:dyDescent="0.3">
      <c r="A2223" s="5">
        <v>45972</v>
      </c>
      <c r="B2223" t="s">
        <v>3230</v>
      </c>
      <c r="C2223">
        <v>36</v>
      </c>
      <c r="D2223">
        <v>36</v>
      </c>
      <c r="E2223" s="1">
        <v>1.25</v>
      </c>
      <c r="F2223" t="s">
        <v>3231</v>
      </c>
      <c r="G2223">
        <v>4</v>
      </c>
      <c r="H2223">
        <v>1080.8036999999999</v>
      </c>
      <c r="I2223">
        <v>7</v>
      </c>
      <c r="J2223">
        <v>1163.79</v>
      </c>
      <c r="K2223">
        <v>5.4825867599182097</v>
      </c>
      <c r="L2223">
        <v>1219.83</v>
      </c>
      <c r="M2223" t="s">
        <v>27</v>
      </c>
      <c r="N2223">
        <v>1</v>
      </c>
      <c r="O2223">
        <v>1329</v>
      </c>
      <c r="P2223">
        <v>1156</v>
      </c>
      <c r="Q2223">
        <v>0</v>
      </c>
      <c r="R2223">
        <v>1156</v>
      </c>
    </row>
    <row r="2224" spans="1:18" x14ac:dyDescent="0.3">
      <c r="A2224" s="5">
        <v>45972</v>
      </c>
      <c r="B2224" t="s">
        <v>3232</v>
      </c>
      <c r="C2224">
        <v>4</v>
      </c>
      <c r="D2224">
        <v>36</v>
      </c>
      <c r="E2224" s="1">
        <v>1.0833333333333333</v>
      </c>
      <c r="F2224" t="s">
        <v>3233</v>
      </c>
      <c r="G2224">
        <v>0</v>
      </c>
      <c r="H2224">
        <v>1081.3809000000001</v>
      </c>
      <c r="I2224">
        <v>2.5</v>
      </c>
      <c r="J2224">
        <v>1163.79</v>
      </c>
      <c r="K2224">
        <v>1.9580666999707901</v>
      </c>
      <c r="L2224">
        <v>1158.8800000000001</v>
      </c>
      <c r="M2224" t="s">
        <v>27</v>
      </c>
      <c r="N2224">
        <v>1</v>
      </c>
      <c r="O2224">
        <v>1281</v>
      </c>
      <c r="P2224">
        <v>1108</v>
      </c>
      <c r="Q2224">
        <v>0</v>
      </c>
      <c r="R2224">
        <v>1108</v>
      </c>
    </row>
    <row r="2225" spans="1:18" x14ac:dyDescent="0.3">
      <c r="A2225" s="5">
        <v>45972</v>
      </c>
      <c r="B2225" t="s">
        <v>3234</v>
      </c>
      <c r="C2225">
        <v>27</v>
      </c>
      <c r="D2225">
        <v>36</v>
      </c>
      <c r="E2225" s="1">
        <v>1.0833333333333333</v>
      </c>
      <c r="F2225" t="s">
        <v>3235</v>
      </c>
      <c r="G2225">
        <v>0</v>
      </c>
      <c r="H2225">
        <v>1080.9675</v>
      </c>
      <c r="I2225">
        <v>2.5</v>
      </c>
      <c r="J2225">
        <v>1163.79</v>
      </c>
      <c r="K2225">
        <v>1.9580666999707901</v>
      </c>
      <c r="L2225">
        <v>1158.8800000000001</v>
      </c>
      <c r="M2225" t="s">
        <v>27</v>
      </c>
      <c r="N2225">
        <v>1</v>
      </c>
      <c r="O2225">
        <v>1281</v>
      </c>
      <c r="P2225">
        <v>1108</v>
      </c>
      <c r="Q2225">
        <v>0</v>
      </c>
      <c r="R2225">
        <v>1108</v>
      </c>
    </row>
    <row r="2226" spans="1:18" x14ac:dyDescent="0.3">
      <c r="A2226" s="5">
        <v>45972</v>
      </c>
      <c r="B2226" t="s">
        <v>3234</v>
      </c>
      <c r="C2226">
        <v>27</v>
      </c>
      <c r="D2226">
        <v>36</v>
      </c>
      <c r="E2226" s="1">
        <v>1.0833333333333333</v>
      </c>
      <c r="F2226" t="s">
        <v>3235</v>
      </c>
      <c r="G2226">
        <v>0</v>
      </c>
      <c r="H2226">
        <v>1080.9675</v>
      </c>
      <c r="I2226">
        <v>2.5</v>
      </c>
      <c r="J2226">
        <v>1163.79</v>
      </c>
      <c r="K2226">
        <v>1.9580666999707901</v>
      </c>
      <c r="L2226">
        <v>1158.8800000000001</v>
      </c>
      <c r="M2226" t="s">
        <v>27</v>
      </c>
      <c r="N2226">
        <v>1</v>
      </c>
      <c r="O2226">
        <v>1281</v>
      </c>
      <c r="P2226">
        <v>1108</v>
      </c>
      <c r="Q2226">
        <v>0</v>
      </c>
      <c r="R2226">
        <v>1108</v>
      </c>
    </row>
    <row r="2227" spans="1:18" x14ac:dyDescent="0.3">
      <c r="A2227" s="5">
        <v>45972</v>
      </c>
      <c r="B2227" t="s">
        <v>3234</v>
      </c>
      <c r="C2227">
        <v>27</v>
      </c>
      <c r="D2227">
        <v>36</v>
      </c>
      <c r="E2227" s="1">
        <v>1.0833333333333333</v>
      </c>
      <c r="F2227" t="s">
        <v>3235</v>
      </c>
      <c r="G2227">
        <v>0</v>
      </c>
      <c r="H2227">
        <v>1080.9675</v>
      </c>
      <c r="I2227">
        <v>2.5</v>
      </c>
      <c r="J2227">
        <v>1163.79</v>
      </c>
      <c r="K2227">
        <v>1.9580666999707901</v>
      </c>
      <c r="L2227">
        <v>1158.8800000000001</v>
      </c>
      <c r="M2227" t="s">
        <v>27</v>
      </c>
      <c r="N2227">
        <v>1</v>
      </c>
      <c r="O2227">
        <v>1281</v>
      </c>
      <c r="P2227">
        <v>1108</v>
      </c>
      <c r="Q2227">
        <v>0</v>
      </c>
      <c r="R2227">
        <v>1108</v>
      </c>
    </row>
    <row r="2228" spans="1:18" x14ac:dyDescent="0.3">
      <c r="A2228" s="5">
        <v>45972</v>
      </c>
      <c r="B2228" t="s">
        <v>3236</v>
      </c>
      <c r="C2228">
        <v>25</v>
      </c>
      <c r="D2228">
        <v>36</v>
      </c>
      <c r="E2228" s="1">
        <v>1.0833333333333333</v>
      </c>
      <c r="F2228" t="s">
        <v>3235</v>
      </c>
      <c r="G2228">
        <v>0</v>
      </c>
      <c r="H2228">
        <v>1081.0033000000001</v>
      </c>
      <c r="I2228">
        <v>2.5</v>
      </c>
      <c r="J2228">
        <v>1163.79</v>
      </c>
      <c r="K2228">
        <v>1.9580666999707901</v>
      </c>
      <c r="L2228">
        <v>1158.8800000000001</v>
      </c>
      <c r="M2228" t="s">
        <v>27</v>
      </c>
      <c r="N2228">
        <v>1</v>
      </c>
      <c r="O2228">
        <v>1281</v>
      </c>
      <c r="P2228">
        <v>1108</v>
      </c>
      <c r="Q2228">
        <v>0</v>
      </c>
      <c r="R2228">
        <v>1108</v>
      </c>
    </row>
    <row r="2229" spans="1:18" x14ac:dyDescent="0.3">
      <c r="A2229" s="5">
        <v>45972</v>
      </c>
      <c r="B2229" t="s">
        <v>3236</v>
      </c>
      <c r="C2229">
        <v>25</v>
      </c>
      <c r="D2229">
        <v>36</v>
      </c>
      <c r="E2229" s="1">
        <v>1.0833333333333333</v>
      </c>
      <c r="F2229" t="s">
        <v>3235</v>
      </c>
      <c r="G2229">
        <v>0</v>
      </c>
      <c r="H2229">
        <v>1081.0033000000001</v>
      </c>
      <c r="I2229">
        <v>2.5</v>
      </c>
      <c r="J2229">
        <v>1163.79</v>
      </c>
      <c r="K2229">
        <v>1.9580666999707901</v>
      </c>
      <c r="L2229">
        <v>1158.8800000000001</v>
      </c>
      <c r="M2229" t="s">
        <v>27</v>
      </c>
      <c r="N2229">
        <v>1</v>
      </c>
      <c r="O2229">
        <v>1281</v>
      </c>
      <c r="P2229">
        <v>1108</v>
      </c>
      <c r="Q2229">
        <v>0</v>
      </c>
      <c r="R2229">
        <v>1108</v>
      </c>
    </row>
    <row r="2230" spans="1:18" x14ac:dyDescent="0.3">
      <c r="A2230" s="5">
        <v>45972</v>
      </c>
      <c r="B2230" t="s">
        <v>3236</v>
      </c>
      <c r="C2230">
        <v>25</v>
      </c>
      <c r="D2230">
        <v>36</v>
      </c>
      <c r="E2230" s="1">
        <v>1.0833333333333333</v>
      </c>
      <c r="F2230" t="s">
        <v>3235</v>
      </c>
      <c r="G2230">
        <v>0</v>
      </c>
      <c r="H2230">
        <v>1081.0033000000001</v>
      </c>
      <c r="I2230">
        <v>2.5</v>
      </c>
      <c r="J2230">
        <v>1163.79</v>
      </c>
      <c r="K2230">
        <v>1.9580666999707901</v>
      </c>
      <c r="L2230">
        <v>1158.8800000000001</v>
      </c>
      <c r="M2230" t="s">
        <v>27</v>
      </c>
      <c r="N2230">
        <v>1</v>
      </c>
      <c r="O2230">
        <v>1281</v>
      </c>
      <c r="P2230">
        <v>1108</v>
      </c>
      <c r="Q2230">
        <v>0</v>
      </c>
      <c r="R2230">
        <v>1108</v>
      </c>
    </row>
    <row r="2231" spans="1:18" x14ac:dyDescent="0.3">
      <c r="A2231" s="5">
        <v>45972</v>
      </c>
      <c r="B2231" t="s">
        <v>3237</v>
      </c>
      <c r="C2231">
        <v>26</v>
      </c>
      <c r="D2231">
        <v>36</v>
      </c>
      <c r="E2231" s="1">
        <v>1.0833333333333333</v>
      </c>
      <c r="F2231" t="s">
        <v>3235</v>
      </c>
      <c r="G2231">
        <v>0</v>
      </c>
      <c r="H2231">
        <v>1080.9855</v>
      </c>
      <c r="I2231">
        <v>2.5</v>
      </c>
      <c r="J2231">
        <v>1163.79</v>
      </c>
      <c r="K2231">
        <v>1.9580666999707901</v>
      </c>
      <c r="L2231">
        <v>609.91</v>
      </c>
      <c r="M2231" t="s">
        <v>20</v>
      </c>
      <c r="N2231">
        <v>1</v>
      </c>
      <c r="O2231">
        <v>1281</v>
      </c>
      <c r="P2231">
        <v>1108</v>
      </c>
      <c r="Q2231">
        <v>0.5</v>
      </c>
      <c r="R2231">
        <v>554</v>
      </c>
    </row>
    <row r="2232" spans="1:18" x14ac:dyDescent="0.3">
      <c r="A2232" s="5">
        <v>45972</v>
      </c>
      <c r="B2232" t="s">
        <v>3237</v>
      </c>
      <c r="C2232">
        <v>26</v>
      </c>
      <c r="D2232">
        <v>36</v>
      </c>
      <c r="E2232" s="1">
        <v>1.0833333333333333</v>
      </c>
      <c r="F2232" t="s">
        <v>3235</v>
      </c>
      <c r="G2232">
        <v>0</v>
      </c>
      <c r="H2232">
        <v>1080.9855</v>
      </c>
      <c r="I2232">
        <v>2.5</v>
      </c>
      <c r="J2232">
        <v>1163.79</v>
      </c>
      <c r="K2232">
        <v>1.9580666999707901</v>
      </c>
      <c r="L2232">
        <v>609.91</v>
      </c>
      <c r="M2232" t="s">
        <v>20</v>
      </c>
      <c r="N2232">
        <v>1</v>
      </c>
      <c r="O2232">
        <v>1281</v>
      </c>
      <c r="P2232">
        <v>1108</v>
      </c>
      <c r="Q2232">
        <v>0.5</v>
      </c>
      <c r="R2232">
        <v>554</v>
      </c>
    </row>
    <row r="2233" spans="1:18" x14ac:dyDescent="0.3">
      <c r="A2233" s="5">
        <v>45972</v>
      </c>
      <c r="B2233" t="s">
        <v>3237</v>
      </c>
      <c r="C2233">
        <v>26</v>
      </c>
      <c r="D2233">
        <v>36</v>
      </c>
      <c r="E2233" s="1">
        <v>1.0833333333333333</v>
      </c>
      <c r="F2233" t="s">
        <v>3235</v>
      </c>
      <c r="G2233">
        <v>0</v>
      </c>
      <c r="H2233">
        <v>1080.9855</v>
      </c>
      <c r="I2233">
        <v>2.5</v>
      </c>
      <c r="J2233">
        <v>1163.79</v>
      </c>
      <c r="K2233">
        <v>1.9580666999707901</v>
      </c>
      <c r="L2233">
        <v>609.91</v>
      </c>
      <c r="M2233" t="s">
        <v>20</v>
      </c>
      <c r="N2233">
        <v>1</v>
      </c>
      <c r="O2233">
        <v>1281</v>
      </c>
      <c r="P2233">
        <v>1108</v>
      </c>
      <c r="Q2233">
        <v>0.5</v>
      </c>
      <c r="R2233">
        <v>554</v>
      </c>
    </row>
    <row r="2234" spans="1:18" x14ac:dyDescent="0.3">
      <c r="A2234" s="5">
        <v>45972</v>
      </c>
      <c r="B2234" t="s">
        <v>3238</v>
      </c>
      <c r="C2234">
        <v>7</v>
      </c>
      <c r="D2234">
        <v>36</v>
      </c>
      <c r="E2234" s="1">
        <v>1.4583333333333333</v>
      </c>
      <c r="F2234" t="s">
        <v>3239</v>
      </c>
      <c r="G2234">
        <v>0</v>
      </c>
      <c r="H2234">
        <v>1081.4550999999999</v>
      </c>
      <c r="I2234">
        <v>2.5</v>
      </c>
      <c r="J2234">
        <v>1163.79</v>
      </c>
      <c r="K2234">
        <v>1.9580666999707901</v>
      </c>
      <c r="L2234">
        <v>1158.8800000000001</v>
      </c>
      <c r="M2234" t="s">
        <v>27</v>
      </c>
      <c r="N2234">
        <v>1</v>
      </c>
      <c r="O2234">
        <v>1282</v>
      </c>
      <c r="P2234">
        <v>1108</v>
      </c>
      <c r="Q2234">
        <v>0</v>
      </c>
      <c r="R2234">
        <v>1108</v>
      </c>
    </row>
    <row r="2235" spans="1:18" x14ac:dyDescent="0.3">
      <c r="A2235" s="5">
        <v>45972</v>
      </c>
      <c r="B2235" t="s">
        <v>3240</v>
      </c>
      <c r="C2235">
        <v>25</v>
      </c>
      <c r="D2235">
        <v>36</v>
      </c>
      <c r="E2235" s="1">
        <v>1.9993055555555554</v>
      </c>
      <c r="F2235" t="s">
        <v>3241</v>
      </c>
      <c r="G2235">
        <v>5</v>
      </c>
      <c r="H2235">
        <v>1080.777</v>
      </c>
      <c r="I2235">
        <v>0</v>
      </c>
      <c r="J2235">
        <v>1163.79</v>
      </c>
      <c r="K2235">
        <v>0</v>
      </c>
      <c r="L2235">
        <v>1158.8800000000001</v>
      </c>
      <c r="M2235" t="s">
        <v>27</v>
      </c>
      <c r="N2235">
        <v>1</v>
      </c>
      <c r="O2235">
        <v>1254</v>
      </c>
      <c r="P2235">
        <v>1081</v>
      </c>
      <c r="Q2235">
        <v>0</v>
      </c>
      <c r="R2235">
        <v>1081</v>
      </c>
    </row>
    <row r="2236" spans="1:18" x14ac:dyDescent="0.3">
      <c r="A2236" s="5">
        <v>45972</v>
      </c>
      <c r="B2236" t="s">
        <v>3242</v>
      </c>
      <c r="C2236">
        <v>30</v>
      </c>
      <c r="D2236">
        <v>36</v>
      </c>
      <c r="E2236" s="1">
        <v>1.9791666666666665</v>
      </c>
      <c r="F2236" t="s">
        <v>3243</v>
      </c>
      <c r="G2236">
        <v>4</v>
      </c>
      <c r="H2236">
        <v>1080.6864</v>
      </c>
      <c r="I2236">
        <v>7</v>
      </c>
      <c r="J2236">
        <v>1163.79</v>
      </c>
      <c r="K2236">
        <v>5.4825867599182097</v>
      </c>
      <c r="L2236">
        <v>1219.83</v>
      </c>
      <c r="M2236" t="s">
        <v>27</v>
      </c>
      <c r="N2236">
        <v>1</v>
      </c>
      <c r="O2236">
        <v>1329</v>
      </c>
      <c r="P2236">
        <v>1156</v>
      </c>
      <c r="Q2236">
        <v>0</v>
      </c>
      <c r="R2236">
        <v>1156</v>
      </c>
    </row>
    <row r="2237" spans="1:18" x14ac:dyDescent="0.3">
      <c r="A2237" s="5">
        <v>45972</v>
      </c>
      <c r="B2237" t="s">
        <v>3244</v>
      </c>
      <c r="C2237">
        <v>35</v>
      </c>
      <c r="D2237">
        <v>36</v>
      </c>
      <c r="E2237" s="1">
        <v>1.0833333333333333</v>
      </c>
      <c r="F2237" t="s">
        <v>3245</v>
      </c>
      <c r="G2237">
        <v>0</v>
      </c>
      <c r="H2237">
        <v>1080.8230000000001</v>
      </c>
      <c r="I2237">
        <v>2.5</v>
      </c>
      <c r="J2237">
        <v>1163.79</v>
      </c>
      <c r="K2237">
        <v>1.9580666999707901</v>
      </c>
      <c r="L2237">
        <v>1158.8800000000001</v>
      </c>
      <c r="M2237" t="s">
        <v>27</v>
      </c>
      <c r="N2237">
        <v>1</v>
      </c>
      <c r="O2237">
        <v>1281</v>
      </c>
      <c r="P2237">
        <v>1108</v>
      </c>
      <c r="Q2237">
        <v>0</v>
      </c>
      <c r="R2237">
        <v>1108</v>
      </c>
    </row>
    <row r="2238" spans="1:18" x14ac:dyDescent="0.3">
      <c r="A2238" s="5">
        <v>45972</v>
      </c>
      <c r="B2238" t="s">
        <v>3246</v>
      </c>
      <c r="C2238">
        <v>4</v>
      </c>
      <c r="D2238">
        <v>36</v>
      </c>
      <c r="E2238" s="1">
        <v>1.9791666666666665</v>
      </c>
      <c r="F2238" t="s">
        <v>3247</v>
      </c>
      <c r="G2238">
        <v>5</v>
      </c>
      <c r="H2238">
        <v>1081.1536000000001</v>
      </c>
      <c r="I2238">
        <v>0</v>
      </c>
      <c r="J2238">
        <v>1163.79</v>
      </c>
      <c r="K2238">
        <v>0</v>
      </c>
      <c r="L2238">
        <v>1158.8800000000001</v>
      </c>
      <c r="M2238" t="s">
        <v>27</v>
      </c>
      <c r="N2238">
        <v>1</v>
      </c>
      <c r="O2238">
        <v>1254</v>
      </c>
      <c r="P2238">
        <v>1081</v>
      </c>
      <c r="Q2238">
        <v>0</v>
      </c>
      <c r="R2238">
        <v>1081</v>
      </c>
    </row>
    <row r="2239" spans="1:18" x14ac:dyDescent="0.3">
      <c r="A2239" s="5">
        <v>45972</v>
      </c>
      <c r="B2239" t="s">
        <v>3248</v>
      </c>
      <c r="C2239">
        <v>2</v>
      </c>
      <c r="D2239">
        <v>36</v>
      </c>
      <c r="E2239" s="1">
        <v>1.9791666666666665</v>
      </c>
      <c r="F2239" t="s">
        <v>3249</v>
      </c>
      <c r="G2239">
        <v>2</v>
      </c>
      <c r="H2239">
        <v>1080.6115</v>
      </c>
      <c r="I2239">
        <v>5</v>
      </c>
      <c r="J2239">
        <v>1163.79</v>
      </c>
      <c r="K2239">
        <v>3.9161333999415802</v>
      </c>
      <c r="L2239">
        <v>609.91</v>
      </c>
      <c r="M2239" t="s">
        <v>60</v>
      </c>
      <c r="N2239">
        <v>1</v>
      </c>
      <c r="O2239">
        <v>1308</v>
      </c>
      <c r="P2239">
        <v>1135</v>
      </c>
      <c r="Q2239">
        <v>0.5</v>
      </c>
      <c r="R2239">
        <v>567.5</v>
      </c>
    </row>
    <row r="2240" spans="1:18" x14ac:dyDescent="0.3">
      <c r="A2240" s="5">
        <v>45972</v>
      </c>
      <c r="B2240" t="s">
        <v>3250</v>
      </c>
      <c r="C2240">
        <v>3</v>
      </c>
      <c r="D2240">
        <v>36</v>
      </c>
      <c r="E2240" s="1">
        <v>1.9791666666666665</v>
      </c>
      <c r="F2240" t="s">
        <v>3251</v>
      </c>
      <c r="G2240">
        <v>2</v>
      </c>
      <c r="H2240">
        <v>1080.5934999999999</v>
      </c>
      <c r="I2240">
        <v>5</v>
      </c>
      <c r="J2240">
        <v>1163.79</v>
      </c>
      <c r="K2240">
        <v>3.9161333999415802</v>
      </c>
      <c r="L2240">
        <v>609.91</v>
      </c>
      <c r="M2240" t="s">
        <v>60</v>
      </c>
      <c r="N2240">
        <v>1</v>
      </c>
      <c r="O2240">
        <v>1308</v>
      </c>
      <c r="P2240">
        <v>1135</v>
      </c>
      <c r="Q2240">
        <v>0.5</v>
      </c>
      <c r="R2240">
        <v>567.5</v>
      </c>
    </row>
    <row r="2241" spans="1:18" x14ac:dyDescent="0.3">
      <c r="A2241" s="5">
        <v>45972</v>
      </c>
      <c r="B2241" t="s">
        <v>3252</v>
      </c>
      <c r="C2241">
        <v>33</v>
      </c>
      <c r="D2241">
        <v>36</v>
      </c>
      <c r="E2241" s="1">
        <v>1.9791666666666665</v>
      </c>
      <c r="F2241" t="s">
        <v>3253</v>
      </c>
      <c r="G2241">
        <v>4</v>
      </c>
      <c r="H2241">
        <v>1080.6321</v>
      </c>
      <c r="I2241">
        <v>7</v>
      </c>
      <c r="J2241">
        <v>1163.79</v>
      </c>
      <c r="K2241">
        <v>5.4825867599182097</v>
      </c>
      <c r="L2241">
        <v>1219.83</v>
      </c>
      <c r="M2241" t="s">
        <v>27</v>
      </c>
      <c r="N2241">
        <v>1</v>
      </c>
      <c r="O2241">
        <v>1329</v>
      </c>
      <c r="P2241">
        <v>1156</v>
      </c>
      <c r="Q2241">
        <v>0</v>
      </c>
      <c r="R2241">
        <v>1156</v>
      </c>
    </row>
    <row r="2242" spans="1:18" x14ac:dyDescent="0.3">
      <c r="A2242" s="5">
        <v>45972</v>
      </c>
      <c r="B2242" t="s">
        <v>3252</v>
      </c>
      <c r="C2242">
        <v>33</v>
      </c>
      <c r="D2242">
        <v>36</v>
      </c>
      <c r="E2242" s="1">
        <v>1.9791666666666665</v>
      </c>
      <c r="F2242" t="s">
        <v>3253</v>
      </c>
      <c r="G2242">
        <v>4</v>
      </c>
      <c r="H2242">
        <v>1080.6321</v>
      </c>
      <c r="I2242">
        <v>7</v>
      </c>
      <c r="J2242">
        <v>1163.79</v>
      </c>
      <c r="K2242">
        <v>5.4825867599182097</v>
      </c>
      <c r="L2242">
        <v>1219.83</v>
      </c>
      <c r="M2242" t="s">
        <v>27</v>
      </c>
      <c r="N2242">
        <v>1</v>
      </c>
      <c r="O2242">
        <v>1329</v>
      </c>
      <c r="P2242">
        <v>1156</v>
      </c>
      <c r="Q2242">
        <v>0</v>
      </c>
      <c r="R2242">
        <v>1156</v>
      </c>
    </row>
    <row r="2243" spans="1:18" x14ac:dyDescent="0.3">
      <c r="A2243" s="5">
        <v>45972</v>
      </c>
      <c r="B2243" t="s">
        <v>3254</v>
      </c>
      <c r="C2243">
        <v>34</v>
      </c>
      <c r="D2243">
        <v>36</v>
      </c>
      <c r="E2243" s="1">
        <v>1.9791666666666665</v>
      </c>
      <c r="F2243" t="s">
        <v>3253</v>
      </c>
      <c r="G2243">
        <v>4</v>
      </c>
      <c r="H2243">
        <v>1080.6143</v>
      </c>
      <c r="I2243">
        <v>7</v>
      </c>
      <c r="J2243">
        <v>1163.79</v>
      </c>
      <c r="K2243">
        <v>5.4825867599182097</v>
      </c>
      <c r="L2243">
        <v>1219.83</v>
      </c>
      <c r="M2243" t="s">
        <v>27</v>
      </c>
      <c r="N2243">
        <v>1</v>
      </c>
      <c r="O2243">
        <v>1329</v>
      </c>
      <c r="P2243">
        <v>1156</v>
      </c>
      <c r="Q2243">
        <v>0</v>
      </c>
      <c r="R2243">
        <v>1156</v>
      </c>
    </row>
    <row r="2244" spans="1:18" x14ac:dyDescent="0.3">
      <c r="A2244" s="5">
        <v>45972</v>
      </c>
      <c r="B2244" t="s">
        <v>3254</v>
      </c>
      <c r="C2244">
        <v>34</v>
      </c>
      <c r="D2244">
        <v>36</v>
      </c>
      <c r="E2244" s="1">
        <v>1.9791666666666665</v>
      </c>
      <c r="F2244" t="s">
        <v>3253</v>
      </c>
      <c r="G2244">
        <v>4</v>
      </c>
      <c r="H2244">
        <v>1080.6143</v>
      </c>
      <c r="I2244">
        <v>7</v>
      </c>
      <c r="J2244">
        <v>1163.79</v>
      </c>
      <c r="K2244">
        <v>5.4825867599182097</v>
      </c>
      <c r="L2244">
        <v>1219.83</v>
      </c>
      <c r="M2244" t="s">
        <v>27</v>
      </c>
      <c r="N2244">
        <v>1</v>
      </c>
      <c r="O2244">
        <v>1329</v>
      </c>
      <c r="P2244">
        <v>1156</v>
      </c>
      <c r="Q2244">
        <v>0</v>
      </c>
      <c r="R2244">
        <v>1156</v>
      </c>
    </row>
    <row r="2245" spans="1:18" x14ac:dyDescent="0.3">
      <c r="A2245" s="5">
        <v>45972</v>
      </c>
      <c r="B2245" t="s">
        <v>3255</v>
      </c>
      <c r="C2245">
        <v>27</v>
      </c>
      <c r="D2245">
        <v>36</v>
      </c>
      <c r="E2245" s="1">
        <v>1.9993055555555554</v>
      </c>
      <c r="F2245" t="s">
        <v>3256</v>
      </c>
      <c r="G2245">
        <v>1</v>
      </c>
      <c r="H2245">
        <v>1080.7401</v>
      </c>
      <c r="I2245">
        <v>8.5</v>
      </c>
      <c r="J2245">
        <v>1163.79</v>
      </c>
      <c r="K2245">
        <v>6.6574267799006801</v>
      </c>
      <c r="L2245">
        <v>1219.83</v>
      </c>
      <c r="M2245" t="s">
        <v>27</v>
      </c>
      <c r="N2245">
        <v>1</v>
      </c>
      <c r="O2245">
        <v>1346</v>
      </c>
      <c r="P2245">
        <v>1173</v>
      </c>
      <c r="Q2245">
        <v>0</v>
      </c>
      <c r="R2245">
        <v>1173</v>
      </c>
    </row>
    <row r="2246" spans="1:18" x14ac:dyDescent="0.3">
      <c r="A2246" s="5">
        <v>45972</v>
      </c>
      <c r="B2246" t="s">
        <v>3257</v>
      </c>
      <c r="C2246">
        <v>32</v>
      </c>
      <c r="D2246">
        <v>36</v>
      </c>
      <c r="E2246" s="1">
        <v>1.0833333333333333</v>
      </c>
      <c r="F2246" t="s">
        <v>3258</v>
      </c>
      <c r="G2246">
        <v>4</v>
      </c>
      <c r="H2246">
        <v>1080.8761</v>
      </c>
      <c r="I2246">
        <v>7</v>
      </c>
      <c r="J2246">
        <v>1163.79</v>
      </c>
      <c r="K2246">
        <v>5.4825867599182097</v>
      </c>
      <c r="L2246">
        <v>1158.8800000000001</v>
      </c>
      <c r="M2246" t="s">
        <v>27</v>
      </c>
      <c r="N2246">
        <v>1</v>
      </c>
      <c r="O2246">
        <v>1329</v>
      </c>
      <c r="P2246">
        <v>1157</v>
      </c>
      <c r="Q2246">
        <v>0</v>
      </c>
      <c r="R2246">
        <v>1157</v>
      </c>
    </row>
    <row r="2247" spans="1:18" x14ac:dyDescent="0.3">
      <c r="A2247" s="5">
        <v>45972</v>
      </c>
      <c r="B2247" t="s">
        <v>3257</v>
      </c>
      <c r="C2247">
        <v>32</v>
      </c>
      <c r="D2247">
        <v>36</v>
      </c>
      <c r="E2247" s="1">
        <v>1.0833333333333333</v>
      </c>
      <c r="F2247" t="s">
        <v>3258</v>
      </c>
      <c r="G2247">
        <v>4</v>
      </c>
      <c r="H2247">
        <v>1080.8761</v>
      </c>
      <c r="I2247">
        <v>7</v>
      </c>
      <c r="J2247">
        <v>1163.79</v>
      </c>
      <c r="K2247">
        <v>5.4825867599182097</v>
      </c>
      <c r="L2247">
        <v>1158.8800000000001</v>
      </c>
      <c r="M2247" t="s">
        <v>27</v>
      </c>
      <c r="N2247">
        <v>1</v>
      </c>
      <c r="O2247">
        <v>1329</v>
      </c>
      <c r="P2247">
        <v>1157</v>
      </c>
      <c r="Q2247">
        <v>0</v>
      </c>
      <c r="R2247">
        <v>1157</v>
      </c>
    </row>
    <row r="2248" spans="1:18" x14ac:dyDescent="0.3">
      <c r="A2248" s="5">
        <v>45972</v>
      </c>
      <c r="B2248" t="s">
        <v>3257</v>
      </c>
      <c r="C2248">
        <v>32</v>
      </c>
      <c r="D2248">
        <v>36</v>
      </c>
      <c r="E2248" s="1">
        <v>1.0833333333333333</v>
      </c>
      <c r="F2248" t="s">
        <v>3258</v>
      </c>
      <c r="G2248">
        <v>4</v>
      </c>
      <c r="H2248">
        <v>1080.8761</v>
      </c>
      <c r="I2248">
        <v>7</v>
      </c>
      <c r="J2248">
        <v>1163.79</v>
      </c>
      <c r="K2248">
        <v>5.4825867599182097</v>
      </c>
      <c r="L2248">
        <v>1158.8800000000001</v>
      </c>
      <c r="M2248" t="s">
        <v>27</v>
      </c>
      <c r="N2248">
        <v>1</v>
      </c>
      <c r="O2248">
        <v>1329</v>
      </c>
      <c r="P2248">
        <v>1157</v>
      </c>
      <c r="Q2248">
        <v>0</v>
      </c>
      <c r="R2248">
        <v>1157</v>
      </c>
    </row>
    <row r="2249" spans="1:18" x14ac:dyDescent="0.3">
      <c r="A2249" s="5">
        <v>45972</v>
      </c>
      <c r="B2249" t="s">
        <v>3259</v>
      </c>
      <c r="C2249">
        <v>33</v>
      </c>
      <c r="D2249">
        <v>36</v>
      </c>
      <c r="E2249" s="1">
        <v>1.0833333333333333</v>
      </c>
      <c r="F2249" t="s">
        <v>3258</v>
      </c>
      <c r="G2249">
        <v>4</v>
      </c>
      <c r="H2249">
        <v>1080.8579999999999</v>
      </c>
      <c r="I2249">
        <v>7</v>
      </c>
      <c r="J2249">
        <v>1163.79</v>
      </c>
      <c r="K2249">
        <v>5.4825867599182097</v>
      </c>
      <c r="L2249">
        <v>1158.8800000000001</v>
      </c>
      <c r="M2249" t="s">
        <v>27</v>
      </c>
      <c r="N2249">
        <v>1</v>
      </c>
      <c r="O2249">
        <v>1329</v>
      </c>
      <c r="P2249">
        <v>1157</v>
      </c>
      <c r="Q2249">
        <v>0</v>
      </c>
      <c r="R2249">
        <v>1157</v>
      </c>
    </row>
    <row r="2250" spans="1:18" x14ac:dyDescent="0.3">
      <c r="A2250" s="5">
        <v>45972</v>
      </c>
      <c r="B2250" t="s">
        <v>3259</v>
      </c>
      <c r="C2250">
        <v>33</v>
      </c>
      <c r="D2250">
        <v>36</v>
      </c>
      <c r="E2250" s="1">
        <v>1.0833333333333333</v>
      </c>
      <c r="F2250" t="s">
        <v>3258</v>
      </c>
      <c r="G2250">
        <v>4</v>
      </c>
      <c r="H2250">
        <v>1080.8579999999999</v>
      </c>
      <c r="I2250">
        <v>7</v>
      </c>
      <c r="J2250">
        <v>1163.79</v>
      </c>
      <c r="K2250">
        <v>5.4825867599182097</v>
      </c>
      <c r="L2250">
        <v>1158.8800000000001</v>
      </c>
      <c r="M2250" t="s">
        <v>27</v>
      </c>
      <c r="N2250">
        <v>1</v>
      </c>
      <c r="O2250">
        <v>1329</v>
      </c>
      <c r="P2250">
        <v>1157</v>
      </c>
      <c r="Q2250">
        <v>0</v>
      </c>
      <c r="R2250">
        <v>1157</v>
      </c>
    </row>
    <row r="2251" spans="1:18" x14ac:dyDescent="0.3">
      <c r="A2251" s="5">
        <v>45972</v>
      </c>
      <c r="B2251" t="s">
        <v>3259</v>
      </c>
      <c r="C2251">
        <v>33</v>
      </c>
      <c r="D2251">
        <v>36</v>
      </c>
      <c r="E2251" s="1">
        <v>1.0833333333333333</v>
      </c>
      <c r="F2251" t="s">
        <v>3258</v>
      </c>
      <c r="G2251">
        <v>4</v>
      </c>
      <c r="H2251">
        <v>1080.8579999999999</v>
      </c>
      <c r="I2251">
        <v>7</v>
      </c>
      <c r="J2251">
        <v>1163.79</v>
      </c>
      <c r="K2251">
        <v>5.4825867599182097</v>
      </c>
      <c r="L2251">
        <v>1158.8800000000001</v>
      </c>
      <c r="M2251" t="s">
        <v>27</v>
      </c>
      <c r="N2251">
        <v>1</v>
      </c>
      <c r="O2251">
        <v>1329</v>
      </c>
      <c r="P2251">
        <v>1157</v>
      </c>
      <c r="Q2251">
        <v>0</v>
      </c>
      <c r="R2251">
        <v>1157</v>
      </c>
    </row>
    <row r="2252" spans="1:18" x14ac:dyDescent="0.3">
      <c r="A2252" s="5">
        <v>45972</v>
      </c>
      <c r="B2252" t="s">
        <v>3260</v>
      </c>
      <c r="C2252">
        <v>30</v>
      </c>
      <c r="D2252">
        <v>36</v>
      </c>
      <c r="E2252" s="1">
        <v>1.0833333333333333</v>
      </c>
      <c r="F2252" t="s">
        <v>3258</v>
      </c>
      <c r="G2252">
        <v>4</v>
      </c>
      <c r="H2252">
        <v>1080.9119000000001</v>
      </c>
      <c r="I2252">
        <v>7</v>
      </c>
      <c r="J2252">
        <v>1163.79</v>
      </c>
      <c r="K2252">
        <v>5.4825867599182097</v>
      </c>
      <c r="L2252">
        <v>1158.8800000000001</v>
      </c>
      <c r="M2252" t="s">
        <v>27</v>
      </c>
      <c r="N2252">
        <v>1</v>
      </c>
      <c r="O2252">
        <v>1330</v>
      </c>
      <c r="P2252">
        <v>1157</v>
      </c>
      <c r="Q2252">
        <v>0</v>
      </c>
      <c r="R2252">
        <v>1157</v>
      </c>
    </row>
    <row r="2253" spans="1:18" x14ac:dyDescent="0.3">
      <c r="A2253" s="5">
        <v>45972</v>
      </c>
      <c r="B2253" t="s">
        <v>3260</v>
      </c>
      <c r="C2253">
        <v>30</v>
      </c>
      <c r="D2253">
        <v>36</v>
      </c>
      <c r="E2253" s="1">
        <v>1.0833333333333333</v>
      </c>
      <c r="F2253" t="s">
        <v>3258</v>
      </c>
      <c r="G2253">
        <v>4</v>
      </c>
      <c r="H2253">
        <v>1080.9119000000001</v>
      </c>
      <c r="I2253">
        <v>7</v>
      </c>
      <c r="J2253">
        <v>1163.79</v>
      </c>
      <c r="K2253">
        <v>5.4825867599182097</v>
      </c>
      <c r="L2253">
        <v>1158.8800000000001</v>
      </c>
      <c r="M2253" t="s">
        <v>27</v>
      </c>
      <c r="N2253">
        <v>1</v>
      </c>
      <c r="O2253">
        <v>1330</v>
      </c>
      <c r="P2253">
        <v>1157</v>
      </c>
      <c r="Q2253">
        <v>0</v>
      </c>
      <c r="R2253">
        <v>1157</v>
      </c>
    </row>
    <row r="2254" spans="1:18" x14ac:dyDescent="0.3">
      <c r="A2254" s="5">
        <v>45972</v>
      </c>
      <c r="B2254" t="s">
        <v>3260</v>
      </c>
      <c r="C2254">
        <v>30</v>
      </c>
      <c r="D2254">
        <v>36</v>
      </c>
      <c r="E2254" s="1">
        <v>1.0833333333333333</v>
      </c>
      <c r="F2254" t="s">
        <v>3258</v>
      </c>
      <c r="G2254">
        <v>4</v>
      </c>
      <c r="H2254">
        <v>1080.9119000000001</v>
      </c>
      <c r="I2254">
        <v>7</v>
      </c>
      <c r="J2254">
        <v>1163.79</v>
      </c>
      <c r="K2254">
        <v>5.4825867599182097</v>
      </c>
      <c r="L2254">
        <v>1158.8800000000001</v>
      </c>
      <c r="M2254" t="s">
        <v>27</v>
      </c>
      <c r="N2254">
        <v>1</v>
      </c>
      <c r="O2254">
        <v>1330</v>
      </c>
      <c r="P2254">
        <v>1157</v>
      </c>
      <c r="Q2254">
        <v>0</v>
      </c>
      <c r="R2254">
        <v>1157</v>
      </c>
    </row>
    <row r="2255" spans="1:18" x14ac:dyDescent="0.3">
      <c r="A2255" s="5">
        <v>45972</v>
      </c>
      <c r="B2255" t="s">
        <v>3261</v>
      </c>
      <c r="C2255">
        <v>36</v>
      </c>
      <c r="D2255">
        <v>36</v>
      </c>
      <c r="E2255" s="1">
        <v>1.9791666666666665</v>
      </c>
      <c r="F2255" t="s">
        <v>3262</v>
      </c>
      <c r="G2255">
        <v>5</v>
      </c>
      <c r="H2255">
        <v>1080.5775000000001</v>
      </c>
      <c r="I2255">
        <v>0</v>
      </c>
      <c r="J2255">
        <v>1163.79</v>
      </c>
      <c r="K2255">
        <v>0</v>
      </c>
      <c r="L2255">
        <v>1158.8800000000001</v>
      </c>
      <c r="M2255" t="s">
        <v>27</v>
      </c>
      <c r="N2255">
        <v>1</v>
      </c>
      <c r="O2255">
        <v>1253</v>
      </c>
      <c r="P2255">
        <v>1081</v>
      </c>
      <c r="Q2255">
        <v>0</v>
      </c>
      <c r="R2255">
        <v>1081</v>
      </c>
    </row>
    <row r="2256" spans="1:18" x14ac:dyDescent="0.3">
      <c r="A2256" s="5">
        <v>45972</v>
      </c>
      <c r="B2256" t="s">
        <v>3263</v>
      </c>
      <c r="C2256">
        <v>28</v>
      </c>
      <c r="D2256">
        <v>36</v>
      </c>
      <c r="E2256" s="1">
        <v>1.9791666666666665</v>
      </c>
      <c r="F2256" t="s">
        <v>3262</v>
      </c>
      <c r="G2256">
        <v>5</v>
      </c>
      <c r="H2256">
        <v>1080.7216000000001</v>
      </c>
      <c r="I2256">
        <v>0</v>
      </c>
      <c r="J2256">
        <v>1163.79</v>
      </c>
      <c r="K2256">
        <v>0</v>
      </c>
      <c r="L2256">
        <v>1158.8800000000001</v>
      </c>
      <c r="M2256" t="s">
        <v>27</v>
      </c>
      <c r="N2256">
        <v>1</v>
      </c>
      <c r="O2256">
        <v>1254</v>
      </c>
      <c r="P2256">
        <v>1081</v>
      </c>
      <c r="Q2256">
        <v>0</v>
      </c>
      <c r="R2256">
        <v>1081</v>
      </c>
    </row>
    <row r="2257" spans="1:18" x14ac:dyDescent="0.3">
      <c r="A2257" s="5">
        <v>45972</v>
      </c>
      <c r="B2257" t="s">
        <v>3264</v>
      </c>
      <c r="C2257">
        <v>29</v>
      </c>
      <c r="D2257">
        <v>36</v>
      </c>
      <c r="E2257" s="1">
        <v>1.9791666666666665</v>
      </c>
      <c r="F2257" t="s">
        <v>3262</v>
      </c>
      <c r="G2257">
        <v>5</v>
      </c>
      <c r="H2257">
        <v>1080.7034000000001</v>
      </c>
      <c r="I2257">
        <v>0</v>
      </c>
      <c r="J2257">
        <v>1163.79</v>
      </c>
      <c r="K2257">
        <v>0</v>
      </c>
      <c r="L2257">
        <v>1158.8800000000001</v>
      </c>
      <c r="M2257" t="s">
        <v>27</v>
      </c>
      <c r="N2257">
        <v>1</v>
      </c>
      <c r="O2257">
        <v>1254</v>
      </c>
      <c r="P2257">
        <v>1081</v>
      </c>
      <c r="Q2257">
        <v>0</v>
      </c>
      <c r="R2257">
        <v>1081</v>
      </c>
    </row>
    <row r="2258" spans="1:18" x14ac:dyDescent="0.3">
      <c r="A2258" s="5">
        <v>45972</v>
      </c>
      <c r="B2258" t="s">
        <v>3265</v>
      </c>
      <c r="C2258">
        <v>17</v>
      </c>
      <c r="D2258">
        <v>36</v>
      </c>
      <c r="E2258" s="1">
        <v>1.9791666666666665</v>
      </c>
      <c r="F2258" t="s">
        <v>3266</v>
      </c>
      <c r="G2258">
        <v>5</v>
      </c>
      <c r="H2258">
        <v>1081.0515</v>
      </c>
      <c r="I2258">
        <v>0</v>
      </c>
      <c r="J2258">
        <v>1163.79</v>
      </c>
      <c r="K2258">
        <v>0</v>
      </c>
      <c r="L2258">
        <v>1158.8800000000001</v>
      </c>
      <c r="M2258" t="s">
        <v>27</v>
      </c>
      <c r="N2258">
        <v>1</v>
      </c>
      <c r="O2258">
        <v>1254</v>
      </c>
      <c r="P2258">
        <v>1081</v>
      </c>
      <c r="Q2258">
        <v>0</v>
      </c>
      <c r="R2258">
        <v>1081</v>
      </c>
    </row>
    <row r="2259" spans="1:18" x14ac:dyDescent="0.3">
      <c r="A2259" s="5">
        <v>45972</v>
      </c>
      <c r="B2259" t="s">
        <v>3267</v>
      </c>
      <c r="C2259">
        <v>19</v>
      </c>
      <c r="D2259">
        <v>36</v>
      </c>
      <c r="E2259" s="1">
        <v>1.9993055555555554</v>
      </c>
      <c r="F2259" t="s">
        <v>3268</v>
      </c>
      <c r="G2259">
        <v>5</v>
      </c>
      <c r="H2259">
        <v>1081.0155999999999</v>
      </c>
      <c r="I2259">
        <v>0</v>
      </c>
      <c r="J2259">
        <v>1163.79</v>
      </c>
      <c r="K2259">
        <v>0</v>
      </c>
      <c r="L2259">
        <v>1158.8800000000001</v>
      </c>
      <c r="M2259" t="s">
        <v>27</v>
      </c>
      <c r="N2259">
        <v>1</v>
      </c>
      <c r="O2259">
        <v>1254</v>
      </c>
      <c r="P2259">
        <v>1081</v>
      </c>
      <c r="Q2259">
        <v>0</v>
      </c>
      <c r="R2259">
        <v>1081</v>
      </c>
    </row>
    <row r="2260" spans="1:18" x14ac:dyDescent="0.3">
      <c r="A2260" s="5">
        <v>45972</v>
      </c>
      <c r="B2260" t="s">
        <v>3269</v>
      </c>
      <c r="C2260">
        <v>20</v>
      </c>
      <c r="D2260">
        <v>36</v>
      </c>
      <c r="E2260" s="1">
        <v>1.9993055555555554</v>
      </c>
      <c r="F2260" t="s">
        <v>3268</v>
      </c>
      <c r="G2260">
        <v>5</v>
      </c>
      <c r="H2260">
        <v>1080.9978000000001</v>
      </c>
      <c r="I2260">
        <v>0</v>
      </c>
      <c r="J2260">
        <v>1163.79</v>
      </c>
      <c r="K2260">
        <v>0</v>
      </c>
      <c r="L2260">
        <v>1158.8800000000001</v>
      </c>
      <c r="M2260" t="s">
        <v>27</v>
      </c>
      <c r="N2260">
        <v>1</v>
      </c>
      <c r="O2260">
        <v>1254</v>
      </c>
      <c r="P2260">
        <v>1081</v>
      </c>
      <c r="Q2260">
        <v>0</v>
      </c>
      <c r="R2260">
        <v>1081</v>
      </c>
    </row>
    <row r="2261" spans="1:18" x14ac:dyDescent="0.3">
      <c r="A2261" s="5">
        <v>45972</v>
      </c>
      <c r="B2261" t="s">
        <v>3270</v>
      </c>
      <c r="C2261">
        <v>32</v>
      </c>
      <c r="D2261">
        <v>36</v>
      </c>
      <c r="E2261" s="1">
        <v>1.9993055555555554</v>
      </c>
      <c r="F2261" t="s">
        <v>3108</v>
      </c>
      <c r="G2261">
        <v>5</v>
      </c>
      <c r="H2261">
        <v>1080.6495</v>
      </c>
      <c r="I2261">
        <v>0</v>
      </c>
      <c r="J2261">
        <v>1163.79</v>
      </c>
      <c r="K2261">
        <v>0</v>
      </c>
      <c r="L2261">
        <v>1158.8800000000001</v>
      </c>
      <c r="M2261" t="s">
        <v>27</v>
      </c>
      <c r="N2261">
        <v>1</v>
      </c>
      <c r="O2261">
        <v>1254</v>
      </c>
      <c r="P2261">
        <v>1081</v>
      </c>
      <c r="Q2261">
        <v>0</v>
      </c>
      <c r="R2261">
        <v>1081</v>
      </c>
    </row>
    <row r="2262" spans="1:18" x14ac:dyDescent="0.3">
      <c r="A2262" s="5">
        <v>45972</v>
      </c>
      <c r="B2262" t="s">
        <v>3271</v>
      </c>
      <c r="C2262">
        <v>16</v>
      </c>
      <c r="D2262">
        <v>36</v>
      </c>
      <c r="E2262" s="1">
        <v>1.9791666666666665</v>
      </c>
      <c r="F2262" t="s">
        <v>3272</v>
      </c>
      <c r="G2262">
        <v>2</v>
      </c>
      <c r="H2262">
        <v>1081.0603000000001</v>
      </c>
      <c r="I2262">
        <v>5</v>
      </c>
      <c r="J2262">
        <v>1163.79</v>
      </c>
      <c r="K2262">
        <v>3.9161333999415802</v>
      </c>
      <c r="L2262">
        <v>609.91</v>
      </c>
      <c r="M2262" t="s">
        <v>60</v>
      </c>
      <c r="N2262">
        <v>1</v>
      </c>
      <c r="O2262">
        <v>1308</v>
      </c>
      <c r="P2262">
        <v>1135</v>
      </c>
      <c r="Q2262">
        <v>0.5</v>
      </c>
      <c r="R2262">
        <v>567.5</v>
      </c>
    </row>
    <row r="2263" spans="1:18" x14ac:dyDescent="0.3">
      <c r="A2263" s="5">
        <v>45972</v>
      </c>
      <c r="B2263" t="s">
        <v>3273</v>
      </c>
      <c r="C2263">
        <v>10</v>
      </c>
      <c r="D2263">
        <v>36</v>
      </c>
      <c r="E2263" s="1">
        <v>1.9791666666666665</v>
      </c>
      <c r="F2263" t="s">
        <v>97</v>
      </c>
      <c r="G2263">
        <v>4</v>
      </c>
      <c r="H2263">
        <v>1079.1318000000001</v>
      </c>
      <c r="I2263">
        <v>7</v>
      </c>
      <c r="J2263">
        <v>1163.79</v>
      </c>
      <c r="K2263">
        <v>5.4825867599182097</v>
      </c>
      <c r="L2263">
        <v>1219.83</v>
      </c>
      <c r="M2263" t="s">
        <v>27</v>
      </c>
      <c r="N2263">
        <v>1</v>
      </c>
      <c r="O2263">
        <v>1327</v>
      </c>
      <c r="P2263">
        <v>1155</v>
      </c>
      <c r="Q2263">
        <v>0</v>
      </c>
      <c r="R2263">
        <v>1155</v>
      </c>
    </row>
    <row r="2264" spans="1:18" x14ac:dyDescent="0.3">
      <c r="A2264" s="5">
        <v>45972</v>
      </c>
      <c r="B2264" t="s">
        <v>3274</v>
      </c>
      <c r="C2264">
        <v>18</v>
      </c>
      <c r="D2264">
        <v>36</v>
      </c>
      <c r="E2264" s="1">
        <v>1.0833333333333333</v>
      </c>
      <c r="F2264" t="s">
        <v>3275</v>
      </c>
      <c r="G2264">
        <v>1</v>
      </c>
      <c r="H2264">
        <v>1081.2584999999999</v>
      </c>
      <c r="I2264">
        <v>8.5</v>
      </c>
      <c r="J2264">
        <v>1163.79</v>
      </c>
      <c r="K2264">
        <v>6.6574267799006801</v>
      </c>
      <c r="L2264">
        <v>1158.8800000000001</v>
      </c>
      <c r="M2264" t="s">
        <v>27</v>
      </c>
      <c r="N2264">
        <v>1</v>
      </c>
      <c r="O2264">
        <v>1346</v>
      </c>
      <c r="P2264">
        <v>1173</v>
      </c>
      <c r="Q2264">
        <v>0</v>
      </c>
      <c r="R2264">
        <v>1173</v>
      </c>
    </row>
    <row r="2265" spans="1:18" x14ac:dyDescent="0.3">
      <c r="A2265" s="5">
        <v>45972</v>
      </c>
      <c r="B2265" t="s">
        <v>3276</v>
      </c>
      <c r="C2265">
        <v>21</v>
      </c>
      <c r="D2265">
        <v>36</v>
      </c>
      <c r="E2265" s="1">
        <v>1.9993055555555554</v>
      </c>
      <c r="F2265" t="s">
        <v>3277</v>
      </c>
      <c r="G2265">
        <v>4</v>
      </c>
      <c r="H2265">
        <v>1080.9727</v>
      </c>
      <c r="I2265">
        <v>7</v>
      </c>
      <c r="J2265">
        <v>1163.79</v>
      </c>
      <c r="K2265">
        <v>5.4825867599182097</v>
      </c>
      <c r="L2265">
        <v>1158.8800000000001</v>
      </c>
      <c r="M2265" t="s">
        <v>27</v>
      </c>
      <c r="N2265">
        <v>1</v>
      </c>
      <c r="O2265">
        <v>1330</v>
      </c>
      <c r="P2265">
        <v>1157</v>
      </c>
      <c r="Q2265">
        <v>0</v>
      </c>
      <c r="R2265">
        <v>1157</v>
      </c>
    </row>
    <row r="2266" spans="1:18" x14ac:dyDescent="0.3">
      <c r="A2266" s="5">
        <v>45972</v>
      </c>
      <c r="B2266" t="s">
        <v>3278</v>
      </c>
      <c r="C2266">
        <v>5</v>
      </c>
      <c r="D2266">
        <v>36</v>
      </c>
      <c r="E2266" s="1">
        <v>1.9791666666666665</v>
      </c>
      <c r="F2266" t="s">
        <v>3279</v>
      </c>
      <c r="G2266">
        <v>5</v>
      </c>
      <c r="H2266">
        <v>1081.2643</v>
      </c>
      <c r="I2266">
        <v>0</v>
      </c>
      <c r="J2266">
        <v>1163.79</v>
      </c>
      <c r="K2266">
        <v>0</v>
      </c>
      <c r="L2266">
        <v>1158.8800000000001</v>
      </c>
      <c r="M2266" t="s">
        <v>27</v>
      </c>
      <c r="N2266">
        <v>1</v>
      </c>
      <c r="O2266">
        <v>1254</v>
      </c>
      <c r="P2266">
        <v>1081</v>
      </c>
      <c r="Q2266">
        <v>0</v>
      </c>
      <c r="R2266">
        <v>1081</v>
      </c>
    </row>
    <row r="2267" spans="1:18" x14ac:dyDescent="0.3">
      <c r="A2267" s="5">
        <v>45972</v>
      </c>
      <c r="B2267" t="s">
        <v>3278</v>
      </c>
      <c r="C2267">
        <v>5</v>
      </c>
      <c r="D2267">
        <v>36</v>
      </c>
      <c r="E2267" s="1">
        <v>1.9791666666666665</v>
      </c>
      <c r="F2267" t="s">
        <v>3280</v>
      </c>
      <c r="G2267">
        <v>5</v>
      </c>
      <c r="H2267">
        <v>1081.2643</v>
      </c>
      <c r="I2267">
        <v>0</v>
      </c>
      <c r="J2267">
        <v>1163.79</v>
      </c>
      <c r="K2267">
        <v>0</v>
      </c>
      <c r="L2267">
        <v>1158.8800000000001</v>
      </c>
      <c r="M2267" t="s">
        <v>27</v>
      </c>
      <c r="N2267">
        <v>1</v>
      </c>
      <c r="O2267">
        <v>1254</v>
      </c>
      <c r="P2267">
        <v>1081</v>
      </c>
      <c r="Q2267">
        <v>0</v>
      </c>
      <c r="R2267">
        <v>1081</v>
      </c>
    </row>
    <row r="2268" spans="1:18" x14ac:dyDescent="0.3">
      <c r="A2268" s="5">
        <v>45972</v>
      </c>
      <c r="B2268" t="s">
        <v>3281</v>
      </c>
      <c r="C2268">
        <v>6</v>
      </c>
      <c r="D2268">
        <v>36</v>
      </c>
      <c r="E2268" s="1">
        <v>1.9791666666666665</v>
      </c>
      <c r="F2268" t="s">
        <v>3279</v>
      </c>
      <c r="G2268">
        <v>5</v>
      </c>
      <c r="H2268">
        <v>1081.2462</v>
      </c>
      <c r="I2268">
        <v>0</v>
      </c>
      <c r="J2268">
        <v>1163.79</v>
      </c>
      <c r="K2268">
        <v>0</v>
      </c>
      <c r="L2268">
        <v>1158.8800000000001</v>
      </c>
      <c r="M2268" t="s">
        <v>27</v>
      </c>
      <c r="N2268">
        <v>1</v>
      </c>
      <c r="O2268">
        <v>1254</v>
      </c>
      <c r="P2268">
        <v>1081</v>
      </c>
      <c r="Q2268">
        <v>0</v>
      </c>
      <c r="R2268">
        <v>1081</v>
      </c>
    </row>
    <row r="2269" spans="1:18" x14ac:dyDescent="0.3">
      <c r="A2269" s="5">
        <v>45972</v>
      </c>
      <c r="B2269" t="s">
        <v>3281</v>
      </c>
      <c r="C2269">
        <v>6</v>
      </c>
      <c r="D2269">
        <v>36</v>
      </c>
      <c r="E2269" s="1">
        <v>1.9791666666666665</v>
      </c>
      <c r="F2269" t="s">
        <v>3280</v>
      </c>
      <c r="G2269">
        <v>5</v>
      </c>
      <c r="H2269">
        <v>1081.2462</v>
      </c>
      <c r="I2269">
        <v>0</v>
      </c>
      <c r="J2269">
        <v>1163.79</v>
      </c>
      <c r="K2269">
        <v>0</v>
      </c>
      <c r="L2269">
        <v>1158.8800000000001</v>
      </c>
      <c r="M2269" t="s">
        <v>27</v>
      </c>
      <c r="N2269">
        <v>1</v>
      </c>
      <c r="O2269">
        <v>1254</v>
      </c>
      <c r="P2269">
        <v>1081</v>
      </c>
      <c r="Q2269">
        <v>0</v>
      </c>
      <c r="R2269">
        <v>1081</v>
      </c>
    </row>
    <row r="2270" spans="1:18" x14ac:dyDescent="0.3">
      <c r="A2270" s="5">
        <v>45972</v>
      </c>
      <c r="B2270" t="s">
        <v>3282</v>
      </c>
      <c r="C2270">
        <v>10</v>
      </c>
      <c r="D2270">
        <v>36</v>
      </c>
      <c r="E2270" s="1">
        <v>1.0833333333333333</v>
      </c>
      <c r="F2270" t="s">
        <v>3283</v>
      </c>
      <c r="G2270">
        <v>0</v>
      </c>
      <c r="H2270">
        <v>1081.4011</v>
      </c>
      <c r="I2270">
        <v>2.5</v>
      </c>
      <c r="J2270">
        <v>1163.79</v>
      </c>
      <c r="K2270">
        <v>1.9580666999707901</v>
      </c>
      <c r="L2270">
        <v>1158.8800000000001</v>
      </c>
      <c r="M2270" t="s">
        <v>27</v>
      </c>
      <c r="N2270">
        <v>1</v>
      </c>
      <c r="O2270">
        <v>1281</v>
      </c>
      <c r="P2270">
        <v>1108</v>
      </c>
      <c r="Q2270">
        <v>0</v>
      </c>
      <c r="R2270">
        <v>1108</v>
      </c>
    </row>
    <row r="2271" spans="1:18" x14ac:dyDescent="0.3">
      <c r="A2271" s="5">
        <v>45972</v>
      </c>
      <c r="B2271" t="s">
        <v>3282</v>
      </c>
      <c r="C2271">
        <v>10</v>
      </c>
      <c r="D2271">
        <v>36</v>
      </c>
      <c r="E2271" s="1">
        <v>1.0833333333333333</v>
      </c>
      <c r="F2271" t="s">
        <v>3283</v>
      </c>
      <c r="G2271">
        <v>0</v>
      </c>
      <c r="H2271">
        <v>1081.4011</v>
      </c>
      <c r="I2271">
        <v>2.5</v>
      </c>
      <c r="J2271">
        <v>1163.79</v>
      </c>
      <c r="K2271">
        <v>1.9580666999707901</v>
      </c>
      <c r="L2271">
        <v>1158.8800000000001</v>
      </c>
      <c r="M2271" t="s">
        <v>27</v>
      </c>
      <c r="N2271">
        <v>1</v>
      </c>
      <c r="O2271">
        <v>1281</v>
      </c>
      <c r="P2271">
        <v>1108</v>
      </c>
      <c r="Q2271">
        <v>0</v>
      </c>
      <c r="R2271">
        <v>1108</v>
      </c>
    </row>
    <row r="2272" spans="1:18" x14ac:dyDescent="0.3">
      <c r="A2272" s="5">
        <v>45972</v>
      </c>
      <c r="B2272" t="s">
        <v>3284</v>
      </c>
      <c r="C2272">
        <v>7</v>
      </c>
      <c r="D2272">
        <v>36</v>
      </c>
      <c r="E2272" s="1">
        <v>1.0833333333333333</v>
      </c>
      <c r="F2272" t="s">
        <v>3283</v>
      </c>
      <c r="G2272">
        <v>0</v>
      </c>
      <c r="H2272">
        <v>1081.4548</v>
      </c>
      <c r="I2272">
        <v>2.5</v>
      </c>
      <c r="J2272">
        <v>1163.79</v>
      </c>
      <c r="K2272">
        <v>1.9580666999707901</v>
      </c>
      <c r="L2272">
        <v>1158.8800000000001</v>
      </c>
      <c r="M2272" t="s">
        <v>27</v>
      </c>
      <c r="N2272">
        <v>1</v>
      </c>
      <c r="O2272">
        <v>1282</v>
      </c>
      <c r="P2272">
        <v>1108</v>
      </c>
      <c r="Q2272">
        <v>0</v>
      </c>
      <c r="R2272">
        <v>1108</v>
      </c>
    </row>
    <row r="2273" spans="1:18" x14ac:dyDescent="0.3">
      <c r="A2273" s="5">
        <v>45972</v>
      </c>
      <c r="B2273" t="s">
        <v>3284</v>
      </c>
      <c r="C2273">
        <v>7</v>
      </c>
      <c r="D2273">
        <v>36</v>
      </c>
      <c r="E2273" s="1">
        <v>1.0833333333333333</v>
      </c>
      <c r="F2273" t="s">
        <v>3283</v>
      </c>
      <c r="G2273">
        <v>0</v>
      </c>
      <c r="H2273">
        <v>1081.4548</v>
      </c>
      <c r="I2273">
        <v>2.5</v>
      </c>
      <c r="J2273">
        <v>1163.79</v>
      </c>
      <c r="K2273">
        <v>1.9580666999707901</v>
      </c>
      <c r="L2273">
        <v>1158.8800000000001</v>
      </c>
      <c r="M2273" t="s">
        <v>27</v>
      </c>
      <c r="N2273">
        <v>1</v>
      </c>
      <c r="O2273">
        <v>1282</v>
      </c>
      <c r="P2273">
        <v>1108</v>
      </c>
      <c r="Q2273">
        <v>0</v>
      </c>
      <c r="R2273">
        <v>1108</v>
      </c>
    </row>
    <row r="2274" spans="1:18" x14ac:dyDescent="0.3">
      <c r="A2274" s="5">
        <v>45972</v>
      </c>
      <c r="B2274" t="s">
        <v>3285</v>
      </c>
      <c r="C2274">
        <v>16</v>
      </c>
      <c r="D2274">
        <v>36</v>
      </c>
      <c r="E2274" s="1">
        <v>1.9993055555555554</v>
      </c>
      <c r="F2274" t="s">
        <v>3286</v>
      </c>
      <c r="G2274">
        <v>4</v>
      </c>
      <c r="H2274">
        <v>1081.0617999999999</v>
      </c>
      <c r="I2274">
        <v>7</v>
      </c>
      <c r="J2274">
        <v>1163.79</v>
      </c>
      <c r="K2274">
        <v>5.4825867599182097</v>
      </c>
      <c r="L2274">
        <v>1158.8800000000001</v>
      </c>
      <c r="M2274" t="s">
        <v>27</v>
      </c>
      <c r="N2274">
        <v>1</v>
      </c>
      <c r="O2274">
        <v>1330</v>
      </c>
      <c r="P2274">
        <v>1157</v>
      </c>
      <c r="Q2274">
        <v>0</v>
      </c>
      <c r="R2274">
        <v>1157</v>
      </c>
    </row>
    <row r="2275" spans="1:18" x14ac:dyDescent="0.3">
      <c r="A2275" s="5">
        <v>45972</v>
      </c>
      <c r="B2275" t="s">
        <v>3287</v>
      </c>
      <c r="C2275">
        <v>31</v>
      </c>
      <c r="D2275">
        <v>36</v>
      </c>
      <c r="E2275" s="1">
        <v>1.9791666666666665</v>
      </c>
      <c r="F2275" t="s">
        <v>3288</v>
      </c>
      <c r="G2275">
        <v>0</v>
      </c>
      <c r="H2275">
        <v>1080.6594</v>
      </c>
      <c r="I2275">
        <v>2.5</v>
      </c>
      <c r="J2275">
        <v>1163.79</v>
      </c>
      <c r="K2275">
        <v>1.9580666999707901</v>
      </c>
      <c r="L2275">
        <v>1158.8800000000001</v>
      </c>
      <c r="M2275" t="s">
        <v>27</v>
      </c>
      <c r="N2275">
        <v>1</v>
      </c>
      <c r="O2275">
        <v>1281</v>
      </c>
      <c r="P2275">
        <v>1108</v>
      </c>
      <c r="Q2275">
        <v>0</v>
      </c>
      <c r="R2275">
        <v>1108</v>
      </c>
    </row>
    <row r="2276" spans="1:18" x14ac:dyDescent="0.3">
      <c r="A2276" s="5">
        <v>45972</v>
      </c>
      <c r="B2276" t="s">
        <v>3289</v>
      </c>
      <c r="C2276">
        <v>30</v>
      </c>
      <c r="D2276">
        <v>36</v>
      </c>
      <c r="E2276" s="1">
        <v>1.9791666666666665</v>
      </c>
      <c r="F2276" t="s">
        <v>3288</v>
      </c>
      <c r="G2276">
        <v>0</v>
      </c>
      <c r="H2276">
        <v>1080.6775</v>
      </c>
      <c r="I2276">
        <v>2.5</v>
      </c>
      <c r="J2276">
        <v>1163.79</v>
      </c>
      <c r="K2276">
        <v>1.9580666999707901</v>
      </c>
      <c r="L2276">
        <v>609.91</v>
      </c>
      <c r="M2276" t="s">
        <v>20</v>
      </c>
      <c r="N2276">
        <v>1</v>
      </c>
      <c r="O2276">
        <v>1281</v>
      </c>
      <c r="P2276">
        <v>1108</v>
      </c>
      <c r="Q2276">
        <v>0.5</v>
      </c>
      <c r="R2276">
        <v>554</v>
      </c>
    </row>
    <row r="2277" spans="1:18" x14ac:dyDescent="0.3">
      <c r="A2277" s="5">
        <v>45972</v>
      </c>
      <c r="B2277" t="s">
        <v>3290</v>
      </c>
      <c r="C2277">
        <v>32</v>
      </c>
      <c r="D2277">
        <v>36</v>
      </c>
      <c r="E2277" s="1">
        <v>1.9791666666666665</v>
      </c>
      <c r="F2277" t="s">
        <v>3291</v>
      </c>
      <c r="G2277">
        <v>4</v>
      </c>
      <c r="H2277">
        <v>1080.6415</v>
      </c>
      <c r="I2277">
        <v>7</v>
      </c>
      <c r="J2277">
        <v>1163.79</v>
      </c>
      <c r="K2277">
        <v>5.4825867599182097</v>
      </c>
      <c r="L2277">
        <v>1158.8800000000001</v>
      </c>
      <c r="M2277" t="s">
        <v>27</v>
      </c>
      <c r="N2277">
        <v>1</v>
      </c>
      <c r="O2277">
        <v>1329</v>
      </c>
      <c r="P2277">
        <v>1156</v>
      </c>
      <c r="Q2277">
        <v>0</v>
      </c>
      <c r="R2277">
        <v>1156</v>
      </c>
    </row>
    <row r="2278" spans="1:18" x14ac:dyDescent="0.3">
      <c r="A2278" s="5">
        <v>45972</v>
      </c>
      <c r="B2278" t="s">
        <v>3292</v>
      </c>
      <c r="C2278">
        <v>11</v>
      </c>
      <c r="D2278">
        <v>36</v>
      </c>
      <c r="E2278" s="1">
        <v>1.9993055555555554</v>
      </c>
      <c r="F2278" t="s">
        <v>3293</v>
      </c>
      <c r="G2278">
        <v>5</v>
      </c>
      <c r="H2278">
        <v>1081.1564000000001</v>
      </c>
      <c r="I2278">
        <v>0</v>
      </c>
      <c r="J2278">
        <v>1163.79</v>
      </c>
      <c r="K2278">
        <v>0</v>
      </c>
      <c r="L2278">
        <v>1158.8800000000001</v>
      </c>
      <c r="M2278" t="s">
        <v>27</v>
      </c>
      <c r="N2278">
        <v>1</v>
      </c>
      <c r="O2278">
        <v>1254</v>
      </c>
      <c r="P2278">
        <v>1081</v>
      </c>
      <c r="Q2278">
        <v>0</v>
      </c>
      <c r="R2278">
        <v>1081</v>
      </c>
    </row>
    <row r="2279" spans="1:18" x14ac:dyDescent="0.3">
      <c r="A2279" s="5">
        <v>45972</v>
      </c>
      <c r="B2279" t="s">
        <v>3294</v>
      </c>
      <c r="C2279">
        <v>29</v>
      </c>
      <c r="D2279">
        <v>36</v>
      </c>
      <c r="E2279" s="1">
        <v>1.9993055555555554</v>
      </c>
      <c r="F2279" t="s">
        <v>3295</v>
      </c>
      <c r="G2279">
        <v>5</v>
      </c>
      <c r="H2279">
        <v>1080.7002</v>
      </c>
      <c r="I2279">
        <v>0</v>
      </c>
      <c r="J2279">
        <v>1163.79</v>
      </c>
      <c r="K2279">
        <v>0</v>
      </c>
      <c r="L2279">
        <v>1158.8800000000001</v>
      </c>
      <c r="M2279" t="s">
        <v>27</v>
      </c>
      <c r="N2279">
        <v>1</v>
      </c>
      <c r="O2279">
        <v>1254</v>
      </c>
      <c r="P2279">
        <v>1081</v>
      </c>
      <c r="Q2279">
        <v>0</v>
      </c>
      <c r="R2279">
        <v>1081</v>
      </c>
    </row>
    <row r="2280" spans="1:18" x14ac:dyDescent="0.3">
      <c r="A2280" s="5">
        <v>45972</v>
      </c>
      <c r="B2280" t="s">
        <v>3296</v>
      </c>
      <c r="C2280">
        <v>10</v>
      </c>
      <c r="D2280">
        <v>36</v>
      </c>
      <c r="E2280" s="1">
        <v>1.25</v>
      </c>
      <c r="F2280" t="s">
        <v>3297</v>
      </c>
      <c r="G2280">
        <v>0</v>
      </c>
      <c r="H2280">
        <v>1081.3988999999999</v>
      </c>
      <c r="I2280">
        <v>2.5</v>
      </c>
      <c r="J2280">
        <v>1163.79</v>
      </c>
      <c r="K2280">
        <v>1.9580666999707901</v>
      </c>
      <c r="L2280">
        <v>1158.8800000000001</v>
      </c>
      <c r="M2280" t="s">
        <v>27</v>
      </c>
      <c r="N2280">
        <v>1</v>
      </c>
      <c r="O2280">
        <v>1281</v>
      </c>
      <c r="P2280">
        <v>1108</v>
      </c>
      <c r="Q2280">
        <v>0</v>
      </c>
      <c r="R2280">
        <v>1108</v>
      </c>
    </row>
    <row r="2281" spans="1:18" x14ac:dyDescent="0.3">
      <c r="A2281" s="5">
        <v>45972</v>
      </c>
      <c r="B2281" t="s">
        <v>3298</v>
      </c>
      <c r="C2281">
        <v>24</v>
      </c>
      <c r="D2281">
        <v>36</v>
      </c>
      <c r="E2281" s="1">
        <v>1.9791666666666665</v>
      </c>
      <c r="F2281" t="s">
        <v>3299</v>
      </c>
      <c r="G2281">
        <v>1</v>
      </c>
      <c r="H2281">
        <v>1080.7963999999999</v>
      </c>
      <c r="I2281">
        <v>8.5</v>
      </c>
      <c r="J2281">
        <v>1163.79</v>
      </c>
      <c r="K2281">
        <v>6.6574267799006801</v>
      </c>
      <c r="L2281">
        <v>1219.83</v>
      </c>
      <c r="M2281" t="s">
        <v>27</v>
      </c>
      <c r="N2281">
        <v>1</v>
      </c>
      <c r="O2281">
        <v>1346</v>
      </c>
      <c r="P2281">
        <v>1173</v>
      </c>
      <c r="Q2281">
        <v>0</v>
      </c>
      <c r="R2281">
        <v>1173</v>
      </c>
    </row>
    <row r="2282" spans="1:18" x14ac:dyDescent="0.3">
      <c r="A2282" s="5">
        <v>45972</v>
      </c>
      <c r="B2282" t="s">
        <v>3300</v>
      </c>
      <c r="C2282">
        <v>18</v>
      </c>
      <c r="D2282">
        <v>36</v>
      </c>
      <c r="E2282" s="1">
        <v>1.9791666666666665</v>
      </c>
      <c r="F2282" t="s">
        <v>3301</v>
      </c>
      <c r="G2282">
        <v>1</v>
      </c>
      <c r="H2282">
        <v>1081.0225</v>
      </c>
      <c r="I2282">
        <v>8.5</v>
      </c>
      <c r="J2282">
        <v>1163.79</v>
      </c>
      <c r="K2282">
        <v>6.6574267799006801</v>
      </c>
      <c r="L2282">
        <v>1219.83</v>
      </c>
      <c r="M2282" t="s">
        <v>27</v>
      </c>
      <c r="N2282">
        <v>1</v>
      </c>
      <c r="O2282">
        <v>1346</v>
      </c>
      <c r="P2282">
        <v>1173</v>
      </c>
      <c r="Q2282">
        <v>0</v>
      </c>
      <c r="R2282">
        <v>1173</v>
      </c>
    </row>
    <row r="2283" spans="1:18" x14ac:dyDescent="0.3">
      <c r="A2283" s="5">
        <v>45972</v>
      </c>
      <c r="B2283" t="s">
        <v>3302</v>
      </c>
      <c r="C2283">
        <v>27</v>
      </c>
      <c r="D2283">
        <v>36</v>
      </c>
      <c r="E2283" s="1">
        <v>1.9791666666666665</v>
      </c>
      <c r="F2283" t="s">
        <v>3303</v>
      </c>
      <c r="G2283">
        <v>1</v>
      </c>
      <c r="H2283">
        <v>1080.742</v>
      </c>
      <c r="I2283">
        <v>8.5</v>
      </c>
      <c r="J2283">
        <v>1163.79</v>
      </c>
      <c r="K2283">
        <v>6.6574267799006801</v>
      </c>
      <c r="L2283">
        <v>1219.83</v>
      </c>
      <c r="M2283" t="s">
        <v>27</v>
      </c>
      <c r="N2283">
        <v>1</v>
      </c>
      <c r="O2283">
        <v>1346</v>
      </c>
      <c r="P2283">
        <v>1173</v>
      </c>
      <c r="Q2283">
        <v>0</v>
      </c>
      <c r="R2283">
        <v>1173</v>
      </c>
    </row>
    <row r="2284" spans="1:18" x14ac:dyDescent="0.3">
      <c r="A2284" s="5">
        <v>45972</v>
      </c>
      <c r="B2284" t="s">
        <v>3304</v>
      </c>
      <c r="C2284">
        <v>21</v>
      </c>
      <c r="D2284">
        <v>36</v>
      </c>
      <c r="E2284" s="1">
        <v>1.9993055555555554</v>
      </c>
      <c r="F2284" t="s">
        <v>3305</v>
      </c>
      <c r="G2284">
        <v>2</v>
      </c>
      <c r="H2284">
        <v>1080.9684999999999</v>
      </c>
      <c r="I2284">
        <v>5</v>
      </c>
      <c r="J2284">
        <v>1163.79</v>
      </c>
      <c r="K2284">
        <v>3.9161333999415802</v>
      </c>
      <c r="L2284">
        <v>609.91</v>
      </c>
      <c r="M2284" t="s">
        <v>60</v>
      </c>
      <c r="N2284">
        <v>1</v>
      </c>
      <c r="O2284">
        <v>1308</v>
      </c>
      <c r="P2284">
        <v>1135</v>
      </c>
      <c r="Q2284">
        <v>0.5</v>
      </c>
      <c r="R2284">
        <v>567.5</v>
      </c>
    </row>
    <row r="2285" spans="1:18" x14ac:dyDescent="0.3">
      <c r="A2285" s="5">
        <v>45972</v>
      </c>
      <c r="B2285" t="s">
        <v>3306</v>
      </c>
      <c r="C2285">
        <v>12</v>
      </c>
      <c r="D2285">
        <v>36</v>
      </c>
      <c r="E2285" s="1">
        <v>1.9993055555555554</v>
      </c>
      <c r="F2285" t="s">
        <v>3307</v>
      </c>
      <c r="G2285">
        <v>1</v>
      </c>
      <c r="H2285">
        <v>1081.1304</v>
      </c>
      <c r="I2285">
        <v>8.5</v>
      </c>
      <c r="J2285">
        <v>1163.79</v>
      </c>
      <c r="K2285">
        <v>6.6574267799006801</v>
      </c>
      <c r="L2285">
        <v>1219.83</v>
      </c>
      <c r="M2285" t="s">
        <v>27</v>
      </c>
      <c r="N2285">
        <v>1</v>
      </c>
      <c r="O2285">
        <v>1346</v>
      </c>
      <c r="P2285">
        <v>1173</v>
      </c>
      <c r="Q2285">
        <v>0</v>
      </c>
      <c r="R2285">
        <v>1173</v>
      </c>
    </row>
    <row r="2286" spans="1:18" x14ac:dyDescent="0.3">
      <c r="A2286" s="5">
        <v>45972</v>
      </c>
      <c r="B2286" t="s">
        <v>3308</v>
      </c>
      <c r="C2286">
        <v>33</v>
      </c>
      <c r="D2286">
        <v>36</v>
      </c>
      <c r="E2286" s="1">
        <v>1.9993055555555554</v>
      </c>
      <c r="F2286" t="s">
        <v>3309</v>
      </c>
      <c r="G2286">
        <v>5</v>
      </c>
      <c r="H2286">
        <v>1080.6276</v>
      </c>
      <c r="I2286">
        <v>0</v>
      </c>
      <c r="J2286">
        <v>1163.79</v>
      </c>
      <c r="K2286">
        <v>0</v>
      </c>
      <c r="L2286">
        <v>1158.8800000000001</v>
      </c>
      <c r="M2286" t="s">
        <v>27</v>
      </c>
      <c r="N2286">
        <v>1</v>
      </c>
      <c r="O2286">
        <v>1254</v>
      </c>
      <c r="P2286">
        <v>1081</v>
      </c>
      <c r="Q2286">
        <v>0</v>
      </c>
      <c r="R2286">
        <v>1081</v>
      </c>
    </row>
    <row r="2287" spans="1:18" x14ac:dyDescent="0.3">
      <c r="A2287" s="5">
        <v>45972</v>
      </c>
      <c r="B2287" t="s">
        <v>3310</v>
      </c>
      <c r="C2287">
        <v>31</v>
      </c>
      <c r="D2287">
        <v>36</v>
      </c>
      <c r="E2287" s="1">
        <v>1.9791666666666665</v>
      </c>
      <c r="F2287" t="s">
        <v>3311</v>
      </c>
      <c r="G2287">
        <v>3</v>
      </c>
      <c r="H2287">
        <v>1080.67</v>
      </c>
      <c r="I2287">
        <v>10</v>
      </c>
      <c r="J2287">
        <v>1163.79</v>
      </c>
      <c r="K2287">
        <v>7.8322667998831603</v>
      </c>
      <c r="L2287">
        <v>609.91</v>
      </c>
      <c r="M2287" t="s">
        <v>20</v>
      </c>
      <c r="N2287">
        <v>1</v>
      </c>
      <c r="O2287">
        <v>1362</v>
      </c>
      <c r="P2287">
        <v>1189</v>
      </c>
      <c r="Q2287">
        <v>0.5</v>
      </c>
      <c r="R2287">
        <v>594.5</v>
      </c>
    </row>
    <row r="2288" spans="1:18" x14ac:dyDescent="0.3">
      <c r="A2288" s="5">
        <v>45972</v>
      </c>
      <c r="B2288" t="s">
        <v>3312</v>
      </c>
      <c r="C2288">
        <v>26</v>
      </c>
      <c r="D2288">
        <v>36</v>
      </c>
      <c r="E2288" s="1">
        <v>1.9993055555555554</v>
      </c>
      <c r="F2288" t="s">
        <v>3313</v>
      </c>
      <c r="G2288">
        <v>1</v>
      </c>
      <c r="H2288">
        <v>1080.76</v>
      </c>
      <c r="I2288">
        <v>8.5</v>
      </c>
      <c r="J2288">
        <v>1163.79</v>
      </c>
      <c r="K2288">
        <v>6.6574267799006801</v>
      </c>
      <c r="L2288">
        <v>1219.83</v>
      </c>
      <c r="M2288" t="s">
        <v>27</v>
      </c>
      <c r="N2288">
        <v>1</v>
      </c>
      <c r="O2288">
        <v>1346</v>
      </c>
      <c r="P2288">
        <v>1173</v>
      </c>
      <c r="Q2288">
        <v>0</v>
      </c>
      <c r="R2288">
        <v>1173</v>
      </c>
    </row>
    <row r="2289" spans="1:18" x14ac:dyDescent="0.3">
      <c r="A2289" s="5">
        <v>45972</v>
      </c>
      <c r="B2289" t="s">
        <v>3314</v>
      </c>
      <c r="C2289">
        <v>28</v>
      </c>
      <c r="D2289">
        <v>36</v>
      </c>
      <c r="E2289" s="1">
        <v>1.9993055555555554</v>
      </c>
      <c r="F2289" t="s">
        <v>3315</v>
      </c>
      <c r="G2289">
        <v>1</v>
      </c>
      <c r="H2289">
        <v>1080.7240999999999</v>
      </c>
      <c r="I2289">
        <v>8.5</v>
      </c>
      <c r="J2289">
        <v>1163.79</v>
      </c>
      <c r="K2289">
        <v>6.6574267799006801</v>
      </c>
      <c r="L2289">
        <v>1219.83</v>
      </c>
      <c r="M2289" t="s">
        <v>27</v>
      </c>
      <c r="N2289">
        <v>1</v>
      </c>
      <c r="O2289">
        <v>1346</v>
      </c>
      <c r="P2289">
        <v>1173</v>
      </c>
      <c r="Q2289">
        <v>0</v>
      </c>
      <c r="R2289">
        <v>1173</v>
      </c>
    </row>
    <row r="2290" spans="1:18" x14ac:dyDescent="0.3">
      <c r="A2290" s="5">
        <v>45972</v>
      </c>
      <c r="B2290" t="s">
        <v>3316</v>
      </c>
      <c r="C2290">
        <v>11</v>
      </c>
      <c r="D2290">
        <v>36</v>
      </c>
      <c r="E2290" s="1">
        <v>1.0833333333333333</v>
      </c>
      <c r="F2290" t="s">
        <v>3317</v>
      </c>
      <c r="G2290">
        <v>4</v>
      </c>
      <c r="H2290">
        <v>1081.3823</v>
      </c>
      <c r="I2290">
        <v>7</v>
      </c>
      <c r="J2290">
        <v>1163.79</v>
      </c>
      <c r="K2290">
        <v>5.4825867599182097</v>
      </c>
      <c r="L2290">
        <v>1158.8800000000001</v>
      </c>
      <c r="M2290" t="s">
        <v>27</v>
      </c>
      <c r="N2290">
        <v>1</v>
      </c>
      <c r="O2290">
        <v>1330</v>
      </c>
      <c r="P2290">
        <v>1157</v>
      </c>
      <c r="Q2290">
        <v>0</v>
      </c>
      <c r="R2290">
        <v>1157</v>
      </c>
    </row>
    <row r="2291" spans="1:18" x14ac:dyDescent="0.3">
      <c r="A2291" s="5">
        <v>45972</v>
      </c>
      <c r="B2291" t="s">
        <v>3316</v>
      </c>
      <c r="C2291">
        <v>11</v>
      </c>
      <c r="D2291">
        <v>36</v>
      </c>
      <c r="E2291" s="1">
        <v>1.0833333333333333</v>
      </c>
      <c r="F2291" t="s">
        <v>3317</v>
      </c>
      <c r="G2291">
        <v>4</v>
      </c>
      <c r="H2291">
        <v>1081.3823</v>
      </c>
      <c r="I2291">
        <v>7</v>
      </c>
      <c r="J2291">
        <v>1163.79</v>
      </c>
      <c r="K2291">
        <v>5.4825867599182097</v>
      </c>
      <c r="L2291">
        <v>1158.8800000000001</v>
      </c>
      <c r="M2291" t="s">
        <v>27</v>
      </c>
      <c r="N2291">
        <v>1</v>
      </c>
      <c r="O2291">
        <v>1330</v>
      </c>
      <c r="P2291">
        <v>1157</v>
      </c>
      <c r="Q2291">
        <v>0</v>
      </c>
      <c r="R2291">
        <v>1157</v>
      </c>
    </row>
    <row r="2292" spans="1:18" x14ac:dyDescent="0.3">
      <c r="A2292" s="5">
        <v>45972</v>
      </c>
      <c r="B2292" t="s">
        <v>3318</v>
      </c>
      <c r="C2292">
        <v>12</v>
      </c>
      <c r="D2292">
        <v>36</v>
      </c>
      <c r="E2292" s="1">
        <v>1.0833333333333333</v>
      </c>
      <c r="F2292" t="s">
        <v>3317</v>
      </c>
      <c r="G2292">
        <v>4</v>
      </c>
      <c r="H2292">
        <v>1081.3641</v>
      </c>
      <c r="I2292">
        <v>7</v>
      </c>
      <c r="J2292">
        <v>1163.79</v>
      </c>
      <c r="K2292">
        <v>5.4825867599182097</v>
      </c>
      <c r="L2292">
        <v>1158.8800000000001</v>
      </c>
      <c r="M2292" t="s">
        <v>27</v>
      </c>
      <c r="N2292">
        <v>1</v>
      </c>
      <c r="O2292">
        <v>1330</v>
      </c>
      <c r="P2292">
        <v>1157</v>
      </c>
      <c r="Q2292">
        <v>0</v>
      </c>
      <c r="R2292">
        <v>1157</v>
      </c>
    </row>
    <row r="2293" spans="1:18" x14ac:dyDescent="0.3">
      <c r="A2293" s="5">
        <v>45972</v>
      </c>
      <c r="B2293" t="s">
        <v>3318</v>
      </c>
      <c r="C2293">
        <v>12</v>
      </c>
      <c r="D2293">
        <v>36</v>
      </c>
      <c r="E2293" s="1">
        <v>1.0833333333333333</v>
      </c>
      <c r="F2293" t="s">
        <v>3317</v>
      </c>
      <c r="G2293">
        <v>4</v>
      </c>
      <c r="H2293">
        <v>1081.3641</v>
      </c>
      <c r="I2293">
        <v>7</v>
      </c>
      <c r="J2293">
        <v>1163.79</v>
      </c>
      <c r="K2293">
        <v>5.4825867599182097</v>
      </c>
      <c r="L2293">
        <v>1158.8800000000001</v>
      </c>
      <c r="M2293" t="s">
        <v>27</v>
      </c>
      <c r="N2293">
        <v>1</v>
      </c>
      <c r="O2293">
        <v>1330</v>
      </c>
      <c r="P2293">
        <v>1157</v>
      </c>
      <c r="Q2293">
        <v>0</v>
      </c>
      <c r="R2293">
        <v>1157</v>
      </c>
    </row>
    <row r="2294" spans="1:18" x14ac:dyDescent="0.3">
      <c r="A2294" s="5">
        <v>45973</v>
      </c>
      <c r="B2294" t="s">
        <v>3319</v>
      </c>
      <c r="C2294">
        <v>3</v>
      </c>
      <c r="D2294">
        <v>36</v>
      </c>
      <c r="E2294" s="1">
        <v>1.0833333333333333</v>
      </c>
      <c r="F2294" t="s">
        <v>3320</v>
      </c>
      <c r="G2294">
        <v>4</v>
      </c>
      <c r="H2294">
        <v>1081.5127</v>
      </c>
      <c r="I2294">
        <v>7</v>
      </c>
      <c r="J2294">
        <v>1163.79</v>
      </c>
      <c r="K2294">
        <v>5.4825867599182097</v>
      </c>
      <c r="L2294">
        <v>1219.83</v>
      </c>
      <c r="M2294" t="s">
        <v>27</v>
      </c>
      <c r="N2294">
        <v>1</v>
      </c>
      <c r="O2294">
        <v>1330</v>
      </c>
      <c r="P2294">
        <v>1157</v>
      </c>
      <c r="Q2294">
        <v>0</v>
      </c>
      <c r="R2294">
        <v>1157</v>
      </c>
    </row>
    <row r="2295" spans="1:18" x14ac:dyDescent="0.3">
      <c r="A2295" s="5">
        <v>45973</v>
      </c>
      <c r="B2295" t="s">
        <v>3321</v>
      </c>
      <c r="C2295">
        <v>19</v>
      </c>
      <c r="D2295">
        <v>36</v>
      </c>
      <c r="E2295" s="1">
        <v>1.0833333333333333</v>
      </c>
      <c r="F2295" t="s">
        <v>3322</v>
      </c>
      <c r="G2295">
        <v>4</v>
      </c>
      <c r="H2295">
        <v>1081.2249999999999</v>
      </c>
      <c r="I2295">
        <v>7</v>
      </c>
      <c r="J2295">
        <v>1163.79</v>
      </c>
      <c r="K2295">
        <v>5.4825867599182097</v>
      </c>
      <c r="L2295">
        <v>1219.83</v>
      </c>
      <c r="M2295" t="s">
        <v>27</v>
      </c>
      <c r="N2295">
        <v>1</v>
      </c>
      <c r="O2295">
        <v>1330</v>
      </c>
      <c r="P2295">
        <v>1157</v>
      </c>
      <c r="Q2295">
        <v>0</v>
      </c>
      <c r="R2295">
        <v>1157</v>
      </c>
    </row>
    <row r="2296" spans="1:18" x14ac:dyDescent="0.3">
      <c r="A2296" s="5">
        <v>45973</v>
      </c>
      <c r="B2296" t="s">
        <v>3323</v>
      </c>
      <c r="C2296">
        <v>20</v>
      </c>
      <c r="D2296">
        <v>36</v>
      </c>
      <c r="E2296" s="1">
        <v>1.0833333333333333</v>
      </c>
      <c r="F2296" t="s">
        <v>3324</v>
      </c>
      <c r="G2296">
        <v>4</v>
      </c>
      <c r="H2296">
        <v>1081.2068999999999</v>
      </c>
      <c r="I2296">
        <v>7</v>
      </c>
      <c r="J2296">
        <v>1163.79</v>
      </c>
      <c r="K2296">
        <v>5.4825867599182097</v>
      </c>
      <c r="L2296">
        <v>1219.83</v>
      </c>
      <c r="M2296" t="s">
        <v>27</v>
      </c>
      <c r="N2296">
        <v>1</v>
      </c>
      <c r="O2296">
        <v>1330</v>
      </c>
      <c r="P2296">
        <v>1157</v>
      </c>
      <c r="Q2296">
        <v>0</v>
      </c>
      <c r="R2296">
        <v>1157</v>
      </c>
    </row>
    <row r="2297" spans="1:18" x14ac:dyDescent="0.3">
      <c r="A2297" s="5">
        <v>45973</v>
      </c>
      <c r="B2297" t="s">
        <v>3325</v>
      </c>
      <c r="C2297">
        <v>22</v>
      </c>
      <c r="D2297">
        <v>36</v>
      </c>
      <c r="E2297" s="1">
        <v>1.0833333333333333</v>
      </c>
      <c r="F2297" t="s">
        <v>3326</v>
      </c>
      <c r="G2297">
        <v>4</v>
      </c>
      <c r="H2297">
        <v>1081.0385000000001</v>
      </c>
      <c r="I2297">
        <v>7</v>
      </c>
      <c r="J2297">
        <v>1163.79</v>
      </c>
      <c r="K2297">
        <v>5.4825867599182097</v>
      </c>
      <c r="L2297">
        <v>1219.83</v>
      </c>
      <c r="M2297" t="s">
        <v>27</v>
      </c>
      <c r="N2297">
        <v>1</v>
      </c>
      <c r="O2297">
        <v>1330</v>
      </c>
      <c r="P2297">
        <v>1157</v>
      </c>
      <c r="Q2297">
        <v>0</v>
      </c>
      <c r="R2297">
        <v>1157</v>
      </c>
    </row>
    <row r="2298" spans="1:18" x14ac:dyDescent="0.3">
      <c r="A2298" s="5">
        <v>45973</v>
      </c>
      <c r="B2298" t="s">
        <v>3327</v>
      </c>
      <c r="C2298">
        <v>23</v>
      </c>
      <c r="D2298">
        <v>36</v>
      </c>
      <c r="E2298" s="1">
        <v>1.0833333333333333</v>
      </c>
      <c r="F2298" t="s">
        <v>3328</v>
      </c>
      <c r="G2298">
        <v>4</v>
      </c>
      <c r="H2298">
        <v>1081.0205000000001</v>
      </c>
      <c r="I2298">
        <v>7</v>
      </c>
      <c r="J2298">
        <v>1163.79</v>
      </c>
      <c r="K2298">
        <v>5.4825867599182097</v>
      </c>
      <c r="L2298">
        <v>1219.83</v>
      </c>
      <c r="M2298" t="s">
        <v>27</v>
      </c>
      <c r="N2298">
        <v>1</v>
      </c>
      <c r="O2298">
        <v>1330</v>
      </c>
      <c r="P2298">
        <v>1157</v>
      </c>
      <c r="Q2298">
        <v>0</v>
      </c>
      <c r="R2298">
        <v>1157</v>
      </c>
    </row>
    <row r="2299" spans="1:18" x14ac:dyDescent="0.3">
      <c r="A2299" s="5">
        <v>45973</v>
      </c>
      <c r="B2299" t="s">
        <v>3329</v>
      </c>
      <c r="C2299">
        <v>5</v>
      </c>
      <c r="D2299">
        <v>36</v>
      </c>
      <c r="E2299" s="1">
        <v>1.0833333333333333</v>
      </c>
      <c r="F2299" t="s">
        <v>3330</v>
      </c>
      <c r="G2299">
        <v>4</v>
      </c>
      <c r="H2299">
        <v>1081.4757999999999</v>
      </c>
      <c r="I2299">
        <v>7</v>
      </c>
      <c r="J2299">
        <v>1163.79</v>
      </c>
      <c r="K2299">
        <v>5.4825867599182097</v>
      </c>
      <c r="L2299">
        <v>1219.83</v>
      </c>
      <c r="M2299" t="s">
        <v>27</v>
      </c>
      <c r="N2299">
        <v>1</v>
      </c>
      <c r="O2299">
        <v>1330</v>
      </c>
      <c r="P2299">
        <v>1157</v>
      </c>
      <c r="Q2299">
        <v>0</v>
      </c>
      <c r="R2299">
        <v>1157</v>
      </c>
    </row>
    <row r="2300" spans="1:18" x14ac:dyDescent="0.3">
      <c r="A2300" s="5">
        <v>45973</v>
      </c>
      <c r="B2300" t="s">
        <v>3331</v>
      </c>
      <c r="C2300">
        <v>9</v>
      </c>
      <c r="D2300">
        <v>36</v>
      </c>
      <c r="E2300" s="1">
        <v>1.0833333333333333</v>
      </c>
      <c r="F2300" t="s">
        <v>3332</v>
      </c>
      <c r="G2300">
        <v>5</v>
      </c>
      <c r="H2300">
        <v>1081.4164000000001</v>
      </c>
      <c r="I2300">
        <v>0</v>
      </c>
      <c r="J2300">
        <v>1163.79</v>
      </c>
      <c r="K2300">
        <v>0</v>
      </c>
      <c r="L2300">
        <v>1158.8800000000001</v>
      </c>
      <c r="M2300" t="s">
        <v>27</v>
      </c>
      <c r="N2300">
        <v>1</v>
      </c>
      <c r="O2300">
        <v>1254</v>
      </c>
      <c r="P2300">
        <v>1081</v>
      </c>
      <c r="Q2300">
        <v>0</v>
      </c>
      <c r="R2300">
        <v>1081</v>
      </c>
    </row>
    <row r="2301" spans="1:18" x14ac:dyDescent="0.3">
      <c r="A2301" s="5">
        <v>45973</v>
      </c>
      <c r="B2301" t="s">
        <v>3333</v>
      </c>
      <c r="C2301">
        <v>35</v>
      </c>
      <c r="D2301">
        <v>36</v>
      </c>
      <c r="E2301" s="1">
        <v>1.25</v>
      </c>
      <c r="F2301" t="s">
        <v>3334</v>
      </c>
      <c r="G2301">
        <v>1</v>
      </c>
      <c r="H2301">
        <v>1080.8030000000001</v>
      </c>
      <c r="I2301">
        <v>8.5</v>
      </c>
      <c r="J2301">
        <v>1163.79</v>
      </c>
      <c r="K2301">
        <v>6.6574267799006801</v>
      </c>
      <c r="L2301">
        <v>1219.83</v>
      </c>
      <c r="M2301" t="s">
        <v>27</v>
      </c>
      <c r="N2301">
        <v>1</v>
      </c>
      <c r="O2301">
        <v>1346</v>
      </c>
      <c r="P2301">
        <v>1173</v>
      </c>
      <c r="Q2301">
        <v>0</v>
      </c>
      <c r="R2301">
        <v>1173</v>
      </c>
    </row>
    <row r="2302" spans="1:18" x14ac:dyDescent="0.3">
      <c r="A2302" s="5">
        <v>45973</v>
      </c>
      <c r="B2302" t="s">
        <v>3335</v>
      </c>
      <c r="C2302">
        <v>4</v>
      </c>
      <c r="D2302">
        <v>36</v>
      </c>
      <c r="E2302" s="1">
        <v>1.4583333333333333</v>
      </c>
      <c r="F2302" t="s">
        <v>3336</v>
      </c>
      <c r="G2302">
        <v>5</v>
      </c>
      <c r="H2302">
        <v>1081.3638000000001</v>
      </c>
      <c r="I2302">
        <v>0</v>
      </c>
      <c r="J2302">
        <v>1163.79</v>
      </c>
      <c r="K2302">
        <v>0</v>
      </c>
      <c r="L2302">
        <v>1158.8800000000001</v>
      </c>
      <c r="M2302" t="s">
        <v>27</v>
      </c>
      <c r="N2302">
        <v>1</v>
      </c>
      <c r="O2302">
        <v>1254</v>
      </c>
      <c r="P2302">
        <v>1081</v>
      </c>
      <c r="Q2302">
        <v>0</v>
      </c>
      <c r="R2302">
        <v>1081</v>
      </c>
    </row>
    <row r="2303" spans="1:18" x14ac:dyDescent="0.3">
      <c r="A2303" s="5">
        <v>45973</v>
      </c>
      <c r="B2303" t="s">
        <v>3337</v>
      </c>
      <c r="C2303">
        <v>34</v>
      </c>
      <c r="D2303">
        <v>36</v>
      </c>
      <c r="E2303" s="1">
        <v>1.9993055555555554</v>
      </c>
      <c r="F2303" t="s">
        <v>3338</v>
      </c>
      <c r="G2303">
        <v>5</v>
      </c>
      <c r="H2303">
        <v>1080.597</v>
      </c>
      <c r="I2303">
        <v>0</v>
      </c>
      <c r="J2303">
        <v>1163.79</v>
      </c>
      <c r="K2303">
        <v>0</v>
      </c>
      <c r="L2303">
        <v>1158.8800000000001</v>
      </c>
      <c r="M2303" t="s">
        <v>27</v>
      </c>
      <c r="N2303">
        <v>1</v>
      </c>
      <c r="O2303">
        <v>1253</v>
      </c>
      <c r="P2303">
        <v>1081</v>
      </c>
      <c r="Q2303">
        <v>0</v>
      </c>
      <c r="R2303">
        <v>1081</v>
      </c>
    </row>
    <row r="2304" spans="1:18" x14ac:dyDescent="0.3">
      <c r="A2304" s="5">
        <v>45973</v>
      </c>
      <c r="B2304" t="s">
        <v>3339</v>
      </c>
      <c r="C2304">
        <v>10</v>
      </c>
      <c r="D2304">
        <v>36</v>
      </c>
      <c r="E2304" s="1">
        <v>1.4583333333333333</v>
      </c>
      <c r="F2304" t="s">
        <v>3340</v>
      </c>
      <c r="G2304">
        <v>1</v>
      </c>
      <c r="H2304">
        <v>1081.3755000000001</v>
      </c>
      <c r="I2304">
        <v>8.5</v>
      </c>
      <c r="J2304">
        <v>1163.79</v>
      </c>
      <c r="K2304">
        <v>6.6574267799006801</v>
      </c>
      <c r="L2304">
        <v>1219.83</v>
      </c>
      <c r="M2304" t="s">
        <v>27</v>
      </c>
      <c r="N2304">
        <v>1</v>
      </c>
      <c r="O2304">
        <v>1346</v>
      </c>
      <c r="P2304">
        <v>1173</v>
      </c>
      <c r="Q2304">
        <v>0</v>
      </c>
      <c r="R2304">
        <v>1173</v>
      </c>
    </row>
    <row r="2305" spans="1:18" x14ac:dyDescent="0.3">
      <c r="A2305" s="5">
        <v>45973</v>
      </c>
      <c r="B2305" t="s">
        <v>3341</v>
      </c>
      <c r="C2305">
        <v>12</v>
      </c>
      <c r="D2305">
        <v>36</v>
      </c>
      <c r="E2305" s="1">
        <v>1.9993055555555554</v>
      </c>
      <c r="F2305" t="s">
        <v>3342</v>
      </c>
      <c r="G2305">
        <v>5</v>
      </c>
      <c r="H2305">
        <v>1081.125</v>
      </c>
      <c r="I2305">
        <v>0</v>
      </c>
      <c r="J2305">
        <v>1163.79</v>
      </c>
      <c r="K2305">
        <v>0</v>
      </c>
      <c r="L2305">
        <v>1158.8800000000001</v>
      </c>
      <c r="M2305" t="s">
        <v>27</v>
      </c>
      <c r="N2305">
        <v>1</v>
      </c>
      <c r="O2305">
        <v>1254</v>
      </c>
      <c r="P2305">
        <v>1081</v>
      </c>
      <c r="Q2305">
        <v>0</v>
      </c>
      <c r="R2305">
        <v>1081</v>
      </c>
    </row>
    <row r="2306" spans="1:18" x14ac:dyDescent="0.3">
      <c r="A2306" s="5">
        <v>45973</v>
      </c>
      <c r="B2306" t="s">
        <v>3343</v>
      </c>
      <c r="C2306">
        <v>27</v>
      </c>
      <c r="D2306">
        <v>36</v>
      </c>
      <c r="E2306" s="1">
        <v>1.4583333333333333</v>
      </c>
      <c r="F2306" t="s">
        <v>3344</v>
      </c>
      <c r="G2306">
        <v>5</v>
      </c>
      <c r="H2306">
        <v>1080.9471000000001</v>
      </c>
      <c r="I2306">
        <v>0</v>
      </c>
      <c r="J2306">
        <v>1163.79</v>
      </c>
      <c r="K2306">
        <v>0</v>
      </c>
      <c r="L2306">
        <v>975.86</v>
      </c>
      <c r="M2306" t="s">
        <v>44</v>
      </c>
      <c r="N2306">
        <v>1</v>
      </c>
      <c r="O2306">
        <v>1254</v>
      </c>
      <c r="P2306">
        <v>1081</v>
      </c>
      <c r="Q2306">
        <v>0</v>
      </c>
      <c r="R2306">
        <v>1081</v>
      </c>
    </row>
    <row r="2307" spans="1:18" x14ac:dyDescent="0.3">
      <c r="A2307" s="5">
        <v>45973</v>
      </c>
      <c r="B2307" t="s">
        <v>3345</v>
      </c>
      <c r="C2307">
        <v>36</v>
      </c>
      <c r="D2307">
        <v>36</v>
      </c>
      <c r="E2307" s="1">
        <v>1.4583333333333333</v>
      </c>
      <c r="F2307" t="s">
        <v>3346</v>
      </c>
      <c r="G2307">
        <v>1</v>
      </c>
      <c r="H2307">
        <v>1080.7853</v>
      </c>
      <c r="I2307">
        <v>8.5</v>
      </c>
      <c r="J2307">
        <v>1163.79</v>
      </c>
      <c r="K2307">
        <v>6.6574267799006801</v>
      </c>
      <c r="L2307">
        <v>1219.83</v>
      </c>
      <c r="M2307" t="s">
        <v>27</v>
      </c>
      <c r="N2307">
        <v>1</v>
      </c>
      <c r="O2307">
        <v>1346</v>
      </c>
      <c r="P2307">
        <v>1173</v>
      </c>
      <c r="Q2307">
        <v>0</v>
      </c>
      <c r="R2307">
        <v>1173</v>
      </c>
    </row>
    <row r="2308" spans="1:18" x14ac:dyDescent="0.3">
      <c r="A2308" s="5">
        <v>45973</v>
      </c>
      <c r="B2308" t="s">
        <v>3347</v>
      </c>
      <c r="C2308">
        <v>13</v>
      </c>
      <c r="D2308">
        <v>36</v>
      </c>
      <c r="E2308" s="1">
        <v>1.9993055555555554</v>
      </c>
      <c r="F2308" t="s">
        <v>3348</v>
      </c>
      <c r="G2308">
        <v>5</v>
      </c>
      <c r="H2308">
        <v>1081.1061999999999</v>
      </c>
      <c r="I2308">
        <v>0</v>
      </c>
      <c r="J2308">
        <v>1163.79</v>
      </c>
      <c r="K2308">
        <v>0</v>
      </c>
      <c r="L2308">
        <v>1158.8800000000001</v>
      </c>
      <c r="M2308" t="s">
        <v>27</v>
      </c>
      <c r="N2308">
        <v>1</v>
      </c>
      <c r="O2308">
        <v>1254</v>
      </c>
      <c r="P2308">
        <v>1081</v>
      </c>
      <c r="Q2308">
        <v>0</v>
      </c>
      <c r="R2308">
        <v>1081</v>
      </c>
    </row>
    <row r="2309" spans="1:18" x14ac:dyDescent="0.3">
      <c r="A2309" s="5">
        <v>45973</v>
      </c>
      <c r="B2309" t="s">
        <v>3349</v>
      </c>
      <c r="C2309">
        <v>30</v>
      </c>
      <c r="D2309">
        <v>36</v>
      </c>
      <c r="E2309" s="1">
        <v>1.4583333333333333</v>
      </c>
      <c r="F2309" t="s">
        <v>3350</v>
      </c>
      <c r="G2309">
        <v>1</v>
      </c>
      <c r="H2309">
        <v>1080.8932</v>
      </c>
      <c r="I2309">
        <v>8.5</v>
      </c>
      <c r="J2309">
        <v>1163.79</v>
      </c>
      <c r="K2309">
        <v>6.6574267799006801</v>
      </c>
      <c r="L2309">
        <v>1219.83</v>
      </c>
      <c r="M2309" t="s">
        <v>27</v>
      </c>
      <c r="N2309">
        <v>1</v>
      </c>
      <c r="O2309">
        <v>1346</v>
      </c>
      <c r="P2309">
        <v>1173</v>
      </c>
      <c r="Q2309">
        <v>0</v>
      </c>
      <c r="R2309">
        <v>1173</v>
      </c>
    </row>
    <row r="2310" spans="1:18" x14ac:dyDescent="0.3">
      <c r="A2310" s="5">
        <v>45973</v>
      </c>
      <c r="B2310" t="s">
        <v>3351</v>
      </c>
      <c r="C2310">
        <v>24</v>
      </c>
      <c r="D2310">
        <v>36</v>
      </c>
      <c r="E2310" s="1">
        <v>1.4583333333333333</v>
      </c>
      <c r="F2310" t="s">
        <v>3352</v>
      </c>
      <c r="G2310">
        <v>1</v>
      </c>
      <c r="H2310">
        <v>1081.0012999999999</v>
      </c>
      <c r="I2310">
        <v>8.5</v>
      </c>
      <c r="J2310">
        <v>1163.79</v>
      </c>
      <c r="K2310">
        <v>6.6574267799006801</v>
      </c>
      <c r="L2310">
        <v>1219.83</v>
      </c>
      <c r="M2310" t="s">
        <v>27</v>
      </c>
      <c r="N2310">
        <v>1</v>
      </c>
      <c r="O2310">
        <v>1346</v>
      </c>
      <c r="P2310">
        <v>1173</v>
      </c>
      <c r="Q2310">
        <v>0</v>
      </c>
      <c r="R2310">
        <v>1173</v>
      </c>
    </row>
    <row r="2311" spans="1:18" x14ac:dyDescent="0.3">
      <c r="A2311" s="5">
        <v>45973</v>
      </c>
      <c r="B2311" t="s">
        <v>3353</v>
      </c>
      <c r="C2311">
        <v>18</v>
      </c>
      <c r="D2311">
        <v>36</v>
      </c>
      <c r="E2311" s="1">
        <v>1.4583333333333333</v>
      </c>
      <c r="F2311" t="s">
        <v>3354</v>
      </c>
      <c r="G2311">
        <v>2</v>
      </c>
      <c r="H2311">
        <v>1081.2308</v>
      </c>
      <c r="I2311">
        <v>5</v>
      </c>
      <c r="J2311">
        <v>1163.79</v>
      </c>
      <c r="K2311">
        <v>3.9161333999415802</v>
      </c>
      <c r="L2311">
        <v>609.91</v>
      </c>
      <c r="M2311" t="s">
        <v>60</v>
      </c>
      <c r="N2311">
        <v>1</v>
      </c>
      <c r="O2311">
        <v>1308</v>
      </c>
      <c r="P2311">
        <v>1135</v>
      </c>
      <c r="Q2311">
        <v>0.5</v>
      </c>
      <c r="R2311">
        <v>567.5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5"/>
  <sheetViews>
    <sheetView tabSelected="1" topLeftCell="C1" workbookViewId="0">
      <selection activeCell="H23" sqref="H23"/>
    </sheetView>
  </sheetViews>
  <sheetFormatPr baseColWidth="10" defaultRowHeight="14" outlineLevelCol="1" x14ac:dyDescent="0.3"/>
  <cols>
    <col min="1" max="1" width="16.796875" bestFit="1" customWidth="1"/>
    <col min="2" max="2" width="12.09765625" bestFit="1" customWidth="1"/>
    <col min="3" max="3" width="24.5" bestFit="1" customWidth="1"/>
    <col min="4" max="4" width="22.09765625" customWidth="1" outlineLevel="1"/>
    <col min="5" max="5" width="15.5" customWidth="1"/>
    <col min="6" max="6" width="17.69921875" customWidth="1" outlineLevel="1"/>
    <col min="7" max="7" width="12.5" customWidth="1" outlineLevel="1"/>
    <col min="8" max="8" width="11.8984375" customWidth="1" outlineLevel="1"/>
    <col min="9" max="9" width="17.8984375" bestFit="1" customWidth="1"/>
    <col min="10" max="10" width="11.59765625" customWidth="1"/>
    <col min="11" max="11" width="20.59765625" customWidth="1"/>
    <col min="12" max="12" width="17.69921875" bestFit="1" customWidth="1"/>
    <col min="13" max="13" width="16.3984375" bestFit="1" customWidth="1"/>
    <col min="14" max="14" width="12" bestFit="1" customWidth="1"/>
  </cols>
  <sheetData>
    <row r="3" spans="1:15" x14ac:dyDescent="0.3">
      <c r="A3" s="2" t="s">
        <v>3355</v>
      </c>
      <c r="B3" t="s">
        <v>3357</v>
      </c>
      <c r="C3" t="s">
        <v>3358</v>
      </c>
      <c r="D3" t="s">
        <v>3369</v>
      </c>
      <c r="E3" t="s">
        <v>3368</v>
      </c>
      <c r="F3" s="4" t="s">
        <v>3359</v>
      </c>
      <c r="G3" s="9" t="s">
        <v>3360</v>
      </c>
      <c r="H3" s="10" t="s">
        <v>3361</v>
      </c>
      <c r="I3" s="11" t="s">
        <v>3373</v>
      </c>
      <c r="J3" s="4" t="s">
        <v>3362</v>
      </c>
      <c r="K3" s="4" t="s">
        <v>3363</v>
      </c>
      <c r="L3" s="4" t="s">
        <v>3364</v>
      </c>
      <c r="M3" s="12" t="s">
        <v>3365</v>
      </c>
      <c r="N3" s="9" t="s">
        <v>3366</v>
      </c>
    </row>
    <row r="4" spans="1:15" x14ac:dyDescent="0.3">
      <c r="A4" s="6">
        <v>45954</v>
      </c>
      <c r="B4" s="8">
        <v>177</v>
      </c>
      <c r="C4" s="7">
        <v>197860.74000000008</v>
      </c>
      <c r="D4" s="7">
        <v>198587</v>
      </c>
      <c r="E4" s="7">
        <v>191642</v>
      </c>
      <c r="F4" s="7">
        <f xml:space="preserve"> E4 - C4</f>
        <v>-6218.740000000078</v>
      </c>
      <c r="G4" s="13">
        <f xml:space="preserve"> (E4-C4)/C4</f>
        <v>-3.1429883462480102E-2</v>
      </c>
      <c r="H4" s="13">
        <f>-1.35*G4</f>
        <v>4.2430342674348143E-2</v>
      </c>
      <c r="I4" s="8">
        <f>B4 * (1 + H4 )</f>
        <v>184.51017065335964</v>
      </c>
      <c r="J4">
        <f>C4 / B4</f>
        <v>1117.8572881355938</v>
      </c>
      <c r="K4" s="14">
        <f xml:space="preserve"> E4 / B4</f>
        <v>1082.7231638418079</v>
      </c>
      <c r="L4" s="14">
        <f xml:space="preserve"> I4 * K4</f>
        <v>199773.43573079744</v>
      </c>
      <c r="M4" s="14">
        <f xml:space="preserve"> L4 - C4</f>
        <v>1912.6957307973644</v>
      </c>
      <c r="N4" s="13">
        <f xml:space="preserve"> ( L4 - C4 ) / C4</f>
        <v>9.66687848634026E-3</v>
      </c>
      <c r="O4" t="str">
        <f>TEXT(A4,"ddd")</f>
        <v>vie</v>
      </c>
    </row>
    <row r="5" spans="1:15" x14ac:dyDescent="0.3">
      <c r="A5" s="6">
        <v>45955</v>
      </c>
      <c r="B5" s="8">
        <v>103</v>
      </c>
      <c r="C5" s="7">
        <v>109268.30999999985</v>
      </c>
      <c r="D5" s="7">
        <v>116576</v>
      </c>
      <c r="E5" s="7">
        <v>106190.5</v>
      </c>
      <c r="F5" s="7">
        <f t="shared" ref="F5:F23" si="0" xml:space="preserve"> E5 - C5</f>
        <v>-3077.8099999998522</v>
      </c>
      <c r="G5" s="13">
        <f t="shared" ref="G5:G23" si="1" xml:space="preserve"> (E5-C5)/C5</f>
        <v>-2.8167453125246069E-2</v>
      </c>
      <c r="H5" s="13">
        <f t="shared" ref="H5:H23" si="2">-1.35*G5</f>
        <v>3.8026061719082196E-2</v>
      </c>
      <c r="I5" s="8">
        <f t="shared" ref="I5:I23" si="3">B5 * (1 + H5 )</f>
        <v>106.91668435706546</v>
      </c>
      <c r="J5">
        <f t="shared" ref="J5:J22" si="4">C5 / B5</f>
        <v>1060.8573786407753</v>
      </c>
      <c r="K5" s="14">
        <f t="shared" ref="K5:K22" si="5" xml:space="preserve"> E5 / B5</f>
        <v>1030.9757281553398</v>
      </c>
      <c r="L5" s="14">
        <f t="shared" ref="L5:L22" si="6" xml:space="preserve"> I5 * K5</f>
        <v>110228.50650698019</v>
      </c>
      <c r="M5" s="14">
        <f t="shared" ref="M5:M22" si="7" xml:space="preserve"> L5 - C5</f>
        <v>960.19650698034093</v>
      </c>
      <c r="N5" s="13">
        <f t="shared" ref="N5:N22" si="8" xml:space="preserve"> ( L5 - C5 ) / C5</f>
        <v>8.7875112828261215E-3</v>
      </c>
      <c r="O5" t="str">
        <f t="shared" ref="O5:O22" si="9">TEXT(A5,"ddd")</f>
        <v>sáb</v>
      </c>
    </row>
    <row r="6" spans="1:15" x14ac:dyDescent="0.3">
      <c r="A6" s="6">
        <v>45956</v>
      </c>
      <c r="B6" s="8">
        <v>60</v>
      </c>
      <c r="C6" s="7">
        <v>63304.550000000047</v>
      </c>
      <c r="D6" s="7">
        <v>67488</v>
      </c>
      <c r="E6" s="7">
        <v>61243</v>
      </c>
      <c r="F6" s="7">
        <f t="shared" si="0"/>
        <v>-2061.5500000000466</v>
      </c>
      <c r="G6" s="13">
        <f t="shared" si="1"/>
        <v>-3.2565589677204007E-2</v>
      </c>
      <c r="H6" s="13">
        <f t="shared" si="2"/>
        <v>4.3963546064225416E-2</v>
      </c>
      <c r="I6" s="8">
        <f t="shared" si="3"/>
        <v>62.637812763853525</v>
      </c>
      <c r="J6">
        <f t="shared" si="4"/>
        <v>1055.075833333334</v>
      </c>
      <c r="K6" s="14">
        <f t="shared" si="5"/>
        <v>1020.7166666666667</v>
      </c>
      <c r="L6" s="14">
        <f t="shared" si="6"/>
        <v>63935.459451611358</v>
      </c>
      <c r="M6" s="14">
        <f t="shared" si="7"/>
        <v>630.90945161131094</v>
      </c>
      <c r="N6" s="13">
        <f t="shared" si="8"/>
        <v>9.9662575851389903E-3</v>
      </c>
      <c r="O6" t="str">
        <f t="shared" si="9"/>
        <v>dom</v>
      </c>
    </row>
    <row r="7" spans="1:15" x14ac:dyDescent="0.3">
      <c r="A7" s="6">
        <v>45957</v>
      </c>
      <c r="B7" s="8">
        <v>174</v>
      </c>
      <c r="C7" s="7">
        <v>180020.50999999995</v>
      </c>
      <c r="D7" s="7">
        <v>195038</v>
      </c>
      <c r="E7" s="7">
        <v>174161</v>
      </c>
      <c r="F7" s="7">
        <f t="shared" si="0"/>
        <v>-5859.5099999999511</v>
      </c>
      <c r="G7" s="13">
        <f t="shared" si="1"/>
        <v>-3.2549124541420046E-2</v>
      </c>
      <c r="H7" s="13">
        <f t="shared" si="2"/>
        <v>4.3941318130917069E-2</v>
      </c>
      <c r="I7" s="8">
        <f t="shared" si="3"/>
        <v>181.64578935477959</v>
      </c>
      <c r="J7">
        <f t="shared" si="4"/>
        <v>1034.6006321839077</v>
      </c>
      <c r="K7" s="14">
        <f t="shared" si="5"/>
        <v>1000.9252873563219</v>
      </c>
      <c r="L7" s="14">
        <f t="shared" si="6"/>
        <v>181813.86390699868</v>
      </c>
      <c r="M7" s="14">
        <f t="shared" si="7"/>
        <v>1793.353906998731</v>
      </c>
      <c r="N7" s="13">
        <f t="shared" si="8"/>
        <v>9.9619421531398356E-3</v>
      </c>
      <c r="O7" t="str">
        <f t="shared" si="9"/>
        <v>lun</v>
      </c>
    </row>
    <row r="8" spans="1:15" x14ac:dyDescent="0.3">
      <c r="A8" s="6">
        <v>45958</v>
      </c>
      <c r="B8" s="8">
        <v>50</v>
      </c>
      <c r="C8" s="7">
        <v>53042.85000000002</v>
      </c>
      <c r="D8" s="7">
        <v>56516</v>
      </c>
      <c r="E8" s="7">
        <v>51421.5</v>
      </c>
      <c r="F8" s="7">
        <f t="shared" si="0"/>
        <v>-1621.3500000000204</v>
      </c>
      <c r="G8" s="13">
        <f t="shared" si="1"/>
        <v>-3.056679646738476E-2</v>
      </c>
      <c r="H8" s="13">
        <f t="shared" si="2"/>
        <v>4.1265175230969425E-2</v>
      </c>
      <c r="I8" s="8">
        <f t="shared" si="3"/>
        <v>52.063258761548468</v>
      </c>
      <c r="J8">
        <f t="shared" si="4"/>
        <v>1060.8570000000004</v>
      </c>
      <c r="K8" s="14">
        <f t="shared" si="5"/>
        <v>1028.43</v>
      </c>
      <c r="L8" s="14">
        <f t="shared" si="6"/>
        <v>53543.417208139297</v>
      </c>
      <c r="M8" s="14">
        <f t="shared" si="7"/>
        <v>500.56720813927677</v>
      </c>
      <c r="N8" s="13">
        <f t="shared" si="8"/>
        <v>9.4370345511087094E-3</v>
      </c>
      <c r="O8" t="str">
        <f t="shared" si="9"/>
        <v>mar</v>
      </c>
    </row>
    <row r="9" spans="1:15" x14ac:dyDescent="0.3">
      <c r="A9" s="6">
        <v>45959</v>
      </c>
      <c r="B9" s="8">
        <v>99</v>
      </c>
      <c r="C9" s="7">
        <v>102194.1500000001</v>
      </c>
      <c r="D9" s="7">
        <v>111004</v>
      </c>
      <c r="E9" s="7">
        <v>98438</v>
      </c>
      <c r="F9" s="7">
        <f t="shared" si="0"/>
        <v>-3756.150000000096</v>
      </c>
      <c r="G9" s="13">
        <f t="shared" si="1"/>
        <v>-3.6755039305088333E-2</v>
      </c>
      <c r="H9" s="13">
        <f t="shared" si="2"/>
        <v>4.9619303061869249E-2</v>
      </c>
      <c r="I9" s="8">
        <f t="shared" si="3"/>
        <v>103.91231100312505</v>
      </c>
      <c r="J9">
        <f t="shared" si="4"/>
        <v>1032.2641414141424</v>
      </c>
      <c r="K9" s="14">
        <f t="shared" si="5"/>
        <v>994.32323232323233</v>
      </c>
      <c r="L9" s="14">
        <f t="shared" si="6"/>
        <v>103322.42495480429</v>
      </c>
      <c r="M9" s="14">
        <f t="shared" si="7"/>
        <v>1128.2749548041902</v>
      </c>
      <c r="N9" s="13">
        <f t="shared" si="8"/>
        <v>1.1040504322450836E-2</v>
      </c>
      <c r="O9" t="str">
        <f t="shared" si="9"/>
        <v>mié</v>
      </c>
    </row>
    <row r="10" spans="1:15" x14ac:dyDescent="0.3">
      <c r="A10" s="6">
        <v>45960</v>
      </c>
      <c r="B10" s="8">
        <v>91</v>
      </c>
      <c r="C10" s="7">
        <v>98161.89999999998</v>
      </c>
      <c r="D10" s="7">
        <v>103155</v>
      </c>
      <c r="E10" s="7">
        <v>94469.5</v>
      </c>
      <c r="F10" s="7">
        <f t="shared" si="0"/>
        <v>-3692.3999999999796</v>
      </c>
      <c r="G10" s="13">
        <f t="shared" si="1"/>
        <v>-3.7615408829698493E-2</v>
      </c>
      <c r="H10" s="13">
        <f t="shared" si="2"/>
        <v>5.0780801920092968E-2</v>
      </c>
      <c r="I10" s="8">
        <f t="shared" si="3"/>
        <v>95.621052974728471</v>
      </c>
      <c r="J10">
        <f t="shared" si="4"/>
        <v>1078.7021978021976</v>
      </c>
      <c r="K10" s="14">
        <f t="shared" si="5"/>
        <v>1038.1263736263736</v>
      </c>
      <c r="L10" s="14">
        <f t="shared" si="6"/>
        <v>99266.736966990225</v>
      </c>
      <c r="M10" s="14">
        <f t="shared" si="7"/>
        <v>1104.8369669902459</v>
      </c>
      <c r="N10" s="13">
        <f t="shared" si="8"/>
        <v>1.125525246547027E-2</v>
      </c>
      <c r="O10" t="str">
        <f t="shared" si="9"/>
        <v>jue</v>
      </c>
    </row>
    <row r="11" spans="1:15" x14ac:dyDescent="0.3">
      <c r="A11" s="6">
        <v>45961</v>
      </c>
      <c r="B11" s="8">
        <v>91</v>
      </c>
      <c r="C11" s="7">
        <v>97565.379999999932</v>
      </c>
      <c r="D11" s="7">
        <v>102987</v>
      </c>
      <c r="E11" s="7">
        <v>92617</v>
      </c>
      <c r="F11" s="7">
        <f t="shared" si="0"/>
        <v>-4948.3799999999319</v>
      </c>
      <c r="G11" s="13">
        <f t="shared" si="1"/>
        <v>-5.0718605308562682E-2</v>
      </c>
      <c r="H11" s="13">
        <f t="shared" si="2"/>
        <v>6.8470117166559624E-2</v>
      </c>
      <c r="I11" s="8">
        <f t="shared" si="3"/>
        <v>97.230780662156917</v>
      </c>
      <c r="J11">
        <f t="shared" si="4"/>
        <v>1072.1470329670321</v>
      </c>
      <c r="K11" s="14">
        <f t="shared" si="5"/>
        <v>1017.7692307692307</v>
      </c>
      <c r="L11" s="14">
        <f t="shared" si="6"/>
        <v>98958.496841615241</v>
      </c>
      <c r="M11" s="14">
        <f t="shared" si="7"/>
        <v>1393.1168416153087</v>
      </c>
      <c r="N11" s="13">
        <f t="shared" si="8"/>
        <v>1.4278803009995037E-2</v>
      </c>
      <c r="O11" t="str">
        <f t="shared" si="9"/>
        <v>vie</v>
      </c>
    </row>
    <row r="12" spans="1:15" x14ac:dyDescent="0.3">
      <c r="A12" s="6">
        <v>45962</v>
      </c>
      <c r="B12" s="8">
        <v>74</v>
      </c>
      <c r="C12" s="7">
        <v>78948.27</v>
      </c>
      <c r="D12" s="7">
        <v>84001</v>
      </c>
      <c r="E12" s="7">
        <v>74690.5</v>
      </c>
      <c r="F12" s="7">
        <f t="shared" si="0"/>
        <v>-4257.7700000000041</v>
      </c>
      <c r="G12" s="13">
        <f t="shared" si="1"/>
        <v>-5.3931137439743822E-2</v>
      </c>
      <c r="H12" s="13">
        <f t="shared" si="2"/>
        <v>7.2807035543654169E-2</v>
      </c>
      <c r="I12" s="8">
        <f t="shared" si="3"/>
        <v>79.387720630230405</v>
      </c>
      <c r="J12">
        <f t="shared" si="4"/>
        <v>1066.8685135135136</v>
      </c>
      <c r="K12" s="14">
        <f t="shared" si="5"/>
        <v>1009.331081081081</v>
      </c>
      <c r="L12" s="14">
        <f t="shared" si="6"/>
        <v>80128.493888273297</v>
      </c>
      <c r="M12" s="14">
        <f t="shared" si="7"/>
        <v>1180.2238882732927</v>
      </c>
      <c r="N12" s="13">
        <f t="shared" si="8"/>
        <v>1.4949331863425159E-2</v>
      </c>
      <c r="O12" t="str">
        <f t="shared" si="9"/>
        <v>sáb</v>
      </c>
    </row>
    <row r="13" spans="1:15" x14ac:dyDescent="0.3">
      <c r="A13" s="6">
        <v>45963</v>
      </c>
      <c r="B13" s="8">
        <v>114</v>
      </c>
      <c r="C13" s="7">
        <v>119389.34000000001</v>
      </c>
      <c r="D13" s="7">
        <v>127703</v>
      </c>
      <c r="E13" s="7">
        <v>112458.5</v>
      </c>
      <c r="F13" s="7">
        <f t="shared" si="0"/>
        <v>-6930.8400000000111</v>
      </c>
      <c r="G13" s="13">
        <f t="shared" si="1"/>
        <v>-5.8052419085322111E-2</v>
      </c>
      <c r="H13" s="13">
        <f t="shared" si="2"/>
        <v>7.8370765765184855E-2</v>
      </c>
      <c r="I13" s="8">
        <f t="shared" si="3"/>
        <v>122.93426729723107</v>
      </c>
      <c r="J13">
        <f t="shared" si="4"/>
        <v>1047.2749122807018</v>
      </c>
      <c r="K13" s="14">
        <f t="shared" si="5"/>
        <v>986.47807017543857</v>
      </c>
      <c r="L13" s="14">
        <f t="shared" si="6"/>
        <v>121271.95876180404</v>
      </c>
      <c r="M13" s="14">
        <f t="shared" si="7"/>
        <v>1882.6187618040276</v>
      </c>
      <c r="N13" s="13">
        <f t="shared" si="8"/>
        <v>1.57687341416246E-2</v>
      </c>
      <c r="O13" t="str">
        <f t="shared" si="9"/>
        <v>dom</v>
      </c>
    </row>
    <row r="14" spans="1:15" x14ac:dyDescent="0.3">
      <c r="A14" s="6">
        <v>45964</v>
      </c>
      <c r="B14" s="8">
        <v>142</v>
      </c>
      <c r="C14" s="7">
        <v>152819.68000000011</v>
      </c>
      <c r="D14" s="7">
        <v>159741</v>
      </c>
      <c r="E14" s="7">
        <v>145851</v>
      </c>
      <c r="F14" s="7">
        <f t="shared" si="0"/>
        <v>-6968.6800000001094</v>
      </c>
      <c r="G14" s="13">
        <f t="shared" si="1"/>
        <v>-4.5600671327149123E-2</v>
      </c>
      <c r="H14" s="13">
        <f t="shared" si="2"/>
        <v>6.156090629165132E-2</v>
      </c>
      <c r="I14" s="8">
        <f t="shared" si="3"/>
        <v>150.7416486934145</v>
      </c>
      <c r="J14">
        <f t="shared" si="4"/>
        <v>1076.1949295774655</v>
      </c>
      <c r="K14" s="14">
        <f t="shared" si="5"/>
        <v>1027.1197183098591</v>
      </c>
      <c r="L14" s="14">
        <f t="shared" si="6"/>
        <v>154829.71974354365</v>
      </c>
      <c r="M14" s="14">
        <f t="shared" si="7"/>
        <v>2010.0397435435443</v>
      </c>
      <c r="N14" s="13">
        <f t="shared" si="8"/>
        <v>1.315301631009529E-2</v>
      </c>
      <c r="O14" t="str">
        <f t="shared" si="9"/>
        <v>lun</v>
      </c>
    </row>
    <row r="15" spans="1:15" x14ac:dyDescent="0.3">
      <c r="A15" s="6">
        <v>45965</v>
      </c>
      <c r="B15" s="8">
        <v>163</v>
      </c>
      <c r="C15" s="7">
        <v>178490.76000000021</v>
      </c>
      <c r="D15" s="7">
        <v>184566</v>
      </c>
      <c r="E15" s="7">
        <v>171854</v>
      </c>
      <c r="F15" s="7">
        <f t="shared" si="0"/>
        <v>-6636.760000000213</v>
      </c>
      <c r="G15" s="13">
        <f t="shared" si="1"/>
        <v>-3.7182653040416236E-2</v>
      </c>
      <c r="H15" s="13">
        <f t="shared" si="2"/>
        <v>5.0196581604561918E-2</v>
      </c>
      <c r="I15" s="8">
        <f t="shared" si="3"/>
        <v>171.18204280154359</v>
      </c>
      <c r="J15">
        <f t="shared" si="4"/>
        <v>1095.0353374233141</v>
      </c>
      <c r="K15" s="14">
        <f t="shared" si="5"/>
        <v>1054.3190184049079</v>
      </c>
      <c r="L15" s="14">
        <f t="shared" si="6"/>
        <v>180480.48333507037</v>
      </c>
      <c r="M15" s="14">
        <f t="shared" si="7"/>
        <v>1989.7233350701572</v>
      </c>
      <c r="N15" s="13">
        <f t="shared" si="8"/>
        <v>1.1147486486528238E-2</v>
      </c>
      <c r="O15" t="str">
        <f t="shared" si="9"/>
        <v>mar</v>
      </c>
    </row>
    <row r="16" spans="1:15" x14ac:dyDescent="0.3">
      <c r="A16" s="6">
        <v>45966</v>
      </c>
      <c r="B16" s="8">
        <v>153</v>
      </c>
      <c r="C16" s="7">
        <v>158863.05000000013</v>
      </c>
      <c r="D16" s="7">
        <v>172533</v>
      </c>
      <c r="E16" s="7">
        <v>152367</v>
      </c>
      <c r="F16" s="7">
        <f t="shared" si="0"/>
        <v>-6496.0500000001339</v>
      </c>
      <c r="G16" s="13">
        <f t="shared" si="1"/>
        <v>-4.08908805414483E-2</v>
      </c>
      <c r="H16" s="13">
        <f t="shared" si="2"/>
        <v>5.5202688730955206E-2</v>
      </c>
      <c r="I16" s="8">
        <f t="shared" si="3"/>
        <v>161.44601137583612</v>
      </c>
      <c r="J16">
        <f t="shared" si="4"/>
        <v>1038.320588235295</v>
      </c>
      <c r="K16" s="14">
        <f t="shared" si="5"/>
        <v>995.86274509803923</v>
      </c>
      <c r="L16" s="14">
        <f t="shared" si="6"/>
        <v>160778.06807386942</v>
      </c>
      <c r="M16" s="14">
        <f t="shared" si="7"/>
        <v>1915.018073869287</v>
      </c>
      <c r="N16" s="13">
        <f t="shared" si="8"/>
        <v>1.2054521639042467E-2</v>
      </c>
      <c r="O16" t="str">
        <f t="shared" si="9"/>
        <v>mié</v>
      </c>
    </row>
    <row r="17" spans="1:15" x14ac:dyDescent="0.3">
      <c r="A17" s="6">
        <v>45967</v>
      </c>
      <c r="B17" s="8">
        <v>176</v>
      </c>
      <c r="C17" s="7">
        <v>188025.32000000021</v>
      </c>
      <c r="D17" s="7">
        <v>197776</v>
      </c>
      <c r="E17" s="7">
        <v>180517</v>
      </c>
      <c r="F17" s="7">
        <f t="shared" si="0"/>
        <v>-7508.3200000002107</v>
      </c>
      <c r="G17" s="13">
        <f t="shared" si="1"/>
        <v>-3.9932494198122906E-2</v>
      </c>
      <c r="H17" s="13">
        <f t="shared" si="2"/>
        <v>5.3908867167465929E-2</v>
      </c>
      <c r="I17" s="8">
        <f t="shared" si="3"/>
        <v>185.487960621474</v>
      </c>
      <c r="J17">
        <f t="shared" si="4"/>
        <v>1068.3256818181831</v>
      </c>
      <c r="K17" s="14">
        <f t="shared" si="5"/>
        <v>1025.6647727272727</v>
      </c>
      <c r="L17" s="14">
        <f t="shared" si="6"/>
        <v>190248.46697446945</v>
      </c>
      <c r="M17" s="14">
        <f t="shared" si="7"/>
        <v>2223.146974469244</v>
      </c>
      <c r="N17" s="13">
        <f t="shared" si="8"/>
        <v>1.1823657443950855E-2</v>
      </c>
      <c r="O17" t="str">
        <f t="shared" si="9"/>
        <v>jue</v>
      </c>
    </row>
    <row r="18" spans="1:15" x14ac:dyDescent="0.3">
      <c r="A18" s="6">
        <v>45968</v>
      </c>
      <c r="B18" s="8">
        <v>147</v>
      </c>
      <c r="C18" s="7">
        <v>163659.86000000016</v>
      </c>
      <c r="D18" s="7">
        <v>166290</v>
      </c>
      <c r="E18" s="7">
        <v>157562.5</v>
      </c>
      <c r="F18" s="7">
        <f t="shared" si="0"/>
        <v>-6097.3600000001607</v>
      </c>
      <c r="G18" s="13">
        <f t="shared" si="1"/>
        <v>-3.7256294854463121E-2</v>
      </c>
      <c r="H18" s="13">
        <f t="shared" si="2"/>
        <v>5.0295998053525214E-2</v>
      </c>
      <c r="I18" s="8">
        <f t="shared" si="3"/>
        <v>154.39351171386821</v>
      </c>
      <c r="J18">
        <f t="shared" si="4"/>
        <v>1113.332380952382</v>
      </c>
      <c r="K18" s="14">
        <f t="shared" si="5"/>
        <v>1071.8537414965986</v>
      </c>
      <c r="L18" s="14">
        <f t="shared" si="6"/>
        <v>165487.26319330855</v>
      </c>
      <c r="M18" s="14">
        <f t="shared" si="7"/>
        <v>1827.4031933083897</v>
      </c>
      <c r="N18" s="13">
        <f t="shared" si="8"/>
        <v>1.1165860665580356E-2</v>
      </c>
      <c r="O18" t="str">
        <f t="shared" si="9"/>
        <v>vie</v>
      </c>
    </row>
    <row r="19" spans="1:15" x14ac:dyDescent="0.3">
      <c r="A19" s="6">
        <v>45969</v>
      </c>
      <c r="B19" s="8">
        <v>108</v>
      </c>
      <c r="C19" s="7">
        <v>115400.53000000012</v>
      </c>
      <c r="D19" s="7">
        <v>122455</v>
      </c>
      <c r="E19" s="7">
        <v>110744.5</v>
      </c>
      <c r="F19" s="7">
        <f t="shared" si="0"/>
        <v>-4656.0300000001153</v>
      </c>
      <c r="G19" s="13">
        <f t="shared" si="1"/>
        <v>-4.0346695114832756E-2</v>
      </c>
      <c r="H19" s="13">
        <f t="shared" si="2"/>
        <v>5.4468038405024226E-2</v>
      </c>
      <c r="I19" s="8">
        <f t="shared" si="3"/>
        <v>113.88254814774261</v>
      </c>
      <c r="J19">
        <f t="shared" si="4"/>
        <v>1068.5234259259271</v>
      </c>
      <c r="K19" s="14">
        <f t="shared" si="5"/>
        <v>1025.412037037037</v>
      </c>
      <c r="L19" s="14">
        <f t="shared" si="6"/>
        <v>116776.53567914519</v>
      </c>
      <c r="M19" s="14">
        <f t="shared" si="7"/>
        <v>1376.005679145077</v>
      </c>
      <c r="N19" s="13">
        <f t="shared" si="8"/>
        <v>1.1923737951160845E-2</v>
      </c>
      <c r="O19" t="str">
        <f t="shared" si="9"/>
        <v>sáb</v>
      </c>
    </row>
    <row r="20" spans="1:15" x14ac:dyDescent="0.3">
      <c r="A20" s="6">
        <v>45970</v>
      </c>
      <c r="B20" s="8">
        <v>105</v>
      </c>
      <c r="C20" s="7">
        <v>116862.46000000015</v>
      </c>
      <c r="D20" s="7">
        <v>116960</v>
      </c>
      <c r="E20" s="7">
        <v>110753.5</v>
      </c>
      <c r="F20" s="7">
        <f t="shared" si="0"/>
        <v>-6108.9600000001519</v>
      </c>
      <c r="G20" s="13">
        <f t="shared" si="1"/>
        <v>-5.2274785247547792E-2</v>
      </c>
      <c r="H20" s="13">
        <f t="shared" si="2"/>
        <v>7.0570960084189518E-2</v>
      </c>
      <c r="I20" s="8">
        <f t="shared" si="3"/>
        <v>112.40995080883989</v>
      </c>
      <c r="J20">
        <f t="shared" si="4"/>
        <v>1112.975809523811</v>
      </c>
      <c r="K20" s="14">
        <f t="shared" si="5"/>
        <v>1054.7952380952381</v>
      </c>
      <c r="L20" s="14">
        <f t="shared" si="6"/>
        <v>118569.48082768428</v>
      </c>
      <c r="M20" s="14">
        <f t="shared" si="7"/>
        <v>1707.0208276841295</v>
      </c>
      <c r="N20" s="13">
        <f t="shared" si="8"/>
        <v>1.4607093053527431E-2</v>
      </c>
      <c r="O20" t="str">
        <f t="shared" si="9"/>
        <v>dom</v>
      </c>
    </row>
    <row r="21" spans="1:15" x14ac:dyDescent="0.3">
      <c r="A21" s="6">
        <v>45971</v>
      </c>
      <c r="B21" s="8">
        <v>133</v>
      </c>
      <c r="C21" s="7">
        <v>148456.44000000021</v>
      </c>
      <c r="D21" s="7">
        <v>148577</v>
      </c>
      <c r="E21" s="7">
        <v>141226.5</v>
      </c>
      <c r="F21" s="7">
        <f t="shared" si="0"/>
        <v>-7229.9400000002061</v>
      </c>
      <c r="G21" s="13">
        <f t="shared" si="1"/>
        <v>-4.8700750199857923E-2</v>
      </c>
      <c r="H21" s="13">
        <f t="shared" si="2"/>
        <v>6.5746012769808196E-2</v>
      </c>
      <c r="I21" s="8">
        <f t="shared" si="3"/>
        <v>141.74421969838448</v>
      </c>
      <c r="J21">
        <f t="shared" si="4"/>
        <v>1116.2138345864678</v>
      </c>
      <c r="K21" s="14">
        <f t="shared" si="5"/>
        <v>1061.8533834586467</v>
      </c>
      <c r="L21" s="14">
        <f t="shared" si="6"/>
        <v>150511.57927243531</v>
      </c>
      <c r="M21" s="14">
        <f t="shared" si="7"/>
        <v>2055.1392724351026</v>
      </c>
      <c r="N21" s="13">
        <f t="shared" si="8"/>
        <v>1.3843382425411116E-2</v>
      </c>
      <c r="O21" t="str">
        <f t="shared" si="9"/>
        <v>lun</v>
      </c>
    </row>
    <row r="22" spans="1:15" x14ac:dyDescent="0.3">
      <c r="A22" s="6">
        <v>45972</v>
      </c>
      <c r="B22" s="8">
        <v>132</v>
      </c>
      <c r="C22" s="7">
        <v>145712.21000000014</v>
      </c>
      <c r="D22" s="7">
        <v>149249</v>
      </c>
      <c r="E22" s="7">
        <v>140130</v>
      </c>
      <c r="F22" s="7">
        <f t="shared" si="0"/>
        <v>-5582.2100000001374</v>
      </c>
      <c r="G22" s="13">
        <f t="shared" si="1"/>
        <v>-3.8309830041011197E-2</v>
      </c>
      <c r="H22" s="13">
        <f t="shared" si="2"/>
        <v>5.1718270555365119E-2</v>
      </c>
      <c r="I22" s="8">
        <f t="shared" si="3"/>
        <v>138.82681171330819</v>
      </c>
      <c r="J22">
        <f t="shared" si="4"/>
        <v>1103.8803787878799</v>
      </c>
      <c r="K22" s="14">
        <f t="shared" si="5"/>
        <v>1061.590909090909</v>
      </c>
      <c r="L22" s="14">
        <f t="shared" si="6"/>
        <v>147377.28125292331</v>
      </c>
      <c r="M22" s="14">
        <f t="shared" si="7"/>
        <v>1665.0712529231678</v>
      </c>
      <c r="N22" s="13">
        <f t="shared" si="8"/>
        <v>1.1427122359362789E-2</v>
      </c>
      <c r="O22" t="str">
        <f t="shared" si="9"/>
        <v>mar</v>
      </c>
    </row>
    <row r="23" spans="1:15" x14ac:dyDescent="0.3">
      <c r="A23" s="6" t="s">
        <v>3356</v>
      </c>
      <c r="B23" s="3">
        <v>2292</v>
      </c>
      <c r="C23" s="7">
        <v>2468046.3100000015</v>
      </c>
      <c r="D23" s="7">
        <v>2581202</v>
      </c>
      <c r="E23" s="7">
        <v>2368337.5</v>
      </c>
      <c r="F23" s="18">
        <f t="shared" si="0"/>
        <v>-99708.810000001453</v>
      </c>
      <c r="G23" s="16">
        <f t="shared" si="1"/>
        <v>-4.0399894279131821E-2</v>
      </c>
      <c r="H23" s="20">
        <f t="shared" si="2"/>
        <v>5.453985727682796E-2</v>
      </c>
      <c r="I23" s="11">
        <f t="shared" si="3"/>
        <v>2417.0053528784892</v>
      </c>
      <c r="J23" s="15">
        <f>C23 / B23</f>
        <v>1076.809035776615</v>
      </c>
      <c r="K23" s="15">
        <f xml:space="preserve"> E23 / B23</f>
        <v>1033.3060645724258</v>
      </c>
      <c r="L23" s="15">
        <f xml:space="preserve"> I23 * K23</f>
        <v>2497506.289233359</v>
      </c>
      <c r="M23" s="17">
        <f xml:space="preserve"> L23 - C23</f>
        <v>29459.97923335759</v>
      </c>
      <c r="N23" s="19">
        <f xml:space="preserve"> ( L23 - C23 ) / C23</f>
        <v>1.1936558529713153E-2</v>
      </c>
    </row>
    <row r="25" spans="1:15" x14ac:dyDescent="0.3">
      <c r="A25" t="s">
        <v>3367</v>
      </c>
      <c r="B25" s="4" t="s">
        <v>3358</v>
      </c>
      <c r="C25" s="4" t="s">
        <v>3368</v>
      </c>
      <c r="D25" s="11" t="s">
        <v>3371</v>
      </c>
      <c r="E25" s="11" t="s">
        <v>3370</v>
      </c>
      <c r="F25" s="11" t="s">
        <v>3372</v>
      </c>
    </row>
    <row r="26" spans="1:15" x14ac:dyDescent="0.3">
      <c r="A26" s="6">
        <v>45954</v>
      </c>
      <c r="B26" s="7">
        <v>197860.74000000008</v>
      </c>
      <c r="C26" s="7">
        <v>191642</v>
      </c>
      <c r="D26" s="8">
        <v>177</v>
      </c>
      <c r="E26" s="8">
        <v>184.51017065335964</v>
      </c>
      <c r="F26" s="14">
        <v>199773.43573079744</v>
      </c>
    </row>
    <row r="27" spans="1:15" x14ac:dyDescent="0.3">
      <c r="A27" s="6">
        <v>45955</v>
      </c>
      <c r="B27" s="7">
        <v>109268.30999999985</v>
      </c>
      <c r="C27" s="7">
        <v>106190.5</v>
      </c>
      <c r="D27" s="8">
        <v>103</v>
      </c>
      <c r="E27" s="8">
        <v>106.91668435706546</v>
      </c>
      <c r="F27" s="14">
        <v>110228.50650698019</v>
      </c>
    </row>
    <row r="28" spans="1:15" x14ac:dyDescent="0.3">
      <c r="A28" s="6">
        <v>45956</v>
      </c>
      <c r="B28" s="7">
        <v>63304.550000000047</v>
      </c>
      <c r="C28" s="7">
        <v>61243</v>
      </c>
      <c r="D28" s="8">
        <v>60</v>
      </c>
      <c r="E28" s="8">
        <v>62.637812763853525</v>
      </c>
      <c r="F28" s="14">
        <v>63935.459451611358</v>
      </c>
    </row>
    <row r="29" spans="1:15" x14ac:dyDescent="0.3">
      <c r="A29" s="6">
        <v>45957</v>
      </c>
      <c r="B29" s="7">
        <v>180020.50999999995</v>
      </c>
      <c r="C29" s="7">
        <v>174161</v>
      </c>
      <c r="D29" s="8">
        <v>174</v>
      </c>
      <c r="E29" s="8">
        <v>181.64578935477959</v>
      </c>
      <c r="F29" s="14">
        <v>181813.86390699868</v>
      </c>
    </row>
    <row r="30" spans="1:15" x14ac:dyDescent="0.3">
      <c r="A30" s="6">
        <v>45958</v>
      </c>
      <c r="B30" s="7">
        <v>53042.85000000002</v>
      </c>
      <c r="C30" s="7">
        <v>51421.5</v>
      </c>
      <c r="D30" s="8">
        <v>50</v>
      </c>
      <c r="E30" s="8">
        <v>52.063258761548468</v>
      </c>
      <c r="F30" s="14">
        <v>53543.417208139297</v>
      </c>
    </row>
    <row r="31" spans="1:15" x14ac:dyDescent="0.3">
      <c r="A31" s="6">
        <v>45959</v>
      </c>
      <c r="B31" s="7">
        <v>102194.1500000001</v>
      </c>
      <c r="C31" s="7">
        <v>98438</v>
      </c>
      <c r="D31" s="8">
        <v>99</v>
      </c>
      <c r="E31" s="8">
        <v>103.91231100312505</v>
      </c>
      <c r="F31" s="14">
        <v>103322.42495480429</v>
      </c>
    </row>
    <row r="32" spans="1:15" x14ac:dyDescent="0.3">
      <c r="A32" s="6">
        <v>45960</v>
      </c>
      <c r="B32" s="7">
        <v>98161.89999999998</v>
      </c>
      <c r="C32" s="7">
        <v>94469.5</v>
      </c>
      <c r="D32" s="8">
        <v>91</v>
      </c>
      <c r="E32" s="8">
        <v>95.621052974728471</v>
      </c>
      <c r="F32" s="14">
        <v>99266.736966990225</v>
      </c>
    </row>
    <row r="33" spans="1:6" x14ac:dyDescent="0.3">
      <c r="A33" s="6">
        <v>45961</v>
      </c>
      <c r="B33" s="7">
        <v>97565.379999999932</v>
      </c>
      <c r="C33" s="7">
        <v>92617</v>
      </c>
      <c r="D33" s="8">
        <v>91</v>
      </c>
      <c r="E33" s="8">
        <v>97.230780662156917</v>
      </c>
      <c r="F33" s="14">
        <v>98958.496841615241</v>
      </c>
    </row>
    <row r="34" spans="1:6" x14ac:dyDescent="0.3">
      <c r="A34" s="6">
        <v>45962</v>
      </c>
      <c r="B34" s="7">
        <v>78948.27</v>
      </c>
      <c r="C34" s="7">
        <v>74690.5</v>
      </c>
      <c r="D34" s="8">
        <v>74</v>
      </c>
      <c r="E34" s="8">
        <v>79.387720630230405</v>
      </c>
      <c r="F34" s="14">
        <v>80128.493888273297</v>
      </c>
    </row>
    <row r="35" spans="1:6" x14ac:dyDescent="0.3">
      <c r="A35" s="6">
        <v>45963</v>
      </c>
      <c r="B35" s="7">
        <v>119389.34000000001</v>
      </c>
      <c r="C35" s="7">
        <v>112458.5</v>
      </c>
      <c r="D35" s="8">
        <v>114</v>
      </c>
      <c r="E35" s="8">
        <v>122.93426729723107</v>
      </c>
      <c r="F35" s="14">
        <v>121271.95876180404</v>
      </c>
    </row>
    <row r="36" spans="1:6" x14ac:dyDescent="0.3">
      <c r="A36" s="6">
        <v>45964</v>
      </c>
      <c r="B36" s="7">
        <v>152819.68000000011</v>
      </c>
      <c r="C36" s="7">
        <v>145851</v>
      </c>
      <c r="D36" s="8">
        <v>142</v>
      </c>
      <c r="E36" s="8">
        <v>150.7416486934145</v>
      </c>
      <c r="F36" s="14">
        <v>154829.71974354365</v>
      </c>
    </row>
    <row r="37" spans="1:6" x14ac:dyDescent="0.3">
      <c r="A37" s="6">
        <v>45965</v>
      </c>
      <c r="B37" s="7">
        <v>178490.76000000021</v>
      </c>
      <c r="C37" s="7">
        <v>171854</v>
      </c>
      <c r="D37" s="8">
        <v>163</v>
      </c>
      <c r="E37" s="8">
        <v>171.18204280154359</v>
      </c>
      <c r="F37" s="14">
        <v>180480.48333507037</v>
      </c>
    </row>
    <row r="38" spans="1:6" x14ac:dyDescent="0.3">
      <c r="A38" s="6">
        <v>45966</v>
      </c>
      <c r="B38" s="7">
        <v>158863.05000000013</v>
      </c>
      <c r="C38" s="7">
        <v>152367</v>
      </c>
      <c r="D38" s="8">
        <v>153</v>
      </c>
      <c r="E38" s="8">
        <v>161.44601137583612</v>
      </c>
      <c r="F38" s="14">
        <v>160778.06807386942</v>
      </c>
    </row>
    <row r="39" spans="1:6" x14ac:dyDescent="0.3">
      <c r="A39" s="6">
        <v>45967</v>
      </c>
      <c r="B39" s="7">
        <v>188025.32000000021</v>
      </c>
      <c r="C39" s="7">
        <v>180517</v>
      </c>
      <c r="D39" s="8">
        <v>176</v>
      </c>
      <c r="E39" s="8">
        <v>185.487960621474</v>
      </c>
      <c r="F39" s="14">
        <v>190248.46697446945</v>
      </c>
    </row>
    <row r="40" spans="1:6" x14ac:dyDescent="0.3">
      <c r="A40" s="6">
        <v>45968</v>
      </c>
      <c r="B40" s="7">
        <v>163659.86000000016</v>
      </c>
      <c r="C40" s="7">
        <v>157562.5</v>
      </c>
      <c r="D40" s="8">
        <v>147</v>
      </c>
      <c r="E40" s="8">
        <v>154.39351171386821</v>
      </c>
      <c r="F40" s="14">
        <v>165487.26319330855</v>
      </c>
    </row>
    <row r="41" spans="1:6" x14ac:dyDescent="0.3">
      <c r="A41" s="6">
        <v>45969</v>
      </c>
      <c r="B41" s="7">
        <v>115400.53000000012</v>
      </c>
      <c r="C41" s="7">
        <v>110744.5</v>
      </c>
      <c r="D41" s="8">
        <v>108</v>
      </c>
      <c r="E41" s="8">
        <v>113.88254814774261</v>
      </c>
      <c r="F41" s="14">
        <v>116776.53567914519</v>
      </c>
    </row>
    <row r="42" spans="1:6" x14ac:dyDescent="0.3">
      <c r="A42" s="6">
        <v>45970</v>
      </c>
      <c r="B42" s="7">
        <v>116862.46000000015</v>
      </c>
      <c r="C42" s="7">
        <v>110753.5</v>
      </c>
      <c r="D42" s="8">
        <v>105</v>
      </c>
      <c r="E42" s="8">
        <v>112.40995080883989</v>
      </c>
      <c r="F42" s="14">
        <v>118569.48082768428</v>
      </c>
    </row>
    <row r="43" spans="1:6" x14ac:dyDescent="0.3">
      <c r="A43" s="6">
        <v>45971</v>
      </c>
      <c r="B43" s="7">
        <v>148456.44000000021</v>
      </c>
      <c r="C43" s="7">
        <v>141226.5</v>
      </c>
      <c r="D43" s="8">
        <v>133</v>
      </c>
      <c r="E43" s="8">
        <v>141.74421969838448</v>
      </c>
      <c r="F43" s="14">
        <v>150511.57927243531</v>
      </c>
    </row>
    <row r="44" spans="1:6" x14ac:dyDescent="0.3">
      <c r="A44" s="6">
        <v>45972</v>
      </c>
      <c r="B44" s="7">
        <v>145712.21000000014</v>
      </c>
      <c r="C44" s="7">
        <v>140130</v>
      </c>
      <c r="D44" s="8">
        <v>132</v>
      </c>
      <c r="E44" s="8">
        <v>138.82681171330819</v>
      </c>
      <c r="F44">
        <v>147377.28125292331</v>
      </c>
    </row>
    <row r="45" spans="1:6" x14ac:dyDescent="0.3">
      <c r="D45" s="3"/>
      <c r="E45" s="11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datos_dinamicos</vt:lpstr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Ivan Coss Calderon</dc:creator>
  <cp:lastModifiedBy>Jesus Ivan Coss Calderon</cp:lastModifiedBy>
  <dcterms:created xsi:type="dcterms:W3CDTF">2025-11-12T20:46:38Z</dcterms:created>
  <dcterms:modified xsi:type="dcterms:W3CDTF">2025-11-27T00:55:23Z</dcterms:modified>
</cp:coreProperties>
</file>